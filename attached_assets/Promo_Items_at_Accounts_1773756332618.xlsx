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yler/Desktop/"/>
    </mc:Choice>
  </mc:AlternateContent>
  <xr:revisionPtr revIDLastSave="0" documentId="8_{DF801A82-AC20-3842-8553-50B8B4102AB9}" xr6:coauthVersionLast="47" xr6:coauthVersionMax="47" xr10:uidLastSave="{00000000-0000-0000-0000-000000000000}"/>
  <bookViews>
    <workbookView xWindow="2760" yWindow="1820" windowWidth="29820" windowHeight="18660" xr2:uid="{00000000-000D-0000-FFFF-FFFF00000000}"/>
  </bookViews>
  <sheets>
    <sheet name="Survey Answers" sheetId="1" r:id="rId1"/>
  </sheets>
  <definedNames>
    <definedName name="_xlnm._FilterDatabase" localSheetId="0" hidden="1">'Survey Answers'!$A$1:$E$1</definedName>
    <definedName name="DataStartRow" comment="0" localSheetId="0" hidden="1">""</definedName>
    <definedName name="DataStartRowC0" comment="MQ==" localSheetId="0" hidden="1">""</definedName>
    <definedName name="LevelA10" comment="0" localSheetId="0" hidden="1">""</definedName>
    <definedName name="LevelA100" comment="0" localSheetId="0" hidden="1">""</definedName>
    <definedName name="LevelA1000" comment="0" localSheetId="0" hidden="1">""</definedName>
    <definedName name="LevelA1000C0" comment="NA==" localSheetId="0" hidden="1">""</definedName>
    <definedName name="LevelA1001" comment="0" localSheetId="0" hidden="1">""</definedName>
    <definedName name="LevelA1001C0" comment="NA==" localSheetId="0" hidden="1">""</definedName>
    <definedName name="LevelA1002" comment="0" localSheetId="0" hidden="1">""</definedName>
    <definedName name="LevelA1002C0" comment="NA==" localSheetId="0" hidden="1">""</definedName>
    <definedName name="LevelA1003" comment="0" localSheetId="0" hidden="1">""</definedName>
    <definedName name="LevelA1003C0" comment="NA==" localSheetId="0" hidden="1">""</definedName>
    <definedName name="LevelA1004" comment="0" localSheetId="0" hidden="1">""</definedName>
    <definedName name="LevelA1004C0" comment="NA==" localSheetId="0" hidden="1">""</definedName>
    <definedName name="LevelA1005" comment="0" localSheetId="0" hidden="1">""</definedName>
    <definedName name="LevelA1005C0" comment="NA==" localSheetId="0" hidden="1">""</definedName>
    <definedName name="LevelA1006" comment="0" localSheetId="0" hidden="1">""</definedName>
    <definedName name="LevelA1006C0" comment="NA==" localSheetId="0" hidden="1">""</definedName>
    <definedName name="LevelA1007" comment="0" localSheetId="0" hidden="1">""</definedName>
    <definedName name="LevelA1007C0" comment="NA==" localSheetId="0" hidden="1">""</definedName>
    <definedName name="LevelA1008" comment="0" localSheetId="0" hidden="1">""</definedName>
    <definedName name="LevelA1008C0" comment="NA==" localSheetId="0" hidden="1">""</definedName>
    <definedName name="LevelA1009" comment="0" localSheetId="0" hidden="1">""</definedName>
    <definedName name="LevelA1009C0" comment="NA==" localSheetId="0" hidden="1">""</definedName>
    <definedName name="LevelA100C0" comment="NA==" localSheetId="0" hidden="1">""</definedName>
    <definedName name="LevelA101" comment="0" localSheetId="0" hidden="1">""</definedName>
    <definedName name="LevelA1010" comment="0" localSheetId="0" hidden="1">""</definedName>
    <definedName name="LevelA1010C0" comment="NA==" localSheetId="0" hidden="1">""</definedName>
    <definedName name="LevelA1011" comment="0" localSheetId="0" hidden="1">""</definedName>
    <definedName name="LevelA1011C0" comment="NA==" localSheetId="0" hidden="1">""</definedName>
    <definedName name="LevelA1012" comment="0" localSheetId="0" hidden="1">""</definedName>
    <definedName name="LevelA1012C0" comment="NA==" localSheetId="0" hidden="1">""</definedName>
    <definedName name="LevelA1013" comment="0" localSheetId="0" hidden="1">""</definedName>
    <definedName name="LevelA1013C0" comment="NA==" localSheetId="0" hidden="1">""</definedName>
    <definedName name="LevelA1014" comment="0" localSheetId="0" hidden="1">""</definedName>
    <definedName name="LevelA1014C0" comment="NA==" localSheetId="0" hidden="1">""</definedName>
    <definedName name="LevelA1015" comment="0" localSheetId="0" hidden="1">""</definedName>
    <definedName name="LevelA1015C0" comment="NA==" localSheetId="0" hidden="1">""</definedName>
    <definedName name="LevelA1016" comment="0" localSheetId="0" hidden="1">""</definedName>
    <definedName name="LevelA1016C0" comment="NA==" localSheetId="0" hidden="1">""</definedName>
    <definedName name="LevelA1017" comment="0" localSheetId="0" hidden="1">""</definedName>
    <definedName name="LevelA1017C0" comment="NA==" localSheetId="0" hidden="1">""</definedName>
    <definedName name="LevelA1018" comment="0" localSheetId="0" hidden="1">""</definedName>
    <definedName name="LevelA1018C0" comment="NA==" localSheetId="0" hidden="1">""</definedName>
    <definedName name="LevelA1019" comment="0" localSheetId="0" hidden="1">""</definedName>
    <definedName name="LevelA1019C0" comment="NA==" localSheetId="0" hidden="1">""</definedName>
    <definedName name="LevelA101C0" comment="NA==" localSheetId="0" hidden="1">""</definedName>
    <definedName name="LevelA102" comment="0" localSheetId="0" hidden="1">""</definedName>
    <definedName name="LevelA1020" comment="0" localSheetId="0" hidden="1">""</definedName>
    <definedName name="LevelA1020C0" comment="NA==" localSheetId="0" hidden="1">""</definedName>
    <definedName name="LevelA1021" comment="0" localSheetId="0" hidden="1">""</definedName>
    <definedName name="LevelA1021C0" comment="NA==" localSheetId="0" hidden="1">""</definedName>
    <definedName name="LevelA1022" comment="0" localSheetId="0" hidden="1">""</definedName>
    <definedName name="LevelA1022C0" comment="NA==" localSheetId="0" hidden="1">""</definedName>
    <definedName name="LevelA1023" comment="0" localSheetId="0" hidden="1">""</definedName>
    <definedName name="LevelA1023C0" comment="NA==" localSheetId="0" hidden="1">""</definedName>
    <definedName name="LevelA1024" comment="0" localSheetId="0" hidden="1">""</definedName>
    <definedName name="LevelA1024C0" comment="NA==" localSheetId="0" hidden="1">""</definedName>
    <definedName name="LevelA1025" comment="0" localSheetId="0" hidden="1">""</definedName>
    <definedName name="LevelA1025C0" comment="NA==" localSheetId="0" hidden="1">""</definedName>
    <definedName name="LevelA1026" comment="0" localSheetId="0" hidden="1">""</definedName>
    <definedName name="LevelA1026C0" comment="NA==" localSheetId="0" hidden="1">""</definedName>
    <definedName name="LevelA1027" comment="0" localSheetId="0" hidden="1">""</definedName>
    <definedName name="LevelA1027C0" comment="NA==" localSheetId="0" hidden="1">""</definedName>
    <definedName name="LevelA1028" comment="0" localSheetId="0" hidden="1">""</definedName>
    <definedName name="LevelA1028C0" comment="NA==" localSheetId="0" hidden="1">""</definedName>
    <definedName name="LevelA1029" comment="0" localSheetId="0" hidden="1">""</definedName>
    <definedName name="LevelA1029C0" comment="NA==" localSheetId="0" hidden="1">""</definedName>
    <definedName name="LevelA102C0" comment="NA==" localSheetId="0" hidden="1">""</definedName>
    <definedName name="LevelA103" comment="0" localSheetId="0" hidden="1">""</definedName>
    <definedName name="LevelA1030" comment="0" localSheetId="0" hidden="1">""</definedName>
    <definedName name="LevelA1030C0" comment="NA==" localSheetId="0" hidden="1">""</definedName>
    <definedName name="LevelA1031" comment="0" localSheetId="0" hidden="1">""</definedName>
    <definedName name="LevelA1031C0" comment="NA==" localSheetId="0" hidden="1">""</definedName>
    <definedName name="LevelA1032" comment="0" localSheetId="0" hidden="1">""</definedName>
    <definedName name="LevelA1032C0" comment="NA==" localSheetId="0" hidden="1">""</definedName>
    <definedName name="LevelA1033" comment="0" localSheetId="0" hidden="1">""</definedName>
    <definedName name="LevelA1033C0" comment="NA==" localSheetId="0" hidden="1">""</definedName>
    <definedName name="LevelA1034" comment="0" localSheetId="0" hidden="1">""</definedName>
    <definedName name="LevelA1034C0" comment="NA==" localSheetId="0" hidden="1">""</definedName>
    <definedName name="LevelA1035" comment="0" localSheetId="0" hidden="1">""</definedName>
    <definedName name="LevelA1035C0" comment="NA==" localSheetId="0" hidden="1">""</definedName>
    <definedName name="LevelA1036" comment="0" localSheetId="0" hidden="1">""</definedName>
    <definedName name="LevelA1036C0" comment="NA==" localSheetId="0" hidden="1">""</definedName>
    <definedName name="LevelA1037" comment="0" localSheetId="0" hidden="1">""</definedName>
    <definedName name="LevelA1037C0" comment="NA==" localSheetId="0" hidden="1">""</definedName>
    <definedName name="LevelA1038" comment="0" localSheetId="0" hidden="1">""</definedName>
    <definedName name="LevelA1038C0" comment="NA==" localSheetId="0" hidden="1">""</definedName>
    <definedName name="LevelA1039" comment="0" localSheetId="0" hidden="1">""</definedName>
    <definedName name="LevelA1039C0" comment="NA==" localSheetId="0" hidden="1">""</definedName>
    <definedName name="LevelA103C0" comment="NA==" localSheetId="0" hidden="1">""</definedName>
    <definedName name="LevelA104" comment="0" localSheetId="0" hidden="1">""</definedName>
    <definedName name="LevelA1040" comment="0" localSheetId="0" hidden="1">""</definedName>
    <definedName name="LevelA1040C0" comment="NA==" localSheetId="0" hidden="1">""</definedName>
    <definedName name="LevelA1041" comment="0" localSheetId="0" hidden="1">""</definedName>
    <definedName name="LevelA1041C0" comment="NA==" localSheetId="0" hidden="1">""</definedName>
    <definedName name="LevelA1042" comment="0" localSheetId="0" hidden="1">""</definedName>
    <definedName name="LevelA1042C0" comment="NA==" localSheetId="0" hidden="1">""</definedName>
    <definedName name="LevelA1043" comment="0" localSheetId="0" hidden="1">""</definedName>
    <definedName name="LevelA1043C0" comment="NA==" localSheetId="0" hidden="1">""</definedName>
    <definedName name="LevelA1044" comment="0" localSheetId="0" hidden="1">""</definedName>
    <definedName name="LevelA1044C0" comment="NA==" localSheetId="0" hidden="1">""</definedName>
    <definedName name="LevelA1045" comment="0" localSheetId="0" hidden="1">""</definedName>
    <definedName name="LevelA1045C0" comment="NA==" localSheetId="0" hidden="1">""</definedName>
    <definedName name="LevelA1046" comment="0" localSheetId="0" hidden="1">""</definedName>
    <definedName name="LevelA1046C0" comment="NA==" localSheetId="0" hidden="1">""</definedName>
    <definedName name="LevelA1047" comment="0" localSheetId="0" hidden="1">""</definedName>
    <definedName name="LevelA1047C0" comment="NA==" localSheetId="0" hidden="1">""</definedName>
    <definedName name="LevelA1048" comment="0" localSheetId="0" hidden="1">""</definedName>
    <definedName name="LevelA1048C0" comment="NA==" localSheetId="0" hidden="1">""</definedName>
    <definedName name="LevelA1049" comment="0" localSheetId="0" hidden="1">""</definedName>
    <definedName name="LevelA1049C0" comment="NA==" localSheetId="0" hidden="1">""</definedName>
    <definedName name="LevelA104C0" comment="NA==" localSheetId="0" hidden="1">""</definedName>
    <definedName name="LevelA105" comment="0" localSheetId="0" hidden="1">""</definedName>
    <definedName name="LevelA1050" comment="0" localSheetId="0" hidden="1">""</definedName>
    <definedName name="LevelA1050C0" comment="NA==" localSheetId="0" hidden="1">""</definedName>
    <definedName name="LevelA1051" comment="0" localSheetId="0" hidden="1">""</definedName>
    <definedName name="LevelA1051C0" comment="NA==" localSheetId="0" hidden="1">""</definedName>
    <definedName name="LevelA1052" comment="0" localSheetId="0" hidden="1">""</definedName>
    <definedName name="LevelA1052C0" comment="NA==" localSheetId="0" hidden="1">""</definedName>
    <definedName name="LevelA1053" comment="0" localSheetId="0" hidden="1">""</definedName>
    <definedName name="LevelA1053C0" comment="NA==" localSheetId="0" hidden="1">""</definedName>
    <definedName name="LevelA1054" comment="0" localSheetId="0" hidden="1">""</definedName>
    <definedName name="LevelA1054C0" comment="NA==" localSheetId="0" hidden="1">""</definedName>
    <definedName name="LevelA1055" comment="0" localSheetId="0" hidden="1">""</definedName>
    <definedName name="LevelA1055C0" comment="NA==" localSheetId="0" hidden="1">""</definedName>
    <definedName name="LevelA1056" comment="0" localSheetId="0" hidden="1">""</definedName>
    <definedName name="LevelA1056C0" comment="NA==" localSheetId="0" hidden="1">""</definedName>
    <definedName name="LevelA1057" comment="0" localSheetId="0" hidden="1">""</definedName>
    <definedName name="LevelA1057C0" comment="NA==" localSheetId="0" hidden="1">""</definedName>
    <definedName name="LevelA1058" comment="0" localSheetId="0" hidden="1">""</definedName>
    <definedName name="LevelA1058C0" comment="NA==" localSheetId="0" hidden="1">""</definedName>
    <definedName name="LevelA1059" comment="0" localSheetId="0" hidden="1">""</definedName>
    <definedName name="LevelA1059C0" comment="NA==" localSheetId="0" hidden="1">""</definedName>
    <definedName name="LevelA105C0" comment="NA==" localSheetId="0" hidden="1">""</definedName>
    <definedName name="LevelA106" comment="0" localSheetId="0" hidden="1">""</definedName>
    <definedName name="LevelA1060" comment="0" localSheetId="0" hidden="1">""</definedName>
    <definedName name="LevelA1060C0" comment="NA==" localSheetId="0" hidden="1">""</definedName>
    <definedName name="LevelA1061" comment="0" localSheetId="0" hidden="1">""</definedName>
    <definedName name="LevelA1061C0" comment="NA==" localSheetId="0" hidden="1">""</definedName>
    <definedName name="LevelA1062" comment="0" localSheetId="0" hidden="1">""</definedName>
    <definedName name="LevelA1062C0" comment="NA==" localSheetId="0" hidden="1">""</definedName>
    <definedName name="LevelA1063" comment="0" localSheetId="0" hidden="1">""</definedName>
    <definedName name="LevelA1063C0" comment="NA==" localSheetId="0" hidden="1">""</definedName>
    <definedName name="LevelA1064" comment="0" localSheetId="0" hidden="1">""</definedName>
    <definedName name="LevelA1064C0" comment="NA==" localSheetId="0" hidden="1">""</definedName>
    <definedName name="LevelA1065" comment="0" localSheetId="0" hidden="1">""</definedName>
    <definedName name="LevelA1065C0" comment="NA==" localSheetId="0" hidden="1">""</definedName>
    <definedName name="LevelA1066" comment="0" localSheetId="0" hidden="1">""</definedName>
    <definedName name="LevelA1066C0" comment="NA==" localSheetId="0" hidden="1">""</definedName>
    <definedName name="LevelA1067" comment="0" localSheetId="0" hidden="1">""</definedName>
    <definedName name="LevelA1067C0" comment="NA==" localSheetId="0" hidden="1">""</definedName>
    <definedName name="LevelA1068" comment="0" localSheetId="0" hidden="1">""</definedName>
    <definedName name="LevelA1068C0" comment="NA==" localSheetId="0" hidden="1">""</definedName>
    <definedName name="LevelA1069" comment="0" localSheetId="0" hidden="1">""</definedName>
    <definedName name="LevelA1069C0" comment="NA==" localSheetId="0" hidden="1">""</definedName>
    <definedName name="LevelA106C0" comment="NA==" localSheetId="0" hidden="1">""</definedName>
    <definedName name="LevelA107" comment="0" localSheetId="0" hidden="1">""</definedName>
    <definedName name="LevelA1070" comment="0" localSheetId="0" hidden="1">""</definedName>
    <definedName name="LevelA1070C0" comment="NA==" localSheetId="0" hidden="1">""</definedName>
    <definedName name="LevelA1071" comment="0" localSheetId="0" hidden="1">""</definedName>
    <definedName name="LevelA1071C0" comment="NA==" localSheetId="0" hidden="1">""</definedName>
    <definedName name="LevelA1072" comment="0" localSheetId="0" hidden="1">""</definedName>
    <definedName name="LevelA1072C0" comment="NA==" localSheetId="0" hidden="1">""</definedName>
    <definedName name="LevelA1073" comment="0" localSheetId="0" hidden="1">""</definedName>
    <definedName name="LevelA1073C0" comment="NA==" localSheetId="0" hidden="1">""</definedName>
    <definedName name="LevelA1074" comment="0" localSheetId="0" hidden="1">""</definedName>
    <definedName name="LevelA1074C0" comment="NA==" localSheetId="0" hidden="1">""</definedName>
    <definedName name="LevelA1075" comment="0" localSheetId="0" hidden="1">""</definedName>
    <definedName name="LevelA1075C0" comment="NA==" localSheetId="0" hidden="1">""</definedName>
    <definedName name="LevelA1076" comment="0" localSheetId="0" hidden="1">""</definedName>
    <definedName name="LevelA1076C0" comment="NA==" localSheetId="0" hidden="1">""</definedName>
    <definedName name="LevelA1077" comment="0" localSheetId="0" hidden="1">""</definedName>
    <definedName name="LevelA1077C0" comment="NA==" localSheetId="0" hidden="1">""</definedName>
    <definedName name="LevelA1078" comment="0" localSheetId="0" hidden="1">""</definedName>
    <definedName name="LevelA1078C0" comment="NA==" localSheetId="0" hidden="1">""</definedName>
    <definedName name="LevelA1079" comment="0" localSheetId="0" hidden="1">""</definedName>
    <definedName name="LevelA1079C0" comment="NA==" localSheetId="0" hidden="1">""</definedName>
    <definedName name="LevelA107C0" comment="NA==" localSheetId="0" hidden="1">""</definedName>
    <definedName name="LevelA108" comment="0" localSheetId="0" hidden="1">""</definedName>
    <definedName name="LevelA1080" comment="0" localSheetId="0" hidden="1">""</definedName>
    <definedName name="LevelA1080C0" comment="NA==" localSheetId="0" hidden="1">""</definedName>
    <definedName name="LevelA1081" comment="0" localSheetId="0" hidden="1">""</definedName>
    <definedName name="LevelA1081C0" comment="NA==" localSheetId="0" hidden="1">""</definedName>
    <definedName name="LevelA1082" comment="0" localSheetId="0" hidden="1">""</definedName>
    <definedName name="LevelA1082C0" comment="NA==" localSheetId="0" hidden="1">""</definedName>
    <definedName name="LevelA1083" comment="0" localSheetId="0" hidden="1">""</definedName>
    <definedName name="LevelA1083C0" comment="NA==" localSheetId="0" hidden="1">""</definedName>
    <definedName name="LevelA1084" comment="0" localSheetId="0" hidden="1">""</definedName>
    <definedName name="LevelA1084C0" comment="NA==" localSheetId="0" hidden="1">""</definedName>
    <definedName name="LevelA1085" comment="0" localSheetId="0" hidden="1">""</definedName>
    <definedName name="LevelA1085C0" comment="NA==" localSheetId="0" hidden="1">""</definedName>
    <definedName name="LevelA1086" comment="0" localSheetId="0" hidden="1">""</definedName>
    <definedName name="LevelA1086C0" comment="NA==" localSheetId="0" hidden="1">""</definedName>
    <definedName name="LevelA1087" comment="0" localSheetId="0" hidden="1">""</definedName>
    <definedName name="LevelA1087C0" comment="NA==" localSheetId="0" hidden="1">""</definedName>
    <definedName name="LevelA1088" comment="0" localSheetId="0" hidden="1">""</definedName>
    <definedName name="LevelA1088C0" comment="NA==" localSheetId="0" hidden="1">""</definedName>
    <definedName name="LevelA1089" comment="0" localSheetId="0" hidden="1">""</definedName>
    <definedName name="LevelA1089C0" comment="NA==" localSheetId="0" hidden="1">""</definedName>
    <definedName name="LevelA108C0" comment="NA==" localSheetId="0" hidden="1">""</definedName>
    <definedName name="LevelA109" comment="0" localSheetId="0" hidden="1">""</definedName>
    <definedName name="LevelA1090" comment="0" localSheetId="0" hidden="1">""</definedName>
    <definedName name="LevelA1090C0" comment="NA==" localSheetId="0" hidden="1">""</definedName>
    <definedName name="LevelA1091" comment="0" localSheetId="0" hidden="1">""</definedName>
    <definedName name="LevelA1091C0" comment="NA==" localSheetId="0" hidden="1">""</definedName>
    <definedName name="LevelA1092" comment="0" localSheetId="0" hidden="1">""</definedName>
    <definedName name="LevelA1092C0" comment="NA==" localSheetId="0" hidden="1">""</definedName>
    <definedName name="LevelA1093" comment="0" localSheetId="0" hidden="1">""</definedName>
    <definedName name="LevelA1093C0" comment="NA==" localSheetId="0" hidden="1">""</definedName>
    <definedName name="LevelA1094" comment="0" localSheetId="0" hidden="1">""</definedName>
    <definedName name="LevelA1094C0" comment="NA==" localSheetId="0" hidden="1">""</definedName>
    <definedName name="LevelA1095" comment="0" localSheetId="0" hidden="1">""</definedName>
    <definedName name="LevelA1095C0" comment="NA==" localSheetId="0" hidden="1">""</definedName>
    <definedName name="LevelA1096" comment="0" localSheetId="0" hidden="1">""</definedName>
    <definedName name="LevelA1096C0" comment="NA==" localSheetId="0" hidden="1">""</definedName>
    <definedName name="LevelA1097" comment="0" localSheetId="0" hidden="1">""</definedName>
    <definedName name="LevelA1097C0" comment="NA==" localSheetId="0" hidden="1">""</definedName>
    <definedName name="LevelA1098" comment="0" localSheetId="0" hidden="1">""</definedName>
    <definedName name="LevelA1098C0" comment="NA==" localSheetId="0" hidden="1">""</definedName>
    <definedName name="LevelA1099" comment="0" localSheetId="0" hidden="1">""</definedName>
    <definedName name="LevelA1099C0" comment="NA==" localSheetId="0" hidden="1">""</definedName>
    <definedName name="LevelA109C0" comment="NA==" localSheetId="0" hidden="1">""</definedName>
    <definedName name="LevelA10C0" comment="NA==" localSheetId="0" hidden="1">""</definedName>
    <definedName name="LevelA11" comment="0" localSheetId="0" hidden="1">""</definedName>
    <definedName name="LevelA110" comment="0" localSheetId="0" hidden="1">""</definedName>
    <definedName name="LevelA1100" comment="0" localSheetId="0" hidden="1">""</definedName>
    <definedName name="LevelA1100C0" comment="NA==" localSheetId="0" hidden="1">""</definedName>
    <definedName name="LevelA1101" comment="0" localSheetId="0" hidden="1">""</definedName>
    <definedName name="LevelA1101C0" comment="NA==" localSheetId="0" hidden="1">""</definedName>
    <definedName name="LevelA1102" comment="0" localSheetId="0" hidden="1">""</definedName>
    <definedName name="LevelA1102C0" comment="NA==" localSheetId="0" hidden="1">""</definedName>
    <definedName name="LevelA1103" comment="0" localSheetId="0" hidden="1">""</definedName>
    <definedName name="LevelA1103C0" comment="NA==" localSheetId="0" hidden="1">""</definedName>
    <definedName name="LevelA1104" comment="0" localSheetId="0" hidden="1">""</definedName>
    <definedName name="LevelA1104C0" comment="NA==" localSheetId="0" hidden="1">""</definedName>
    <definedName name="LevelA1105" comment="0" localSheetId="0" hidden="1">""</definedName>
    <definedName name="LevelA1105C0" comment="NA==" localSheetId="0" hidden="1">""</definedName>
    <definedName name="LevelA1106" comment="0" localSheetId="0" hidden="1">""</definedName>
    <definedName name="LevelA1106C0" comment="NA==" localSheetId="0" hidden="1">""</definedName>
    <definedName name="LevelA1107" comment="0" localSheetId="0" hidden="1">""</definedName>
    <definedName name="LevelA1107C0" comment="NA==" localSheetId="0" hidden="1">""</definedName>
    <definedName name="LevelA1108" comment="0" localSheetId="0" hidden="1">""</definedName>
    <definedName name="LevelA1108C0" comment="NA==" localSheetId="0" hidden="1">""</definedName>
    <definedName name="LevelA1109" comment="0" localSheetId="0" hidden="1">""</definedName>
    <definedName name="LevelA1109C0" comment="NA==" localSheetId="0" hidden="1">""</definedName>
    <definedName name="LevelA110C0" comment="NA==" localSheetId="0" hidden="1">""</definedName>
    <definedName name="LevelA111" comment="0" localSheetId="0" hidden="1">""</definedName>
    <definedName name="LevelA1110" comment="0" localSheetId="0" hidden="1">""</definedName>
    <definedName name="LevelA1110C0" comment="NA==" localSheetId="0" hidden="1">""</definedName>
    <definedName name="LevelA1111" comment="0" localSheetId="0" hidden="1">""</definedName>
    <definedName name="LevelA1111C0" comment="NA==" localSheetId="0" hidden="1">""</definedName>
    <definedName name="LevelA1112" comment="0" localSheetId="0" hidden="1">""</definedName>
    <definedName name="LevelA1112C0" comment="NA==" localSheetId="0" hidden="1">""</definedName>
    <definedName name="LevelA1113" comment="0" localSheetId="0" hidden="1">""</definedName>
    <definedName name="LevelA1113C0" comment="NA==" localSheetId="0" hidden="1">""</definedName>
    <definedName name="LevelA1114" comment="0" localSheetId="0" hidden="1">""</definedName>
    <definedName name="LevelA1114C0" comment="NA==" localSheetId="0" hidden="1">""</definedName>
    <definedName name="LevelA1115" comment="0" localSheetId="0" hidden="1">""</definedName>
    <definedName name="LevelA1115C0" comment="NA==" localSheetId="0" hidden="1">""</definedName>
    <definedName name="LevelA1116" comment="0" localSheetId="0" hidden="1">""</definedName>
    <definedName name="LevelA1116C0" comment="NA==" localSheetId="0" hidden="1">""</definedName>
    <definedName name="LevelA1117" comment="0" localSheetId="0" hidden="1">""</definedName>
    <definedName name="LevelA1117C0" comment="NA==" localSheetId="0" hidden="1">""</definedName>
    <definedName name="LevelA1118" comment="0" localSheetId="0" hidden="1">""</definedName>
    <definedName name="LevelA1118C0" comment="NA==" localSheetId="0" hidden="1">""</definedName>
    <definedName name="LevelA1119" comment="0" localSheetId="0" hidden="1">""</definedName>
    <definedName name="LevelA1119C0" comment="NA==" localSheetId="0" hidden="1">""</definedName>
    <definedName name="LevelA111C0" comment="NA==" localSheetId="0" hidden="1">""</definedName>
    <definedName name="LevelA112" comment="0" localSheetId="0" hidden="1">""</definedName>
    <definedName name="LevelA1120" comment="0" localSheetId="0" hidden="1">""</definedName>
    <definedName name="LevelA1120C0" comment="NA==" localSheetId="0" hidden="1">""</definedName>
    <definedName name="LevelA1121" comment="0" localSheetId="0" hidden="1">""</definedName>
    <definedName name="LevelA1121C0" comment="NA==" localSheetId="0" hidden="1">""</definedName>
    <definedName name="LevelA1122" comment="0" localSheetId="0" hidden="1">""</definedName>
    <definedName name="LevelA1122C0" comment="NA==" localSheetId="0" hidden="1">""</definedName>
    <definedName name="LevelA1123" comment="0" localSheetId="0" hidden="1">""</definedName>
    <definedName name="LevelA1123C0" comment="NA==" localSheetId="0" hidden="1">""</definedName>
    <definedName name="LevelA1124" comment="0" localSheetId="0" hidden="1">""</definedName>
    <definedName name="LevelA1124C0" comment="NA==" localSheetId="0" hidden="1">""</definedName>
    <definedName name="LevelA1125" comment="0" localSheetId="0" hidden="1">""</definedName>
    <definedName name="LevelA1125C0" comment="NA==" localSheetId="0" hidden="1">""</definedName>
    <definedName name="LevelA1126" comment="0" localSheetId="0" hidden="1">""</definedName>
    <definedName name="LevelA1126C0" comment="NA==" localSheetId="0" hidden="1">""</definedName>
    <definedName name="LevelA1127" comment="0" localSheetId="0" hidden="1">""</definedName>
    <definedName name="LevelA1127C0" comment="NA==" localSheetId="0" hidden="1">""</definedName>
    <definedName name="LevelA1128" comment="0" localSheetId="0" hidden="1">""</definedName>
    <definedName name="LevelA1128C0" comment="NA==" localSheetId="0" hidden="1">""</definedName>
    <definedName name="LevelA1129" comment="0" localSheetId="0" hidden="1">""</definedName>
    <definedName name="LevelA1129C0" comment="NA==" localSheetId="0" hidden="1">""</definedName>
    <definedName name="LevelA112C0" comment="NA==" localSheetId="0" hidden="1">""</definedName>
    <definedName name="LevelA113" comment="0" localSheetId="0" hidden="1">""</definedName>
    <definedName name="LevelA1130" comment="0" localSheetId="0" hidden="1">""</definedName>
    <definedName name="LevelA1130C0" comment="NA==" localSheetId="0" hidden="1">""</definedName>
    <definedName name="LevelA1131" comment="0" localSheetId="0" hidden="1">""</definedName>
    <definedName name="LevelA1131C0" comment="NA==" localSheetId="0" hidden="1">""</definedName>
    <definedName name="LevelA1132" comment="0" localSheetId="0" hidden="1">""</definedName>
    <definedName name="LevelA1132C0" comment="NA==" localSheetId="0" hidden="1">""</definedName>
    <definedName name="LevelA1133" comment="0" localSheetId="0" hidden="1">""</definedName>
    <definedName name="LevelA1133C0" comment="NA==" localSheetId="0" hidden="1">""</definedName>
    <definedName name="LevelA1134" comment="0" localSheetId="0" hidden="1">""</definedName>
    <definedName name="LevelA1134C0" comment="NA==" localSheetId="0" hidden="1">""</definedName>
    <definedName name="LevelA1135" comment="0" localSheetId="0" hidden="1">""</definedName>
    <definedName name="LevelA1135C0" comment="NA==" localSheetId="0" hidden="1">""</definedName>
    <definedName name="LevelA1136" comment="0" localSheetId="0" hidden="1">""</definedName>
    <definedName name="LevelA1136C0" comment="NA==" localSheetId="0" hidden="1">""</definedName>
    <definedName name="LevelA1137" comment="0" localSheetId="0" hidden="1">""</definedName>
    <definedName name="LevelA1137C0" comment="NA==" localSheetId="0" hidden="1">""</definedName>
    <definedName name="LevelA1138" comment="0" localSheetId="0" hidden="1">""</definedName>
    <definedName name="LevelA1138C0" comment="NA==" localSheetId="0" hidden="1">""</definedName>
    <definedName name="LevelA1139" comment="0" localSheetId="0" hidden="1">""</definedName>
    <definedName name="LevelA1139C0" comment="NA==" localSheetId="0" hidden="1">""</definedName>
    <definedName name="LevelA113C0" comment="NA==" localSheetId="0" hidden="1">""</definedName>
    <definedName name="LevelA114" comment="0" localSheetId="0" hidden="1">""</definedName>
    <definedName name="LevelA1140" comment="0" localSheetId="0" hidden="1">""</definedName>
    <definedName name="LevelA1140C0" comment="NA==" localSheetId="0" hidden="1">""</definedName>
    <definedName name="LevelA1141" comment="0" localSheetId="0" hidden="1">""</definedName>
    <definedName name="LevelA1141C0" comment="NA==" localSheetId="0" hidden="1">""</definedName>
    <definedName name="LevelA1142" comment="0" localSheetId="0" hidden="1">""</definedName>
    <definedName name="LevelA1142C0" comment="NA==" localSheetId="0" hidden="1">""</definedName>
    <definedName name="LevelA1143" comment="0" localSheetId="0" hidden="1">""</definedName>
    <definedName name="LevelA1143C0" comment="NA==" localSheetId="0" hidden="1">""</definedName>
    <definedName name="LevelA1144" comment="0" localSheetId="0" hidden="1">""</definedName>
    <definedName name="LevelA1144C0" comment="NA==" localSheetId="0" hidden="1">""</definedName>
    <definedName name="LevelA1145" comment="0" localSheetId="0" hidden="1">""</definedName>
    <definedName name="LevelA1145C0" comment="NA==" localSheetId="0" hidden="1">""</definedName>
    <definedName name="LevelA1146" comment="0" localSheetId="0" hidden="1">""</definedName>
    <definedName name="LevelA1146C0" comment="NA==" localSheetId="0" hidden="1">""</definedName>
    <definedName name="LevelA1147" comment="0" localSheetId="0" hidden="1">""</definedName>
    <definedName name="LevelA1147C0" comment="NA==" localSheetId="0" hidden="1">""</definedName>
    <definedName name="LevelA1148" comment="0" localSheetId="0" hidden="1">""</definedName>
    <definedName name="LevelA1148C0" comment="NA==" localSheetId="0" hidden="1">""</definedName>
    <definedName name="LevelA1149" comment="0" localSheetId="0" hidden="1">""</definedName>
    <definedName name="LevelA1149C0" comment="NA==" localSheetId="0" hidden="1">""</definedName>
    <definedName name="LevelA114C0" comment="NA==" localSheetId="0" hidden="1">""</definedName>
    <definedName name="LevelA115" comment="0" localSheetId="0" hidden="1">""</definedName>
    <definedName name="LevelA1150" comment="0" localSheetId="0" hidden="1">""</definedName>
    <definedName name="LevelA1150C0" comment="NA==" localSheetId="0" hidden="1">""</definedName>
    <definedName name="LevelA1151" comment="0" localSheetId="0" hidden="1">""</definedName>
    <definedName name="LevelA1151C0" comment="NA==" localSheetId="0" hidden="1">""</definedName>
    <definedName name="LevelA1152" comment="0" localSheetId="0" hidden="1">""</definedName>
    <definedName name="LevelA1152C0" comment="NA==" localSheetId="0" hidden="1">""</definedName>
    <definedName name="LevelA1153" comment="0" localSheetId="0" hidden="1">""</definedName>
    <definedName name="LevelA1153C0" comment="NA==" localSheetId="0" hidden="1">""</definedName>
    <definedName name="LevelA1154" comment="0" localSheetId="0" hidden="1">""</definedName>
    <definedName name="LevelA1154C0" comment="NA==" localSheetId="0" hidden="1">""</definedName>
    <definedName name="LevelA1155" comment="0" localSheetId="0" hidden="1">""</definedName>
    <definedName name="LevelA1155C0" comment="NA==" localSheetId="0" hidden="1">""</definedName>
    <definedName name="LevelA1156" comment="0" localSheetId="0" hidden="1">""</definedName>
    <definedName name="LevelA1156C0" comment="NA==" localSheetId="0" hidden="1">""</definedName>
    <definedName name="LevelA1157" comment="0" localSheetId="0" hidden="1">""</definedName>
    <definedName name="LevelA1157C0" comment="NA==" localSheetId="0" hidden="1">""</definedName>
    <definedName name="LevelA1158" comment="0" localSheetId="0" hidden="1">""</definedName>
    <definedName name="LevelA1158C0" comment="NA==" localSheetId="0" hidden="1">""</definedName>
    <definedName name="LevelA1159" comment="0" localSheetId="0" hidden="1">""</definedName>
    <definedName name="LevelA1159C0" comment="NA==" localSheetId="0" hidden="1">""</definedName>
    <definedName name="LevelA115C0" comment="NA==" localSheetId="0" hidden="1">""</definedName>
    <definedName name="LevelA116" comment="0" localSheetId="0" hidden="1">""</definedName>
    <definedName name="LevelA1160" comment="0" localSheetId="0" hidden="1">""</definedName>
    <definedName name="LevelA1160C0" comment="NA==" localSheetId="0" hidden="1">""</definedName>
    <definedName name="LevelA1161" comment="0" localSheetId="0" hidden="1">""</definedName>
    <definedName name="LevelA1161C0" comment="NA==" localSheetId="0" hidden="1">""</definedName>
    <definedName name="LevelA1162" comment="0" localSheetId="0" hidden="1">""</definedName>
    <definedName name="LevelA1162C0" comment="NA==" localSheetId="0" hidden="1">""</definedName>
    <definedName name="LevelA1163" comment="0" localSheetId="0" hidden="1">""</definedName>
    <definedName name="LevelA1163C0" comment="NA==" localSheetId="0" hidden="1">""</definedName>
    <definedName name="LevelA1164" comment="0" localSheetId="0" hidden="1">""</definedName>
    <definedName name="LevelA1164C0" comment="NA==" localSheetId="0" hidden="1">""</definedName>
    <definedName name="LevelA1165" comment="0" localSheetId="0" hidden="1">""</definedName>
    <definedName name="LevelA1165C0" comment="NA==" localSheetId="0" hidden="1">""</definedName>
    <definedName name="LevelA1166" comment="0" localSheetId="0" hidden="1">""</definedName>
    <definedName name="LevelA1166C0" comment="NA==" localSheetId="0" hidden="1">""</definedName>
    <definedName name="LevelA1167" comment="0" localSheetId="0" hidden="1">""</definedName>
    <definedName name="LevelA1167C0" comment="NA==" localSheetId="0" hidden="1">""</definedName>
    <definedName name="LevelA1168" comment="0" localSheetId="0" hidden="1">""</definedName>
    <definedName name="LevelA1168C0" comment="NA==" localSheetId="0" hidden="1">""</definedName>
    <definedName name="LevelA1169" comment="0" localSheetId="0" hidden="1">""</definedName>
    <definedName name="LevelA1169C0" comment="NA==" localSheetId="0" hidden="1">""</definedName>
    <definedName name="LevelA116C0" comment="NA==" localSheetId="0" hidden="1">""</definedName>
    <definedName name="LevelA117" comment="0" localSheetId="0" hidden="1">""</definedName>
    <definedName name="LevelA1170" comment="0" localSheetId="0" hidden="1">""</definedName>
    <definedName name="LevelA1170C0" comment="NA==" localSheetId="0" hidden="1">""</definedName>
    <definedName name="LevelA1171" comment="0" localSheetId="0" hidden="1">""</definedName>
    <definedName name="LevelA1171C0" comment="NA==" localSheetId="0" hidden="1">""</definedName>
    <definedName name="LevelA1172" comment="0" localSheetId="0" hidden="1">""</definedName>
    <definedName name="LevelA1172C0" comment="NA==" localSheetId="0" hidden="1">""</definedName>
    <definedName name="LevelA1173" comment="0" localSheetId="0" hidden="1">""</definedName>
    <definedName name="LevelA1173C0" comment="NA==" localSheetId="0" hidden="1">""</definedName>
    <definedName name="LevelA1174" comment="0" localSheetId="0" hidden="1">""</definedName>
    <definedName name="LevelA1174C0" comment="NA==" localSheetId="0" hidden="1">""</definedName>
    <definedName name="LevelA1175" comment="0" localSheetId="0" hidden="1">""</definedName>
    <definedName name="LevelA1175C0" comment="NA==" localSheetId="0" hidden="1">""</definedName>
    <definedName name="LevelA1176" comment="0" localSheetId="0" hidden="1">""</definedName>
    <definedName name="LevelA1176C0" comment="NA==" localSheetId="0" hidden="1">""</definedName>
    <definedName name="LevelA1177" comment="0" localSheetId="0" hidden="1">""</definedName>
    <definedName name="LevelA1177C0" comment="NA==" localSheetId="0" hidden="1">""</definedName>
    <definedName name="LevelA1178" comment="0" localSheetId="0" hidden="1">""</definedName>
    <definedName name="LevelA1178C0" comment="NA==" localSheetId="0" hidden="1">""</definedName>
    <definedName name="LevelA1179" comment="0" localSheetId="0" hidden="1">""</definedName>
    <definedName name="LevelA1179C0" comment="NA==" localSheetId="0" hidden="1">""</definedName>
    <definedName name="LevelA117C0" comment="NA==" localSheetId="0" hidden="1">""</definedName>
    <definedName name="LevelA118" comment="0" localSheetId="0" hidden="1">""</definedName>
    <definedName name="LevelA1180" comment="0" localSheetId="0" hidden="1">""</definedName>
    <definedName name="LevelA1180C0" comment="NA==" localSheetId="0" hidden="1">""</definedName>
    <definedName name="LevelA1181" comment="0" localSheetId="0" hidden="1">""</definedName>
    <definedName name="LevelA1181C0" comment="NA==" localSheetId="0" hidden="1">""</definedName>
    <definedName name="LevelA1182" comment="0" localSheetId="0" hidden="1">""</definedName>
    <definedName name="LevelA1182C0" comment="NA==" localSheetId="0" hidden="1">""</definedName>
    <definedName name="LevelA1183" comment="0" localSheetId="0" hidden="1">""</definedName>
    <definedName name="LevelA1183C0" comment="NA==" localSheetId="0" hidden="1">""</definedName>
    <definedName name="LevelA1184" comment="0" localSheetId="0" hidden="1">""</definedName>
    <definedName name="LevelA1184C0" comment="NA==" localSheetId="0" hidden="1">""</definedName>
    <definedName name="LevelA1185" comment="0" localSheetId="0" hidden="1">""</definedName>
    <definedName name="LevelA1185C0" comment="NA==" localSheetId="0" hidden="1">""</definedName>
    <definedName name="LevelA1186" comment="0" localSheetId="0" hidden="1">""</definedName>
    <definedName name="LevelA1186C0" comment="NA==" localSheetId="0" hidden="1">""</definedName>
    <definedName name="LevelA1187" comment="0" localSheetId="0" hidden="1">""</definedName>
    <definedName name="LevelA1187C0" comment="NA==" localSheetId="0" hidden="1">""</definedName>
    <definedName name="LevelA1188" comment="0" localSheetId="0" hidden="1">""</definedName>
    <definedName name="LevelA1188C0" comment="NA==" localSheetId="0" hidden="1">""</definedName>
    <definedName name="LevelA1189" comment="0" localSheetId="0" hidden="1">""</definedName>
    <definedName name="LevelA1189C0" comment="NA==" localSheetId="0" hidden="1">""</definedName>
    <definedName name="LevelA118C0" comment="NA==" localSheetId="0" hidden="1">""</definedName>
    <definedName name="LevelA119" comment="0" localSheetId="0" hidden="1">""</definedName>
    <definedName name="LevelA1190" comment="0" localSheetId="0" hidden="1">""</definedName>
    <definedName name="LevelA1190C0" comment="NA==" localSheetId="0" hidden="1">""</definedName>
    <definedName name="LevelA1191" comment="0" localSheetId="0" hidden="1">""</definedName>
    <definedName name="LevelA1191C0" comment="NA==" localSheetId="0" hidden="1">""</definedName>
    <definedName name="LevelA1192" comment="0" localSheetId="0" hidden="1">""</definedName>
    <definedName name="LevelA1192C0" comment="NA==" localSheetId="0" hidden="1">""</definedName>
    <definedName name="LevelA1193" comment="0" localSheetId="0" hidden="1">""</definedName>
    <definedName name="LevelA1193C0" comment="NA==" localSheetId="0" hidden="1">""</definedName>
    <definedName name="LevelA1194" comment="0" localSheetId="0" hidden="1">""</definedName>
    <definedName name="LevelA1194C0" comment="NA==" localSheetId="0" hidden="1">""</definedName>
    <definedName name="LevelA1195" comment="0" localSheetId="0" hidden="1">""</definedName>
    <definedName name="LevelA1195C0" comment="NA==" localSheetId="0" hidden="1">""</definedName>
    <definedName name="LevelA1196" comment="0" localSheetId="0" hidden="1">""</definedName>
    <definedName name="LevelA1196C0" comment="NA==" localSheetId="0" hidden="1">""</definedName>
    <definedName name="LevelA1197" comment="0" localSheetId="0" hidden="1">""</definedName>
    <definedName name="LevelA1197C0" comment="NA==" localSheetId="0" hidden="1">""</definedName>
    <definedName name="LevelA1198" comment="0" localSheetId="0" hidden="1">""</definedName>
    <definedName name="LevelA1198C0" comment="NA==" localSheetId="0" hidden="1">""</definedName>
    <definedName name="LevelA1199" comment="0" localSheetId="0" hidden="1">""</definedName>
    <definedName name="LevelA1199C0" comment="NA==" localSheetId="0" hidden="1">""</definedName>
    <definedName name="LevelA119C0" comment="NA==" localSheetId="0" hidden="1">""</definedName>
    <definedName name="LevelA11C0" comment="NA==" localSheetId="0" hidden="1">""</definedName>
    <definedName name="LevelA12" comment="0" localSheetId="0" hidden="1">""</definedName>
    <definedName name="LevelA120" comment="0" localSheetId="0" hidden="1">""</definedName>
    <definedName name="LevelA1200" comment="0" localSheetId="0" hidden="1">""</definedName>
    <definedName name="LevelA1200C0" comment="NA==" localSheetId="0" hidden="1">""</definedName>
    <definedName name="LevelA1201" comment="0" localSheetId="0" hidden="1">""</definedName>
    <definedName name="LevelA1201C0" comment="NA==" localSheetId="0" hidden="1">""</definedName>
    <definedName name="LevelA1202" comment="0" localSheetId="0" hidden="1">""</definedName>
    <definedName name="LevelA1202C0" comment="NA==" localSheetId="0" hidden="1">""</definedName>
    <definedName name="LevelA1203" comment="0" localSheetId="0" hidden="1">""</definedName>
    <definedName name="LevelA1203C0" comment="NA==" localSheetId="0" hidden="1">""</definedName>
    <definedName name="LevelA1204" comment="0" localSheetId="0" hidden="1">""</definedName>
    <definedName name="LevelA1204C0" comment="NA==" localSheetId="0" hidden="1">""</definedName>
    <definedName name="LevelA1205" comment="0" localSheetId="0" hidden="1">""</definedName>
    <definedName name="LevelA1205C0" comment="NA==" localSheetId="0" hidden="1">""</definedName>
    <definedName name="LevelA1206" comment="0" localSheetId="0" hidden="1">""</definedName>
    <definedName name="LevelA1206C0" comment="NA==" localSheetId="0" hidden="1">""</definedName>
    <definedName name="LevelA1207" comment="0" localSheetId="0" hidden="1">""</definedName>
    <definedName name="LevelA1207C0" comment="NA==" localSheetId="0" hidden="1">""</definedName>
    <definedName name="LevelA1208" comment="0" localSheetId="0" hidden="1">""</definedName>
    <definedName name="LevelA1208C0" comment="NA==" localSheetId="0" hidden="1">""</definedName>
    <definedName name="LevelA1209" comment="0" localSheetId="0" hidden="1">""</definedName>
    <definedName name="LevelA1209C0" comment="NA==" localSheetId="0" hidden="1">""</definedName>
    <definedName name="LevelA120C0" comment="NA==" localSheetId="0" hidden="1">""</definedName>
    <definedName name="LevelA121" comment="0" localSheetId="0" hidden="1">""</definedName>
    <definedName name="LevelA1210" comment="0" localSheetId="0" hidden="1">""</definedName>
    <definedName name="LevelA1210C0" comment="NA==" localSheetId="0" hidden="1">""</definedName>
    <definedName name="LevelA1211" comment="0" localSheetId="0" hidden="1">""</definedName>
    <definedName name="LevelA1211C0" comment="NA==" localSheetId="0" hidden="1">""</definedName>
    <definedName name="LevelA1212" comment="0" localSheetId="0" hidden="1">""</definedName>
    <definedName name="LevelA1212C0" comment="NA==" localSheetId="0" hidden="1">""</definedName>
    <definedName name="LevelA1213" comment="0" localSheetId="0" hidden="1">""</definedName>
    <definedName name="LevelA1213C0" comment="NA==" localSheetId="0" hidden="1">""</definedName>
    <definedName name="LevelA1214" comment="0" localSheetId="0" hidden="1">""</definedName>
    <definedName name="LevelA1214C0" comment="NA==" localSheetId="0" hidden="1">""</definedName>
    <definedName name="LevelA1215" comment="0" localSheetId="0" hidden="1">""</definedName>
    <definedName name="LevelA1215C0" comment="NA==" localSheetId="0" hidden="1">""</definedName>
    <definedName name="LevelA1216" comment="0" localSheetId="0" hidden="1">""</definedName>
    <definedName name="LevelA1216C0" comment="NA==" localSheetId="0" hidden="1">""</definedName>
    <definedName name="LevelA1217" comment="0" localSheetId="0" hidden="1">""</definedName>
    <definedName name="LevelA1217C0" comment="NA==" localSheetId="0" hidden="1">""</definedName>
    <definedName name="LevelA1218" comment="0" localSheetId="0" hidden="1">""</definedName>
    <definedName name="LevelA1218C0" comment="NA==" localSheetId="0" hidden="1">""</definedName>
    <definedName name="LevelA1219" comment="0" localSheetId="0" hidden="1">""</definedName>
    <definedName name="LevelA1219C0" comment="NA==" localSheetId="0" hidden="1">""</definedName>
    <definedName name="LevelA121C0" comment="NA==" localSheetId="0" hidden="1">""</definedName>
    <definedName name="LevelA122" comment="0" localSheetId="0" hidden="1">""</definedName>
    <definedName name="LevelA1220" comment="0" localSheetId="0" hidden="1">""</definedName>
    <definedName name="LevelA1220C0" comment="NA==" localSheetId="0" hidden="1">""</definedName>
    <definedName name="LevelA1221" comment="0" localSheetId="0" hidden="1">""</definedName>
    <definedName name="LevelA1221C0" comment="NA==" localSheetId="0" hidden="1">""</definedName>
    <definedName name="LevelA1222" comment="0" localSheetId="0" hidden="1">""</definedName>
    <definedName name="LevelA1222C0" comment="NA==" localSheetId="0" hidden="1">""</definedName>
    <definedName name="LevelA1223" comment="0" localSheetId="0" hidden="1">""</definedName>
    <definedName name="LevelA1223C0" comment="NA==" localSheetId="0" hidden="1">""</definedName>
    <definedName name="LevelA1224" comment="0" localSheetId="0" hidden="1">""</definedName>
    <definedName name="LevelA1224C0" comment="NA==" localSheetId="0" hidden="1">""</definedName>
    <definedName name="LevelA1225" comment="0" localSheetId="0" hidden="1">""</definedName>
    <definedName name="LevelA1225C0" comment="NA==" localSheetId="0" hidden="1">""</definedName>
    <definedName name="LevelA1226" comment="0" localSheetId="0" hidden="1">""</definedName>
    <definedName name="LevelA1226C0" comment="NA==" localSheetId="0" hidden="1">""</definedName>
    <definedName name="LevelA1227" comment="0" localSheetId="0" hidden="1">""</definedName>
    <definedName name="LevelA1227C0" comment="NA==" localSheetId="0" hidden="1">""</definedName>
    <definedName name="LevelA1228" comment="0" localSheetId="0" hidden="1">""</definedName>
    <definedName name="LevelA1228C0" comment="NA==" localSheetId="0" hidden="1">""</definedName>
    <definedName name="LevelA1229" comment="0" localSheetId="0" hidden="1">""</definedName>
    <definedName name="LevelA1229C0" comment="NA==" localSheetId="0" hidden="1">""</definedName>
    <definedName name="LevelA122C0" comment="NA==" localSheetId="0" hidden="1">""</definedName>
    <definedName name="LevelA123" comment="0" localSheetId="0" hidden="1">""</definedName>
    <definedName name="LevelA1230" comment="0" localSheetId="0" hidden="1">""</definedName>
    <definedName name="LevelA1230C0" comment="NA==" localSheetId="0" hidden="1">""</definedName>
    <definedName name="LevelA1231" comment="0" localSheetId="0" hidden="1">""</definedName>
    <definedName name="LevelA1231C0" comment="NA==" localSheetId="0" hidden="1">""</definedName>
    <definedName name="LevelA1232" comment="0" localSheetId="0" hidden="1">""</definedName>
    <definedName name="LevelA1232C0" comment="NA==" localSheetId="0" hidden="1">""</definedName>
    <definedName name="LevelA1233" comment="0" localSheetId="0" hidden="1">""</definedName>
    <definedName name="LevelA1233C0" comment="NA==" localSheetId="0" hidden="1">""</definedName>
    <definedName name="LevelA1234" comment="0" localSheetId="0" hidden="1">""</definedName>
    <definedName name="LevelA1234C0" comment="NA==" localSheetId="0" hidden="1">""</definedName>
    <definedName name="LevelA1235" comment="0" localSheetId="0" hidden="1">""</definedName>
    <definedName name="LevelA1235C0" comment="NA==" localSheetId="0" hidden="1">""</definedName>
    <definedName name="LevelA1236" comment="0" localSheetId="0" hidden="1">""</definedName>
    <definedName name="LevelA1236C0" comment="NA==" localSheetId="0" hidden="1">""</definedName>
    <definedName name="LevelA1237" comment="0" localSheetId="0" hidden="1">""</definedName>
    <definedName name="LevelA1237C0" comment="NA==" localSheetId="0" hidden="1">""</definedName>
    <definedName name="LevelA1238" comment="0" localSheetId="0" hidden="1">""</definedName>
    <definedName name="LevelA1238C0" comment="NA==" localSheetId="0" hidden="1">""</definedName>
    <definedName name="LevelA1239" comment="0" localSheetId="0" hidden="1">""</definedName>
    <definedName name="LevelA1239C0" comment="NA==" localSheetId="0" hidden="1">""</definedName>
    <definedName name="LevelA123C0" comment="NA==" localSheetId="0" hidden="1">""</definedName>
    <definedName name="LevelA124" comment="0" localSheetId="0" hidden="1">""</definedName>
    <definedName name="LevelA1240" comment="0" localSheetId="0" hidden="1">""</definedName>
    <definedName name="LevelA1240C0" comment="NA==" localSheetId="0" hidden="1">""</definedName>
    <definedName name="LevelA1241" comment="0" localSheetId="0" hidden="1">""</definedName>
    <definedName name="LevelA1241C0" comment="NA==" localSheetId="0" hidden="1">""</definedName>
    <definedName name="LevelA1242" comment="0" localSheetId="0" hidden="1">""</definedName>
    <definedName name="LevelA1242C0" comment="NA==" localSheetId="0" hidden="1">""</definedName>
    <definedName name="LevelA1243" comment="0" localSheetId="0" hidden="1">""</definedName>
    <definedName name="LevelA1243C0" comment="NA==" localSheetId="0" hidden="1">""</definedName>
    <definedName name="LevelA1244" comment="0" localSheetId="0" hidden="1">""</definedName>
    <definedName name="LevelA1244C0" comment="NA==" localSheetId="0" hidden="1">""</definedName>
    <definedName name="LevelA1245" comment="0" localSheetId="0" hidden="1">""</definedName>
    <definedName name="LevelA1245C0" comment="NA==" localSheetId="0" hidden="1">""</definedName>
    <definedName name="LevelA1246" comment="0" localSheetId="0" hidden="1">""</definedName>
    <definedName name="LevelA1246C0" comment="NA==" localSheetId="0" hidden="1">""</definedName>
    <definedName name="LevelA1247" comment="0" localSheetId="0" hidden="1">""</definedName>
    <definedName name="LevelA1247C0" comment="NA==" localSheetId="0" hidden="1">""</definedName>
    <definedName name="LevelA1248" comment="0" localSheetId="0" hidden="1">""</definedName>
    <definedName name="LevelA1248C0" comment="NA==" localSheetId="0" hidden="1">""</definedName>
    <definedName name="LevelA1249" comment="0" localSheetId="0" hidden="1">""</definedName>
    <definedName name="LevelA1249C0" comment="NA==" localSheetId="0" hidden="1">""</definedName>
    <definedName name="LevelA124C0" comment="NA==" localSheetId="0" hidden="1">""</definedName>
    <definedName name="LevelA125" comment="0" localSheetId="0" hidden="1">""</definedName>
    <definedName name="LevelA1250" comment="0" localSheetId="0" hidden="1">""</definedName>
    <definedName name="LevelA1250C0" comment="NA==" localSheetId="0" hidden="1">""</definedName>
    <definedName name="LevelA1251" comment="0" localSheetId="0" hidden="1">""</definedName>
    <definedName name="LevelA1251C0" comment="NA==" localSheetId="0" hidden="1">""</definedName>
    <definedName name="LevelA1252" comment="0" localSheetId="0" hidden="1">""</definedName>
    <definedName name="LevelA1252C0" comment="NA==" localSheetId="0" hidden="1">""</definedName>
    <definedName name="LevelA1253" comment="0" localSheetId="0" hidden="1">""</definedName>
    <definedName name="LevelA1253C0" comment="NA==" localSheetId="0" hidden="1">""</definedName>
    <definedName name="LevelA1254" comment="0" localSheetId="0" hidden="1">""</definedName>
    <definedName name="LevelA1254C0" comment="NA==" localSheetId="0" hidden="1">""</definedName>
    <definedName name="LevelA1255" comment="0" localSheetId="0" hidden="1">""</definedName>
    <definedName name="LevelA1255C0" comment="NA==" localSheetId="0" hidden="1">""</definedName>
    <definedName name="LevelA1256" comment="0" localSheetId="0" hidden="1">""</definedName>
    <definedName name="LevelA1256C0" comment="NA==" localSheetId="0" hidden="1">""</definedName>
    <definedName name="LevelA1257" comment="0" localSheetId="0" hidden="1">""</definedName>
    <definedName name="LevelA1257C0" comment="NA==" localSheetId="0" hidden="1">""</definedName>
    <definedName name="LevelA1258" comment="0" localSheetId="0" hidden="1">""</definedName>
    <definedName name="LevelA1258C0" comment="NA==" localSheetId="0" hidden="1">""</definedName>
    <definedName name="LevelA1259" comment="0" localSheetId="0" hidden="1">""</definedName>
    <definedName name="LevelA1259C0" comment="NA==" localSheetId="0" hidden="1">""</definedName>
    <definedName name="LevelA125C0" comment="NA==" localSheetId="0" hidden="1">""</definedName>
    <definedName name="LevelA126" comment="0" localSheetId="0" hidden="1">""</definedName>
    <definedName name="LevelA1260" comment="0" localSheetId="0" hidden="1">""</definedName>
    <definedName name="LevelA1260C0" comment="NA==" localSheetId="0" hidden="1">""</definedName>
    <definedName name="LevelA1261" comment="0" localSheetId="0" hidden="1">""</definedName>
    <definedName name="LevelA1261C0" comment="NA==" localSheetId="0" hidden="1">""</definedName>
    <definedName name="LevelA1262" comment="0" localSheetId="0" hidden="1">""</definedName>
    <definedName name="LevelA1262C0" comment="NA==" localSheetId="0" hidden="1">""</definedName>
    <definedName name="LevelA1263" comment="0" localSheetId="0" hidden="1">""</definedName>
    <definedName name="LevelA1263C0" comment="NA==" localSheetId="0" hidden="1">""</definedName>
    <definedName name="LevelA1264" comment="0" localSheetId="0" hidden="1">""</definedName>
    <definedName name="LevelA1264C0" comment="NA==" localSheetId="0" hidden="1">""</definedName>
    <definedName name="LevelA1265" comment="0" localSheetId="0" hidden="1">""</definedName>
    <definedName name="LevelA1265C0" comment="NA==" localSheetId="0" hidden="1">""</definedName>
    <definedName name="LevelA1266" comment="0" localSheetId="0" hidden="1">""</definedName>
    <definedName name="LevelA1266C0" comment="NA==" localSheetId="0" hidden="1">""</definedName>
    <definedName name="LevelA1267" comment="0" localSheetId="0" hidden="1">""</definedName>
    <definedName name="LevelA1267C0" comment="NA==" localSheetId="0" hidden="1">""</definedName>
    <definedName name="LevelA1268" comment="0" localSheetId="0" hidden="1">""</definedName>
    <definedName name="LevelA1268C0" comment="NA==" localSheetId="0" hidden="1">""</definedName>
    <definedName name="LevelA1269" comment="0" localSheetId="0" hidden="1">""</definedName>
    <definedName name="LevelA1269C0" comment="NA==" localSheetId="0" hidden="1">""</definedName>
    <definedName name="LevelA126C0" comment="NA==" localSheetId="0" hidden="1">""</definedName>
    <definedName name="LevelA127" comment="0" localSheetId="0" hidden="1">""</definedName>
    <definedName name="LevelA1270" comment="0" localSheetId="0" hidden="1">""</definedName>
    <definedName name="LevelA1270C0" comment="NA==" localSheetId="0" hidden="1">""</definedName>
    <definedName name="LevelA1271" comment="0" localSheetId="0" hidden="1">""</definedName>
    <definedName name="LevelA1271C0" comment="NA==" localSheetId="0" hidden="1">""</definedName>
    <definedName name="LevelA1272" comment="0" localSheetId="0" hidden="1">""</definedName>
    <definedName name="LevelA1272C0" comment="NA==" localSheetId="0" hidden="1">""</definedName>
    <definedName name="LevelA1273" comment="0" localSheetId="0" hidden="1">""</definedName>
    <definedName name="LevelA1273C0" comment="NA==" localSheetId="0" hidden="1">""</definedName>
    <definedName name="LevelA1274" comment="0" localSheetId="0" hidden="1">""</definedName>
    <definedName name="LevelA1274C0" comment="NA==" localSheetId="0" hidden="1">""</definedName>
    <definedName name="LevelA1275" comment="0" localSheetId="0" hidden="1">""</definedName>
    <definedName name="LevelA1275C0" comment="NA==" localSheetId="0" hidden="1">""</definedName>
    <definedName name="LevelA1276" comment="0" localSheetId="0" hidden="1">""</definedName>
    <definedName name="LevelA1276C0" comment="NA==" localSheetId="0" hidden="1">""</definedName>
    <definedName name="LevelA1277" comment="0" localSheetId="0" hidden="1">""</definedName>
    <definedName name="LevelA1277C0" comment="NA==" localSheetId="0" hidden="1">""</definedName>
    <definedName name="LevelA1278" comment="0" localSheetId="0" hidden="1">""</definedName>
    <definedName name="LevelA1278C0" comment="NA==" localSheetId="0" hidden="1">""</definedName>
    <definedName name="LevelA1279" comment="0" localSheetId="0" hidden="1">""</definedName>
    <definedName name="LevelA1279C0" comment="NA==" localSheetId="0" hidden="1">""</definedName>
    <definedName name="LevelA127C0" comment="NA==" localSheetId="0" hidden="1">""</definedName>
    <definedName name="LevelA128" comment="0" localSheetId="0" hidden="1">""</definedName>
    <definedName name="LevelA1280" comment="0" localSheetId="0" hidden="1">""</definedName>
    <definedName name="LevelA1280C0" comment="NA==" localSheetId="0" hidden="1">""</definedName>
    <definedName name="LevelA1281" comment="0" localSheetId="0" hidden="1">""</definedName>
    <definedName name="LevelA1281C0" comment="NA==" localSheetId="0" hidden="1">""</definedName>
    <definedName name="LevelA1282" comment="0" localSheetId="0" hidden="1">""</definedName>
    <definedName name="LevelA1282C0" comment="NA==" localSheetId="0" hidden="1">""</definedName>
    <definedName name="LevelA1283" comment="0" localSheetId="0" hidden="1">""</definedName>
    <definedName name="LevelA1283C0" comment="NA==" localSheetId="0" hidden="1">""</definedName>
    <definedName name="LevelA1284" comment="0" localSheetId="0" hidden="1">""</definedName>
    <definedName name="LevelA1284C0" comment="NA==" localSheetId="0" hidden="1">""</definedName>
    <definedName name="LevelA1285" comment="0" localSheetId="0" hidden="1">""</definedName>
    <definedName name="LevelA1285C0" comment="NA==" localSheetId="0" hidden="1">""</definedName>
    <definedName name="LevelA1286" comment="0" localSheetId="0" hidden="1">""</definedName>
    <definedName name="LevelA1286C0" comment="NA==" localSheetId="0" hidden="1">""</definedName>
    <definedName name="LevelA1287" comment="0" localSheetId="0" hidden="1">""</definedName>
    <definedName name="LevelA1287C0" comment="NA==" localSheetId="0" hidden="1">""</definedName>
    <definedName name="LevelA1288" comment="0" localSheetId="0" hidden="1">""</definedName>
    <definedName name="LevelA1288C0" comment="NA==" localSheetId="0" hidden="1">""</definedName>
    <definedName name="LevelA1289" comment="0" localSheetId="0" hidden="1">""</definedName>
    <definedName name="LevelA1289C0" comment="NA==" localSheetId="0" hidden="1">""</definedName>
    <definedName name="LevelA128C0" comment="NA==" localSheetId="0" hidden="1">""</definedName>
    <definedName name="LevelA129" comment="0" localSheetId="0" hidden="1">""</definedName>
    <definedName name="LevelA1290" comment="0" localSheetId="0" hidden="1">""</definedName>
    <definedName name="LevelA1290C0" comment="NA==" localSheetId="0" hidden="1">""</definedName>
    <definedName name="LevelA1291" comment="0" localSheetId="0" hidden="1">""</definedName>
    <definedName name="LevelA1291C0" comment="NA==" localSheetId="0" hidden="1">""</definedName>
    <definedName name="LevelA1292" comment="0" localSheetId="0" hidden="1">""</definedName>
    <definedName name="LevelA1292C0" comment="NA==" localSheetId="0" hidden="1">""</definedName>
    <definedName name="LevelA1293" comment="0" localSheetId="0" hidden="1">""</definedName>
    <definedName name="LevelA1293C0" comment="NA==" localSheetId="0" hidden="1">""</definedName>
    <definedName name="LevelA1294" comment="0" localSheetId="0" hidden="1">""</definedName>
    <definedName name="LevelA1294C0" comment="NA==" localSheetId="0" hidden="1">""</definedName>
    <definedName name="LevelA1295" comment="0" localSheetId="0" hidden="1">""</definedName>
    <definedName name="LevelA1295C0" comment="NA==" localSheetId="0" hidden="1">""</definedName>
    <definedName name="LevelA1296" comment="0" localSheetId="0" hidden="1">""</definedName>
    <definedName name="LevelA1296C0" comment="NA==" localSheetId="0" hidden="1">""</definedName>
    <definedName name="LevelA1297" comment="0" localSheetId="0" hidden="1">""</definedName>
    <definedName name="LevelA1297C0" comment="NA==" localSheetId="0" hidden="1">""</definedName>
    <definedName name="LevelA1298" comment="0" localSheetId="0" hidden="1">""</definedName>
    <definedName name="LevelA1298C0" comment="NA==" localSheetId="0" hidden="1">""</definedName>
    <definedName name="LevelA1299" comment="0" localSheetId="0" hidden="1">""</definedName>
    <definedName name="LevelA1299C0" comment="NA==" localSheetId="0" hidden="1">""</definedName>
    <definedName name="LevelA129C0" comment="NA==" localSheetId="0" hidden="1">""</definedName>
    <definedName name="LevelA12C0" comment="NA==" localSheetId="0" hidden="1">""</definedName>
    <definedName name="LevelA13" comment="0" localSheetId="0" hidden="1">""</definedName>
    <definedName name="LevelA130" comment="0" localSheetId="0" hidden="1">""</definedName>
    <definedName name="LevelA1300" comment="0" localSheetId="0" hidden="1">""</definedName>
    <definedName name="LevelA1300C0" comment="NA==" localSheetId="0" hidden="1">""</definedName>
    <definedName name="LevelA1301" comment="0" localSheetId="0" hidden="1">""</definedName>
    <definedName name="LevelA1301C0" comment="NA==" localSheetId="0" hidden="1">""</definedName>
    <definedName name="LevelA1302" comment="0" localSheetId="0" hidden="1">""</definedName>
    <definedName name="LevelA1302C0" comment="NA==" localSheetId="0" hidden="1">""</definedName>
    <definedName name="LevelA1303" comment="0" localSheetId="0" hidden="1">""</definedName>
    <definedName name="LevelA1303C0" comment="NA==" localSheetId="0" hidden="1">""</definedName>
    <definedName name="LevelA1304" comment="0" localSheetId="0" hidden="1">""</definedName>
    <definedName name="LevelA1304C0" comment="NA==" localSheetId="0" hidden="1">""</definedName>
    <definedName name="LevelA1305" comment="0" localSheetId="0" hidden="1">""</definedName>
    <definedName name="LevelA1305C0" comment="NA==" localSheetId="0" hidden="1">""</definedName>
    <definedName name="LevelA1306" comment="0" localSheetId="0" hidden="1">""</definedName>
    <definedName name="LevelA1306C0" comment="NA==" localSheetId="0" hidden="1">""</definedName>
    <definedName name="LevelA1307" comment="0" localSheetId="0" hidden="1">""</definedName>
    <definedName name="LevelA1307C0" comment="NA==" localSheetId="0" hidden="1">""</definedName>
    <definedName name="LevelA1308" comment="0" localSheetId="0" hidden="1">""</definedName>
    <definedName name="LevelA1308C0" comment="NA==" localSheetId="0" hidden="1">""</definedName>
    <definedName name="LevelA1309" comment="0" localSheetId="0" hidden="1">""</definedName>
    <definedName name="LevelA1309C0" comment="NA==" localSheetId="0" hidden="1">""</definedName>
    <definedName name="LevelA130C0" comment="NA==" localSheetId="0" hidden="1">""</definedName>
    <definedName name="LevelA131" comment="0" localSheetId="0" hidden="1">""</definedName>
    <definedName name="LevelA1310" comment="0" localSheetId="0" hidden="1">""</definedName>
    <definedName name="LevelA1310C0" comment="NA==" localSheetId="0" hidden="1">""</definedName>
    <definedName name="LevelA1311" comment="0" localSheetId="0" hidden="1">""</definedName>
    <definedName name="LevelA1311C0" comment="NA==" localSheetId="0" hidden="1">""</definedName>
    <definedName name="LevelA1312" comment="0" localSheetId="0" hidden="1">""</definedName>
    <definedName name="LevelA1312C0" comment="NA==" localSheetId="0" hidden="1">""</definedName>
    <definedName name="LevelA1313" comment="0" localSheetId="0" hidden="1">""</definedName>
    <definedName name="LevelA1313C0" comment="NA==" localSheetId="0" hidden="1">""</definedName>
    <definedName name="LevelA1314" comment="0" localSheetId="0" hidden="1">""</definedName>
    <definedName name="LevelA1314C0" comment="NA==" localSheetId="0" hidden="1">""</definedName>
    <definedName name="LevelA1315" comment="0" localSheetId="0" hidden="1">""</definedName>
    <definedName name="LevelA1315C0" comment="NA==" localSheetId="0" hidden="1">""</definedName>
    <definedName name="LevelA1316" comment="0" localSheetId="0" hidden="1">""</definedName>
    <definedName name="LevelA1316C0" comment="NA==" localSheetId="0" hidden="1">""</definedName>
    <definedName name="LevelA1317" comment="0" localSheetId="0" hidden="1">""</definedName>
    <definedName name="LevelA1317C0" comment="NA==" localSheetId="0" hidden="1">""</definedName>
    <definedName name="LevelA1318" comment="0" localSheetId="0" hidden="1">""</definedName>
    <definedName name="LevelA1318C0" comment="NA==" localSheetId="0" hidden="1">""</definedName>
    <definedName name="LevelA1319" comment="0" localSheetId="0" hidden="1">""</definedName>
    <definedName name="LevelA1319C0" comment="NA==" localSheetId="0" hidden="1">""</definedName>
    <definedName name="LevelA131C0" comment="NA==" localSheetId="0" hidden="1">""</definedName>
    <definedName name="LevelA132" comment="0" localSheetId="0" hidden="1">""</definedName>
    <definedName name="LevelA1320" comment="0" localSheetId="0" hidden="1">""</definedName>
    <definedName name="LevelA1320C0" comment="NA==" localSheetId="0" hidden="1">""</definedName>
    <definedName name="LevelA1321" comment="0" localSheetId="0" hidden="1">""</definedName>
    <definedName name="LevelA1321C0" comment="NA==" localSheetId="0" hidden="1">""</definedName>
    <definedName name="LevelA1322" comment="0" localSheetId="0" hidden="1">""</definedName>
    <definedName name="LevelA1322C0" comment="NA==" localSheetId="0" hidden="1">""</definedName>
    <definedName name="LevelA1323" comment="0" localSheetId="0" hidden="1">""</definedName>
    <definedName name="LevelA1323C0" comment="NA==" localSheetId="0" hidden="1">""</definedName>
    <definedName name="LevelA1324" comment="0" localSheetId="0" hidden="1">""</definedName>
    <definedName name="LevelA1324C0" comment="NA==" localSheetId="0" hidden="1">""</definedName>
    <definedName name="LevelA1325" comment="0" localSheetId="0" hidden="1">""</definedName>
    <definedName name="LevelA1325C0" comment="NA==" localSheetId="0" hidden="1">""</definedName>
    <definedName name="LevelA1326" comment="0" localSheetId="0" hidden="1">""</definedName>
    <definedName name="LevelA1326C0" comment="NA==" localSheetId="0" hidden="1">""</definedName>
    <definedName name="LevelA1327" comment="0" localSheetId="0" hidden="1">""</definedName>
    <definedName name="LevelA1327C0" comment="NA==" localSheetId="0" hidden="1">""</definedName>
    <definedName name="LevelA1328" comment="0" localSheetId="0" hidden="1">""</definedName>
    <definedName name="LevelA1328C0" comment="NA==" localSheetId="0" hidden="1">""</definedName>
    <definedName name="LevelA1329" comment="0" localSheetId="0" hidden="1">""</definedName>
    <definedName name="LevelA1329C0" comment="NA==" localSheetId="0" hidden="1">""</definedName>
    <definedName name="LevelA132C0" comment="NA==" localSheetId="0" hidden="1">""</definedName>
    <definedName name="LevelA133" comment="0" localSheetId="0" hidden="1">""</definedName>
    <definedName name="LevelA1330" comment="0" localSheetId="0" hidden="1">""</definedName>
    <definedName name="LevelA1330C0" comment="NA==" localSheetId="0" hidden="1">""</definedName>
    <definedName name="LevelA1331" comment="0" localSheetId="0" hidden="1">""</definedName>
    <definedName name="LevelA1331C0" comment="NA==" localSheetId="0" hidden="1">""</definedName>
    <definedName name="LevelA1332" comment="0" localSheetId="0" hidden="1">""</definedName>
    <definedName name="LevelA1332C0" comment="NA==" localSheetId="0" hidden="1">""</definedName>
    <definedName name="LevelA1333" comment="0" localSheetId="0" hidden="1">""</definedName>
    <definedName name="LevelA1333C0" comment="NA==" localSheetId="0" hidden="1">""</definedName>
    <definedName name="LevelA1334" comment="0" localSheetId="0" hidden="1">""</definedName>
    <definedName name="LevelA1334C0" comment="NA==" localSheetId="0" hidden="1">""</definedName>
    <definedName name="LevelA1335" comment="0" localSheetId="0" hidden="1">""</definedName>
    <definedName name="LevelA1335C0" comment="NA==" localSheetId="0" hidden="1">""</definedName>
    <definedName name="LevelA1336" comment="0" localSheetId="0" hidden="1">""</definedName>
    <definedName name="LevelA1336C0" comment="NA==" localSheetId="0" hidden="1">""</definedName>
    <definedName name="LevelA1337" comment="0" localSheetId="0" hidden="1">""</definedName>
    <definedName name="LevelA1337C0" comment="NA==" localSheetId="0" hidden="1">""</definedName>
    <definedName name="LevelA1338" comment="0" localSheetId="0" hidden="1">""</definedName>
    <definedName name="LevelA1338C0" comment="NA==" localSheetId="0" hidden="1">""</definedName>
    <definedName name="LevelA1339" comment="0" localSheetId="0" hidden="1">""</definedName>
    <definedName name="LevelA1339C0" comment="NA==" localSheetId="0" hidden="1">""</definedName>
    <definedName name="LevelA133C0" comment="NA==" localSheetId="0" hidden="1">""</definedName>
    <definedName name="LevelA134" comment="0" localSheetId="0" hidden="1">""</definedName>
    <definedName name="LevelA1340" comment="0" localSheetId="0" hidden="1">""</definedName>
    <definedName name="LevelA1340C0" comment="NA==" localSheetId="0" hidden="1">""</definedName>
    <definedName name="LevelA1341" comment="0" localSheetId="0" hidden="1">""</definedName>
    <definedName name="LevelA1341C0" comment="NA==" localSheetId="0" hidden="1">""</definedName>
    <definedName name="LevelA1342" comment="0" localSheetId="0" hidden="1">""</definedName>
    <definedName name="LevelA1342C0" comment="NA==" localSheetId="0" hidden="1">""</definedName>
    <definedName name="LevelA1343" comment="0" localSheetId="0" hidden="1">""</definedName>
    <definedName name="LevelA1343C0" comment="NA==" localSheetId="0" hidden="1">""</definedName>
    <definedName name="LevelA1344" comment="0" localSheetId="0" hidden="1">""</definedName>
    <definedName name="LevelA1344C0" comment="NA==" localSheetId="0" hidden="1">""</definedName>
    <definedName name="LevelA1345" comment="0" localSheetId="0" hidden="1">""</definedName>
    <definedName name="LevelA1345C0" comment="NA==" localSheetId="0" hidden="1">""</definedName>
    <definedName name="LevelA1346" comment="0" localSheetId="0" hidden="1">""</definedName>
    <definedName name="LevelA1346C0" comment="NA==" localSheetId="0" hidden="1">""</definedName>
    <definedName name="LevelA1347" comment="0" localSheetId="0" hidden="1">""</definedName>
    <definedName name="LevelA1347C0" comment="NA==" localSheetId="0" hidden="1">""</definedName>
    <definedName name="LevelA1348" comment="0" localSheetId="0" hidden="1">""</definedName>
    <definedName name="LevelA1348C0" comment="NA==" localSheetId="0" hidden="1">""</definedName>
    <definedName name="LevelA1349" comment="0" localSheetId="0" hidden="1">""</definedName>
    <definedName name="LevelA1349C0" comment="NA==" localSheetId="0" hidden="1">""</definedName>
    <definedName name="LevelA134C0" comment="NA==" localSheetId="0" hidden="1">""</definedName>
    <definedName name="LevelA135" comment="0" localSheetId="0" hidden="1">""</definedName>
    <definedName name="LevelA1350" comment="0" localSheetId="0" hidden="1">""</definedName>
    <definedName name="LevelA1350C0" comment="NA==" localSheetId="0" hidden="1">""</definedName>
    <definedName name="LevelA1351" comment="0" localSheetId="0" hidden="1">""</definedName>
    <definedName name="LevelA1351C0" comment="NA==" localSheetId="0" hidden="1">""</definedName>
    <definedName name="LevelA1352" comment="0" localSheetId="0" hidden="1">""</definedName>
    <definedName name="LevelA1352C0" comment="NA==" localSheetId="0" hidden="1">""</definedName>
    <definedName name="LevelA1353" comment="0" localSheetId="0" hidden="1">""</definedName>
    <definedName name="LevelA1353C0" comment="NA==" localSheetId="0" hidden="1">""</definedName>
    <definedName name="LevelA1354" comment="0" localSheetId="0" hidden="1">""</definedName>
    <definedName name="LevelA1354C0" comment="NA==" localSheetId="0" hidden="1">""</definedName>
    <definedName name="LevelA1355" comment="0" localSheetId="0" hidden="1">""</definedName>
    <definedName name="LevelA1355C0" comment="NA==" localSheetId="0" hidden="1">""</definedName>
    <definedName name="LevelA1356" comment="0" localSheetId="0" hidden="1">""</definedName>
    <definedName name="LevelA1356C0" comment="NA==" localSheetId="0" hidden="1">""</definedName>
    <definedName name="LevelA1357" comment="0" localSheetId="0" hidden="1">""</definedName>
    <definedName name="LevelA1357C0" comment="NA==" localSheetId="0" hidden="1">""</definedName>
    <definedName name="LevelA1358" comment="0" localSheetId="0" hidden="1">""</definedName>
    <definedName name="LevelA1358C0" comment="NA==" localSheetId="0" hidden="1">""</definedName>
    <definedName name="LevelA1359" comment="0" localSheetId="0" hidden="1">""</definedName>
    <definedName name="LevelA1359C0" comment="NA==" localSheetId="0" hidden="1">""</definedName>
    <definedName name="LevelA135C0" comment="NA==" localSheetId="0" hidden="1">""</definedName>
    <definedName name="LevelA136" comment="0" localSheetId="0" hidden="1">""</definedName>
    <definedName name="LevelA1360" comment="0" localSheetId="0" hidden="1">""</definedName>
    <definedName name="LevelA1360C0" comment="NA==" localSheetId="0" hidden="1">""</definedName>
    <definedName name="LevelA1361" comment="0" localSheetId="0" hidden="1">""</definedName>
    <definedName name="LevelA1361C0" comment="NA==" localSheetId="0" hidden="1">""</definedName>
    <definedName name="LevelA1362" comment="0" localSheetId="0" hidden="1">""</definedName>
    <definedName name="LevelA1362C0" comment="NA==" localSheetId="0" hidden="1">""</definedName>
    <definedName name="LevelA1363" comment="0" localSheetId="0" hidden="1">""</definedName>
    <definedName name="LevelA1363C0" comment="NA==" localSheetId="0" hidden="1">""</definedName>
    <definedName name="LevelA1364" comment="0" localSheetId="0" hidden="1">""</definedName>
    <definedName name="LevelA1364C0" comment="NA==" localSheetId="0" hidden="1">""</definedName>
    <definedName name="LevelA1365" comment="0" localSheetId="0" hidden="1">""</definedName>
    <definedName name="LevelA1365C0" comment="NA==" localSheetId="0" hidden="1">""</definedName>
    <definedName name="LevelA1366" comment="0" localSheetId="0" hidden="1">""</definedName>
    <definedName name="LevelA1366C0" comment="NA==" localSheetId="0" hidden="1">""</definedName>
    <definedName name="LevelA1367" comment="0" localSheetId="0" hidden="1">""</definedName>
    <definedName name="LevelA1367C0" comment="NA==" localSheetId="0" hidden="1">""</definedName>
    <definedName name="LevelA1368" comment="0" localSheetId="0" hidden="1">""</definedName>
    <definedName name="LevelA1368C0" comment="NA==" localSheetId="0" hidden="1">""</definedName>
    <definedName name="LevelA1369" comment="0" localSheetId="0" hidden="1">""</definedName>
    <definedName name="LevelA1369C0" comment="NA==" localSheetId="0" hidden="1">""</definedName>
    <definedName name="LevelA136C0" comment="NA==" localSheetId="0" hidden="1">""</definedName>
    <definedName name="LevelA137" comment="0" localSheetId="0" hidden="1">""</definedName>
    <definedName name="LevelA1370" comment="0" localSheetId="0" hidden="1">""</definedName>
    <definedName name="LevelA1370C0" comment="NA==" localSheetId="0" hidden="1">""</definedName>
    <definedName name="LevelA1371" comment="0" localSheetId="0" hidden="1">""</definedName>
    <definedName name="LevelA1371C0" comment="NA==" localSheetId="0" hidden="1">""</definedName>
    <definedName name="LevelA1372" comment="0" localSheetId="0" hidden="1">""</definedName>
    <definedName name="LevelA1372C0" comment="NA==" localSheetId="0" hidden="1">""</definedName>
    <definedName name="LevelA1373" comment="0" localSheetId="0" hidden="1">""</definedName>
    <definedName name="LevelA1373C0" comment="NA==" localSheetId="0" hidden="1">""</definedName>
    <definedName name="LevelA1374" comment="0" localSheetId="0" hidden="1">""</definedName>
    <definedName name="LevelA1374C0" comment="NA==" localSheetId="0" hidden="1">""</definedName>
    <definedName name="LevelA1375" comment="0" localSheetId="0" hidden="1">""</definedName>
    <definedName name="LevelA1375C0" comment="NA==" localSheetId="0" hidden="1">""</definedName>
    <definedName name="LevelA1376" comment="0" localSheetId="0" hidden="1">""</definedName>
    <definedName name="LevelA1376C0" comment="NA==" localSheetId="0" hidden="1">""</definedName>
    <definedName name="LevelA1377" comment="0" localSheetId="0" hidden="1">""</definedName>
    <definedName name="LevelA1377C0" comment="NA==" localSheetId="0" hidden="1">""</definedName>
    <definedName name="LevelA1378" comment="0" localSheetId="0" hidden="1">""</definedName>
    <definedName name="LevelA1378C0" comment="NA==" localSheetId="0" hidden="1">""</definedName>
    <definedName name="LevelA1379" comment="0" localSheetId="0" hidden="1">""</definedName>
    <definedName name="LevelA1379C0" comment="NA==" localSheetId="0" hidden="1">""</definedName>
    <definedName name="LevelA137C0" comment="NA==" localSheetId="0" hidden="1">""</definedName>
    <definedName name="LevelA138" comment="0" localSheetId="0" hidden="1">""</definedName>
    <definedName name="LevelA1380" comment="0" localSheetId="0" hidden="1">""</definedName>
    <definedName name="LevelA1380C0" comment="NA==" localSheetId="0" hidden="1">""</definedName>
    <definedName name="LevelA1381" comment="0" localSheetId="0" hidden="1">""</definedName>
    <definedName name="LevelA1381C0" comment="NA==" localSheetId="0" hidden="1">""</definedName>
    <definedName name="LevelA1382" comment="0" localSheetId="0" hidden="1">""</definedName>
    <definedName name="LevelA1382C0" comment="NA==" localSheetId="0" hidden="1">""</definedName>
    <definedName name="LevelA1383" comment="0" localSheetId="0" hidden="1">""</definedName>
    <definedName name="LevelA1383C0" comment="NA==" localSheetId="0" hidden="1">""</definedName>
    <definedName name="LevelA1384" comment="0" localSheetId="0" hidden="1">""</definedName>
    <definedName name="LevelA1384C0" comment="NA==" localSheetId="0" hidden="1">""</definedName>
    <definedName name="LevelA1385" comment="0" localSheetId="0" hidden="1">""</definedName>
    <definedName name="LevelA1385C0" comment="NA==" localSheetId="0" hidden="1">""</definedName>
    <definedName name="LevelA1386" comment="0" localSheetId="0" hidden="1">""</definedName>
    <definedName name="LevelA1386C0" comment="NA==" localSheetId="0" hidden="1">""</definedName>
    <definedName name="LevelA1387" comment="0" localSheetId="0" hidden="1">""</definedName>
    <definedName name="LevelA1387C0" comment="NA==" localSheetId="0" hidden="1">""</definedName>
    <definedName name="LevelA1388" comment="0" localSheetId="0" hidden="1">""</definedName>
    <definedName name="LevelA1388C0" comment="NA==" localSheetId="0" hidden="1">""</definedName>
    <definedName name="LevelA1389" comment="0" localSheetId="0" hidden="1">""</definedName>
    <definedName name="LevelA1389C0" comment="NA==" localSheetId="0" hidden="1">""</definedName>
    <definedName name="LevelA138C0" comment="NA==" localSheetId="0" hidden="1">""</definedName>
    <definedName name="LevelA139" comment="0" localSheetId="0" hidden="1">""</definedName>
    <definedName name="LevelA1390" comment="0" localSheetId="0" hidden="1">""</definedName>
    <definedName name="LevelA1390C0" comment="NA==" localSheetId="0" hidden="1">""</definedName>
    <definedName name="LevelA1391" comment="0" localSheetId="0" hidden="1">""</definedName>
    <definedName name="LevelA1391C0" comment="NA==" localSheetId="0" hidden="1">""</definedName>
    <definedName name="LevelA1392" comment="0" localSheetId="0" hidden="1">""</definedName>
    <definedName name="LevelA1392C0" comment="NA==" localSheetId="0" hidden="1">""</definedName>
    <definedName name="LevelA1393" comment="0" localSheetId="0" hidden="1">""</definedName>
    <definedName name="LevelA1393C0" comment="NA==" localSheetId="0" hidden="1">""</definedName>
    <definedName name="LevelA1394" comment="0" localSheetId="0" hidden="1">""</definedName>
    <definedName name="LevelA1394C0" comment="NA==" localSheetId="0" hidden="1">""</definedName>
    <definedName name="LevelA1395" comment="0" localSheetId="0" hidden="1">""</definedName>
    <definedName name="LevelA1395C0" comment="NA==" localSheetId="0" hidden="1">""</definedName>
    <definedName name="LevelA1396" comment="0" localSheetId="0" hidden="1">""</definedName>
    <definedName name="LevelA1396C0" comment="NA==" localSheetId="0" hidden="1">""</definedName>
    <definedName name="LevelA1397" comment="0" localSheetId="0" hidden="1">""</definedName>
    <definedName name="LevelA1397C0" comment="NA==" localSheetId="0" hidden="1">""</definedName>
    <definedName name="LevelA1398" comment="0" localSheetId="0" hidden="1">""</definedName>
    <definedName name="LevelA1398C0" comment="NA==" localSheetId="0" hidden="1">""</definedName>
    <definedName name="LevelA1399" comment="0" localSheetId="0" hidden="1">""</definedName>
    <definedName name="LevelA1399C0" comment="NA==" localSheetId="0" hidden="1">""</definedName>
    <definedName name="LevelA139C0" comment="NA==" localSheetId="0" hidden="1">""</definedName>
    <definedName name="LevelA13C0" comment="NA==" localSheetId="0" hidden="1">""</definedName>
    <definedName name="LevelA14" comment="0" localSheetId="0" hidden="1">""</definedName>
    <definedName name="LevelA140" comment="0" localSheetId="0" hidden="1">""</definedName>
    <definedName name="LevelA1400" comment="0" localSheetId="0" hidden="1">""</definedName>
    <definedName name="LevelA1400C0" comment="NA==" localSheetId="0" hidden="1">""</definedName>
    <definedName name="LevelA1401" comment="0" localSheetId="0" hidden="1">""</definedName>
    <definedName name="LevelA1401C0" comment="NA==" localSheetId="0" hidden="1">""</definedName>
    <definedName name="LevelA1402" comment="0" localSheetId="0" hidden="1">""</definedName>
    <definedName name="LevelA1402C0" comment="NA==" localSheetId="0" hidden="1">""</definedName>
    <definedName name="LevelA1403" comment="0" localSheetId="0" hidden="1">""</definedName>
    <definedName name="LevelA1403C0" comment="NA==" localSheetId="0" hidden="1">""</definedName>
    <definedName name="LevelA1404" comment="0" localSheetId="0" hidden="1">""</definedName>
    <definedName name="LevelA1404C0" comment="NA==" localSheetId="0" hidden="1">""</definedName>
    <definedName name="LevelA1405" comment="0" localSheetId="0" hidden="1">""</definedName>
    <definedName name="LevelA1405C0" comment="NA==" localSheetId="0" hidden="1">""</definedName>
    <definedName name="LevelA1406" comment="0" localSheetId="0" hidden="1">""</definedName>
    <definedName name="LevelA1406C0" comment="NA==" localSheetId="0" hidden="1">""</definedName>
    <definedName name="LevelA1407" comment="0" localSheetId="0" hidden="1">""</definedName>
    <definedName name="LevelA1407C0" comment="NA==" localSheetId="0" hidden="1">""</definedName>
    <definedName name="LevelA1408" comment="0" localSheetId="0" hidden="1">""</definedName>
    <definedName name="LevelA1408C0" comment="NA==" localSheetId="0" hidden="1">""</definedName>
    <definedName name="LevelA1409" comment="0" localSheetId="0" hidden="1">""</definedName>
    <definedName name="LevelA1409C0" comment="NA==" localSheetId="0" hidden="1">""</definedName>
    <definedName name="LevelA140C0" comment="NA==" localSheetId="0" hidden="1">""</definedName>
    <definedName name="LevelA141" comment="0" localSheetId="0" hidden="1">""</definedName>
    <definedName name="LevelA1410" comment="0" localSheetId="0" hidden="1">""</definedName>
    <definedName name="LevelA1410C0" comment="NA==" localSheetId="0" hidden="1">""</definedName>
    <definedName name="LevelA1411" comment="0" localSheetId="0" hidden="1">""</definedName>
    <definedName name="LevelA1411C0" comment="NA==" localSheetId="0" hidden="1">""</definedName>
    <definedName name="LevelA1412" comment="0" localSheetId="0" hidden="1">""</definedName>
    <definedName name="LevelA1412C0" comment="NA==" localSheetId="0" hidden="1">""</definedName>
    <definedName name="LevelA1413" comment="0" localSheetId="0" hidden="1">""</definedName>
    <definedName name="LevelA1413C0" comment="NA==" localSheetId="0" hidden="1">""</definedName>
    <definedName name="LevelA1414" comment="0" localSheetId="0" hidden="1">""</definedName>
    <definedName name="LevelA1414C0" comment="NA==" localSheetId="0" hidden="1">""</definedName>
    <definedName name="LevelA1415" comment="0" localSheetId="0" hidden="1">""</definedName>
    <definedName name="LevelA1415C0" comment="NA==" localSheetId="0" hidden="1">""</definedName>
    <definedName name="LevelA1416" comment="0" localSheetId="0" hidden="1">""</definedName>
    <definedName name="LevelA1416C0" comment="NA==" localSheetId="0" hidden="1">""</definedName>
    <definedName name="LevelA1417" comment="0" localSheetId="0" hidden="1">""</definedName>
    <definedName name="LevelA1417C0" comment="NA==" localSheetId="0" hidden="1">""</definedName>
    <definedName name="LevelA1418" comment="0" localSheetId="0" hidden="1">""</definedName>
    <definedName name="LevelA1418C0" comment="NA==" localSheetId="0" hidden="1">""</definedName>
    <definedName name="LevelA1419" comment="0" localSheetId="0" hidden="1">""</definedName>
    <definedName name="LevelA1419C0" comment="NA==" localSheetId="0" hidden="1">""</definedName>
    <definedName name="LevelA141C0" comment="NA==" localSheetId="0" hidden="1">""</definedName>
    <definedName name="LevelA142" comment="0" localSheetId="0" hidden="1">""</definedName>
    <definedName name="LevelA1420" comment="0" localSheetId="0" hidden="1">""</definedName>
    <definedName name="LevelA1420C0" comment="NA==" localSheetId="0" hidden="1">""</definedName>
    <definedName name="LevelA1421" comment="0" localSheetId="0" hidden="1">""</definedName>
    <definedName name="LevelA1421C0" comment="NA==" localSheetId="0" hidden="1">""</definedName>
    <definedName name="LevelA1422" comment="0" localSheetId="0" hidden="1">""</definedName>
    <definedName name="LevelA1422C0" comment="NA==" localSheetId="0" hidden="1">""</definedName>
    <definedName name="LevelA1423" comment="0" localSheetId="0" hidden="1">""</definedName>
    <definedName name="LevelA1423C0" comment="NA==" localSheetId="0" hidden="1">""</definedName>
    <definedName name="LevelA1424" comment="0" localSheetId="0" hidden="1">""</definedName>
    <definedName name="LevelA1424C0" comment="NA==" localSheetId="0" hidden="1">""</definedName>
    <definedName name="LevelA1425" comment="0" localSheetId="0" hidden="1">""</definedName>
    <definedName name="LevelA1425C0" comment="NA==" localSheetId="0" hidden="1">""</definedName>
    <definedName name="LevelA1426" comment="0" localSheetId="0" hidden="1">""</definedName>
    <definedName name="LevelA1426C0" comment="NA==" localSheetId="0" hidden="1">""</definedName>
    <definedName name="LevelA1427" comment="0" localSheetId="0" hidden="1">""</definedName>
    <definedName name="LevelA1427C0" comment="NA==" localSheetId="0" hidden="1">""</definedName>
    <definedName name="LevelA1428" comment="0" localSheetId="0" hidden="1">""</definedName>
    <definedName name="LevelA1428C0" comment="NA==" localSheetId="0" hidden="1">""</definedName>
    <definedName name="LevelA1429" comment="0" localSheetId="0" hidden="1">""</definedName>
    <definedName name="LevelA1429C0" comment="NA==" localSheetId="0" hidden="1">""</definedName>
    <definedName name="LevelA142C0" comment="NA==" localSheetId="0" hidden="1">""</definedName>
    <definedName name="LevelA143" comment="0" localSheetId="0" hidden="1">""</definedName>
    <definedName name="LevelA1430" comment="0" localSheetId="0" hidden="1">""</definedName>
    <definedName name="LevelA1430C0" comment="NA==" localSheetId="0" hidden="1">""</definedName>
    <definedName name="LevelA1431" comment="0" localSheetId="0" hidden="1">""</definedName>
    <definedName name="LevelA1431C0" comment="NA==" localSheetId="0" hidden="1">""</definedName>
    <definedName name="LevelA1432" comment="0" localSheetId="0" hidden="1">""</definedName>
    <definedName name="LevelA1432C0" comment="NA==" localSheetId="0" hidden="1">""</definedName>
    <definedName name="LevelA1433" comment="0" localSheetId="0" hidden="1">""</definedName>
    <definedName name="LevelA1433C0" comment="NA==" localSheetId="0" hidden="1">""</definedName>
    <definedName name="LevelA1434" comment="0" localSheetId="0" hidden="1">""</definedName>
    <definedName name="LevelA1434C0" comment="NA==" localSheetId="0" hidden="1">""</definedName>
    <definedName name="LevelA1435" comment="0" localSheetId="0" hidden="1">""</definedName>
    <definedName name="LevelA1435C0" comment="NA==" localSheetId="0" hidden="1">""</definedName>
    <definedName name="LevelA1436" comment="0" localSheetId="0" hidden="1">""</definedName>
    <definedName name="LevelA1436C0" comment="NA==" localSheetId="0" hidden="1">""</definedName>
    <definedName name="LevelA1437" comment="0" localSheetId="0" hidden="1">""</definedName>
    <definedName name="LevelA1437C0" comment="NA==" localSheetId="0" hidden="1">""</definedName>
    <definedName name="LevelA1438" comment="0" localSheetId="0" hidden="1">""</definedName>
    <definedName name="LevelA1438C0" comment="NA==" localSheetId="0" hidden="1">""</definedName>
    <definedName name="LevelA1439" comment="0" localSheetId="0" hidden="1">""</definedName>
    <definedName name="LevelA1439C0" comment="NA==" localSheetId="0" hidden="1">""</definedName>
    <definedName name="LevelA143C0" comment="NA==" localSheetId="0" hidden="1">""</definedName>
    <definedName name="LevelA144" comment="0" localSheetId="0" hidden="1">""</definedName>
    <definedName name="LevelA1440" comment="0" localSheetId="0" hidden="1">""</definedName>
    <definedName name="LevelA1440C0" comment="NA==" localSheetId="0" hidden="1">""</definedName>
    <definedName name="LevelA1441" comment="0" localSheetId="0" hidden="1">""</definedName>
    <definedName name="LevelA1441C0" comment="NA==" localSheetId="0" hidden="1">""</definedName>
    <definedName name="LevelA1442" comment="0" localSheetId="0" hidden="1">""</definedName>
    <definedName name="LevelA1442C0" comment="NA==" localSheetId="0" hidden="1">""</definedName>
    <definedName name="LevelA1443" comment="0" localSheetId="0" hidden="1">""</definedName>
    <definedName name="LevelA1443C0" comment="NA==" localSheetId="0" hidden="1">""</definedName>
    <definedName name="LevelA1444" comment="0" localSheetId="0" hidden="1">""</definedName>
    <definedName name="LevelA1444C0" comment="NA==" localSheetId="0" hidden="1">""</definedName>
    <definedName name="LevelA1445" comment="0" localSheetId="0" hidden="1">""</definedName>
    <definedName name="LevelA1445C0" comment="NA==" localSheetId="0" hidden="1">""</definedName>
    <definedName name="LevelA1446" comment="0" localSheetId="0" hidden="1">""</definedName>
    <definedName name="LevelA1446C0" comment="NA==" localSheetId="0" hidden="1">""</definedName>
    <definedName name="LevelA1447" comment="0" localSheetId="0" hidden="1">""</definedName>
    <definedName name="LevelA1447C0" comment="NA==" localSheetId="0" hidden="1">""</definedName>
    <definedName name="LevelA1448" comment="0" localSheetId="0" hidden="1">""</definedName>
    <definedName name="LevelA1448C0" comment="NA==" localSheetId="0" hidden="1">""</definedName>
    <definedName name="LevelA1449" comment="0" localSheetId="0" hidden="1">""</definedName>
    <definedName name="LevelA1449C0" comment="NA==" localSheetId="0" hidden="1">""</definedName>
    <definedName name="LevelA144C0" comment="NA==" localSheetId="0" hidden="1">""</definedName>
    <definedName name="LevelA145" comment="0" localSheetId="0" hidden="1">""</definedName>
    <definedName name="LevelA1450" comment="0" localSheetId="0" hidden="1">""</definedName>
    <definedName name="LevelA1450C0" comment="NA==" localSheetId="0" hidden="1">""</definedName>
    <definedName name="LevelA1451" comment="0" localSheetId="0" hidden="1">""</definedName>
    <definedName name="LevelA1451C0" comment="NA==" localSheetId="0" hidden="1">""</definedName>
    <definedName name="LevelA1452" comment="0" localSheetId="0" hidden="1">""</definedName>
    <definedName name="LevelA1452C0" comment="NA==" localSheetId="0" hidden="1">""</definedName>
    <definedName name="LevelA1453" comment="0" localSheetId="0" hidden="1">""</definedName>
    <definedName name="LevelA1453C0" comment="NA==" localSheetId="0" hidden="1">""</definedName>
    <definedName name="LevelA1454" comment="0" localSheetId="0" hidden="1">""</definedName>
    <definedName name="LevelA1454C0" comment="NA==" localSheetId="0" hidden="1">""</definedName>
    <definedName name="LevelA1455" comment="0" localSheetId="0" hidden="1">""</definedName>
    <definedName name="LevelA1455C0" comment="NA==" localSheetId="0" hidden="1">""</definedName>
    <definedName name="LevelA1456" comment="0" localSheetId="0" hidden="1">""</definedName>
    <definedName name="LevelA1456C0" comment="NA==" localSheetId="0" hidden="1">""</definedName>
    <definedName name="LevelA1457" comment="0" localSheetId="0" hidden="1">""</definedName>
    <definedName name="LevelA1457C0" comment="NA==" localSheetId="0" hidden="1">""</definedName>
    <definedName name="LevelA1458" comment="0" localSheetId="0" hidden="1">""</definedName>
    <definedName name="LevelA1458C0" comment="NA==" localSheetId="0" hidden="1">""</definedName>
    <definedName name="LevelA1459" comment="0" localSheetId="0" hidden="1">""</definedName>
    <definedName name="LevelA1459C0" comment="NA==" localSheetId="0" hidden="1">""</definedName>
    <definedName name="LevelA145C0" comment="NA==" localSheetId="0" hidden="1">""</definedName>
    <definedName name="LevelA146" comment="0" localSheetId="0" hidden="1">""</definedName>
    <definedName name="LevelA1460" comment="0" localSheetId="0" hidden="1">""</definedName>
    <definedName name="LevelA1460C0" comment="NA==" localSheetId="0" hidden="1">""</definedName>
    <definedName name="LevelA1461" comment="0" localSheetId="0" hidden="1">""</definedName>
    <definedName name="LevelA1461C0" comment="NA==" localSheetId="0" hidden="1">""</definedName>
    <definedName name="LevelA1462" comment="0" localSheetId="0" hidden="1">""</definedName>
    <definedName name="LevelA1462C0" comment="NA==" localSheetId="0" hidden="1">""</definedName>
    <definedName name="LevelA1463" comment="0" localSheetId="0" hidden="1">""</definedName>
    <definedName name="LevelA1463C0" comment="NA==" localSheetId="0" hidden="1">""</definedName>
    <definedName name="LevelA1464" comment="0" localSheetId="0" hidden="1">""</definedName>
    <definedName name="LevelA1464C0" comment="NA==" localSheetId="0" hidden="1">""</definedName>
    <definedName name="LevelA1465" comment="0" localSheetId="0" hidden="1">""</definedName>
    <definedName name="LevelA1465C0" comment="NA==" localSheetId="0" hidden="1">""</definedName>
    <definedName name="LevelA1466" comment="0" localSheetId="0" hidden="1">""</definedName>
    <definedName name="LevelA1466C0" comment="NA==" localSheetId="0" hidden="1">""</definedName>
    <definedName name="LevelA1467" comment="0" localSheetId="0" hidden="1">""</definedName>
    <definedName name="LevelA1467C0" comment="NA==" localSheetId="0" hidden="1">""</definedName>
    <definedName name="LevelA1468" comment="0" localSheetId="0" hidden="1">""</definedName>
    <definedName name="LevelA1468C0" comment="NA==" localSheetId="0" hidden="1">""</definedName>
    <definedName name="LevelA1469" comment="0" localSheetId="0" hidden="1">""</definedName>
    <definedName name="LevelA1469C0" comment="NA==" localSheetId="0" hidden="1">""</definedName>
    <definedName name="LevelA146C0" comment="NA==" localSheetId="0" hidden="1">""</definedName>
    <definedName name="LevelA147" comment="0" localSheetId="0" hidden="1">""</definedName>
    <definedName name="LevelA1470" comment="0" localSheetId="0" hidden="1">""</definedName>
    <definedName name="LevelA1470C0" comment="NA==" localSheetId="0" hidden="1">""</definedName>
    <definedName name="LevelA1471" comment="0" localSheetId="0" hidden="1">""</definedName>
    <definedName name="LevelA1471C0" comment="NA==" localSheetId="0" hidden="1">""</definedName>
    <definedName name="LevelA1472" comment="0" localSheetId="0" hidden="1">""</definedName>
    <definedName name="LevelA1472C0" comment="NA==" localSheetId="0" hidden="1">""</definedName>
    <definedName name="LevelA1473" comment="0" localSheetId="0" hidden="1">""</definedName>
    <definedName name="LevelA1473C0" comment="NA==" localSheetId="0" hidden="1">""</definedName>
    <definedName name="LevelA1474" comment="0" localSheetId="0" hidden="1">""</definedName>
    <definedName name="LevelA1474C0" comment="NA==" localSheetId="0" hidden="1">""</definedName>
    <definedName name="LevelA1475" comment="0" localSheetId="0" hidden="1">""</definedName>
    <definedName name="LevelA1475C0" comment="NA==" localSheetId="0" hidden="1">""</definedName>
    <definedName name="LevelA1476" comment="0" localSheetId="0" hidden="1">""</definedName>
    <definedName name="LevelA1476C0" comment="NA==" localSheetId="0" hidden="1">""</definedName>
    <definedName name="LevelA1477" comment="0" localSheetId="0" hidden="1">""</definedName>
    <definedName name="LevelA1477C0" comment="NA==" localSheetId="0" hidden="1">""</definedName>
    <definedName name="LevelA1478" comment="0" localSheetId="0" hidden="1">""</definedName>
    <definedName name="LevelA1478C0" comment="NA==" localSheetId="0" hidden="1">""</definedName>
    <definedName name="LevelA1479" comment="0" localSheetId="0" hidden="1">""</definedName>
    <definedName name="LevelA1479C0" comment="NA==" localSheetId="0" hidden="1">""</definedName>
    <definedName name="LevelA147C0" comment="NA==" localSheetId="0" hidden="1">""</definedName>
    <definedName name="LevelA148" comment="0" localSheetId="0" hidden="1">""</definedName>
    <definedName name="LevelA1480" comment="0" localSheetId="0" hidden="1">""</definedName>
    <definedName name="LevelA1480C0" comment="NA==" localSheetId="0" hidden="1">""</definedName>
    <definedName name="LevelA1481" comment="0" localSheetId="0" hidden="1">""</definedName>
    <definedName name="LevelA1481C0" comment="NA==" localSheetId="0" hidden="1">""</definedName>
    <definedName name="LevelA1482" comment="0" localSheetId="0" hidden="1">""</definedName>
    <definedName name="LevelA1482C0" comment="NA==" localSheetId="0" hidden="1">""</definedName>
    <definedName name="LevelA1483" comment="0" localSheetId="0" hidden="1">""</definedName>
    <definedName name="LevelA1483C0" comment="NA==" localSheetId="0" hidden="1">""</definedName>
    <definedName name="LevelA1484" comment="0" localSheetId="0" hidden="1">""</definedName>
    <definedName name="LevelA1484C0" comment="NA==" localSheetId="0" hidden="1">""</definedName>
    <definedName name="LevelA1485" comment="0" localSheetId="0" hidden="1">""</definedName>
    <definedName name="LevelA1485C0" comment="NA==" localSheetId="0" hidden="1">""</definedName>
    <definedName name="LevelA1486" comment="0" localSheetId="0" hidden="1">""</definedName>
    <definedName name="LevelA1486C0" comment="NA==" localSheetId="0" hidden="1">""</definedName>
    <definedName name="LevelA1487" comment="0" localSheetId="0" hidden="1">""</definedName>
    <definedName name="LevelA1487C0" comment="NA==" localSheetId="0" hidden="1">""</definedName>
    <definedName name="LevelA1488" comment="0" localSheetId="0" hidden="1">""</definedName>
    <definedName name="LevelA1488C0" comment="NA==" localSheetId="0" hidden="1">""</definedName>
    <definedName name="LevelA1489" comment="0" localSheetId="0" hidden="1">""</definedName>
    <definedName name="LevelA1489C0" comment="NA==" localSheetId="0" hidden="1">""</definedName>
    <definedName name="LevelA148C0" comment="NA==" localSheetId="0" hidden="1">""</definedName>
    <definedName name="LevelA149" comment="0" localSheetId="0" hidden="1">""</definedName>
    <definedName name="LevelA1490" comment="0" localSheetId="0" hidden="1">""</definedName>
    <definedName name="LevelA1490C0" comment="NA==" localSheetId="0" hidden="1">""</definedName>
    <definedName name="LevelA1491" comment="0" localSheetId="0" hidden="1">""</definedName>
    <definedName name="LevelA1491C0" comment="NA==" localSheetId="0" hidden="1">""</definedName>
    <definedName name="LevelA1492" comment="0" localSheetId="0" hidden="1">""</definedName>
    <definedName name="LevelA1492C0" comment="NA==" localSheetId="0" hidden="1">""</definedName>
    <definedName name="LevelA1493" comment="0" localSheetId="0" hidden="1">""</definedName>
    <definedName name="LevelA1493C0" comment="NA==" localSheetId="0" hidden="1">""</definedName>
    <definedName name="LevelA1494" comment="0" localSheetId="0" hidden="1">""</definedName>
    <definedName name="LevelA1494C0" comment="NA==" localSheetId="0" hidden="1">""</definedName>
    <definedName name="LevelA1495" comment="0" localSheetId="0" hidden="1">""</definedName>
    <definedName name="LevelA1495C0" comment="NA==" localSheetId="0" hidden="1">""</definedName>
    <definedName name="LevelA1496" comment="0" localSheetId="0" hidden="1">""</definedName>
    <definedName name="LevelA1496C0" comment="NA==" localSheetId="0" hidden="1">""</definedName>
    <definedName name="LevelA1497" comment="0" localSheetId="0" hidden="1">""</definedName>
    <definedName name="LevelA1497C0" comment="NA==" localSheetId="0" hidden="1">""</definedName>
    <definedName name="LevelA1498" comment="0" localSheetId="0" hidden="1">""</definedName>
    <definedName name="LevelA1498C0" comment="NA==" localSheetId="0" hidden="1">""</definedName>
    <definedName name="LevelA1499" comment="0" localSheetId="0" hidden="1">""</definedName>
    <definedName name="LevelA1499C0" comment="NA==" localSheetId="0" hidden="1">""</definedName>
    <definedName name="LevelA149C0" comment="NA==" localSheetId="0" hidden="1">""</definedName>
    <definedName name="LevelA14C0" comment="NA==" localSheetId="0" hidden="1">""</definedName>
    <definedName name="LevelA15" comment="0" localSheetId="0" hidden="1">""</definedName>
    <definedName name="LevelA150" comment="0" localSheetId="0" hidden="1">""</definedName>
    <definedName name="LevelA1500" comment="0" localSheetId="0" hidden="1">""</definedName>
    <definedName name="LevelA1500C0" comment="NA==" localSheetId="0" hidden="1">""</definedName>
    <definedName name="LevelA1501" comment="0" localSheetId="0" hidden="1">""</definedName>
    <definedName name="LevelA1501C0" comment="NA==" localSheetId="0" hidden="1">""</definedName>
    <definedName name="LevelA1502" comment="0" localSheetId="0" hidden="1">""</definedName>
    <definedName name="LevelA1502C0" comment="NA==" localSheetId="0" hidden="1">""</definedName>
    <definedName name="LevelA1503" comment="0" localSheetId="0" hidden="1">""</definedName>
    <definedName name="LevelA1503C0" comment="NA==" localSheetId="0" hidden="1">""</definedName>
    <definedName name="LevelA1504" comment="0" localSheetId="0" hidden="1">""</definedName>
    <definedName name="LevelA1504C0" comment="NA==" localSheetId="0" hidden="1">""</definedName>
    <definedName name="LevelA1505" comment="0" localSheetId="0" hidden="1">""</definedName>
    <definedName name="LevelA1505C0" comment="NA==" localSheetId="0" hidden="1">""</definedName>
    <definedName name="LevelA1506" comment="0" localSheetId="0" hidden="1">""</definedName>
    <definedName name="LevelA1506C0" comment="NA==" localSheetId="0" hidden="1">""</definedName>
    <definedName name="LevelA1507" comment="0" localSheetId="0" hidden="1">""</definedName>
    <definedName name="LevelA1507C0" comment="NA==" localSheetId="0" hidden="1">""</definedName>
    <definedName name="LevelA1508" comment="0" localSheetId="0" hidden="1">""</definedName>
    <definedName name="LevelA1508C0" comment="NA==" localSheetId="0" hidden="1">""</definedName>
    <definedName name="LevelA1509" comment="0" localSheetId="0" hidden="1">""</definedName>
    <definedName name="LevelA1509C0" comment="NA==" localSheetId="0" hidden="1">""</definedName>
    <definedName name="LevelA150C0" comment="NA==" localSheetId="0" hidden="1">""</definedName>
    <definedName name="LevelA151" comment="0" localSheetId="0" hidden="1">""</definedName>
    <definedName name="LevelA1510" comment="0" localSheetId="0" hidden="1">""</definedName>
    <definedName name="LevelA1510C0" comment="NA==" localSheetId="0" hidden="1">""</definedName>
    <definedName name="LevelA1511" comment="0" localSheetId="0" hidden="1">""</definedName>
    <definedName name="LevelA1511C0" comment="NA==" localSheetId="0" hidden="1">""</definedName>
    <definedName name="LevelA1512" comment="0" localSheetId="0" hidden="1">""</definedName>
    <definedName name="LevelA1512C0" comment="NA==" localSheetId="0" hidden="1">""</definedName>
    <definedName name="LevelA1513" comment="0" localSheetId="0" hidden="1">""</definedName>
    <definedName name="LevelA1513C0" comment="NA==" localSheetId="0" hidden="1">""</definedName>
    <definedName name="LevelA1514" comment="0" localSheetId="0" hidden="1">""</definedName>
    <definedName name="LevelA1514C0" comment="NA==" localSheetId="0" hidden="1">""</definedName>
    <definedName name="LevelA1515" comment="0" localSheetId="0" hidden="1">""</definedName>
    <definedName name="LevelA1515C0" comment="NA==" localSheetId="0" hidden="1">""</definedName>
    <definedName name="LevelA1516" comment="0" localSheetId="0" hidden="1">""</definedName>
    <definedName name="LevelA1516C0" comment="NA==" localSheetId="0" hidden="1">""</definedName>
    <definedName name="LevelA1517" comment="0" localSheetId="0" hidden="1">""</definedName>
    <definedName name="LevelA1517C0" comment="NA==" localSheetId="0" hidden="1">""</definedName>
    <definedName name="LevelA1518" comment="0" localSheetId="0" hidden="1">""</definedName>
    <definedName name="LevelA1518C0" comment="NA==" localSheetId="0" hidden="1">""</definedName>
    <definedName name="LevelA1519" comment="0" localSheetId="0" hidden="1">""</definedName>
    <definedName name="LevelA1519C0" comment="NA==" localSheetId="0" hidden="1">""</definedName>
    <definedName name="LevelA151C0" comment="NA==" localSheetId="0" hidden="1">""</definedName>
    <definedName name="LevelA152" comment="0" localSheetId="0" hidden="1">""</definedName>
    <definedName name="LevelA1520" comment="0" localSheetId="0" hidden="1">""</definedName>
    <definedName name="LevelA1520C0" comment="NA==" localSheetId="0" hidden="1">""</definedName>
    <definedName name="LevelA1521" comment="0" localSheetId="0" hidden="1">""</definedName>
    <definedName name="LevelA1521C0" comment="NA==" localSheetId="0" hidden="1">""</definedName>
    <definedName name="LevelA1522" comment="0" localSheetId="0" hidden="1">""</definedName>
    <definedName name="LevelA1522C0" comment="NA==" localSheetId="0" hidden="1">""</definedName>
    <definedName name="LevelA1523" comment="0" localSheetId="0" hidden="1">""</definedName>
    <definedName name="LevelA1523C0" comment="NA==" localSheetId="0" hidden="1">""</definedName>
    <definedName name="LevelA1524" comment="0" localSheetId="0" hidden="1">""</definedName>
    <definedName name="LevelA1524C0" comment="NA==" localSheetId="0" hidden="1">""</definedName>
    <definedName name="LevelA1525" comment="0" localSheetId="0" hidden="1">""</definedName>
    <definedName name="LevelA1525C0" comment="NA==" localSheetId="0" hidden="1">""</definedName>
    <definedName name="LevelA1526" comment="0" localSheetId="0" hidden="1">""</definedName>
    <definedName name="LevelA1526C0" comment="NA==" localSheetId="0" hidden="1">""</definedName>
    <definedName name="LevelA1527" comment="0" localSheetId="0" hidden="1">""</definedName>
    <definedName name="LevelA1527C0" comment="NA==" localSheetId="0" hidden="1">""</definedName>
    <definedName name="LevelA1528" comment="0" localSheetId="0" hidden="1">""</definedName>
    <definedName name="LevelA1528C0" comment="NA==" localSheetId="0" hidden="1">""</definedName>
    <definedName name="LevelA1529" comment="0" localSheetId="0" hidden="1">""</definedName>
    <definedName name="LevelA1529C0" comment="NA==" localSheetId="0" hidden="1">""</definedName>
    <definedName name="LevelA152C0" comment="NA==" localSheetId="0" hidden="1">""</definedName>
    <definedName name="LevelA153" comment="0" localSheetId="0" hidden="1">""</definedName>
    <definedName name="LevelA1530" comment="0" localSheetId="0" hidden="1">""</definedName>
    <definedName name="LevelA1530C0" comment="NA==" localSheetId="0" hidden="1">""</definedName>
    <definedName name="LevelA1531" comment="0" localSheetId="0" hidden="1">""</definedName>
    <definedName name="LevelA1531C0" comment="NA==" localSheetId="0" hidden="1">""</definedName>
    <definedName name="LevelA1532" comment="0" localSheetId="0" hidden="1">""</definedName>
    <definedName name="LevelA1532C0" comment="NA==" localSheetId="0" hidden="1">""</definedName>
    <definedName name="LevelA1533" comment="0" localSheetId="0" hidden="1">""</definedName>
    <definedName name="LevelA1533C0" comment="NA==" localSheetId="0" hidden="1">""</definedName>
    <definedName name="LevelA1534" comment="0" localSheetId="0" hidden="1">""</definedName>
    <definedName name="LevelA1534C0" comment="NA==" localSheetId="0" hidden="1">""</definedName>
    <definedName name="LevelA1535" comment="0" localSheetId="0" hidden="1">""</definedName>
    <definedName name="LevelA1535C0" comment="NA==" localSheetId="0" hidden="1">""</definedName>
    <definedName name="LevelA1536" comment="0" localSheetId="0" hidden="1">""</definedName>
    <definedName name="LevelA1536C0" comment="NA==" localSheetId="0" hidden="1">""</definedName>
    <definedName name="LevelA1537" comment="0" localSheetId="0" hidden="1">""</definedName>
    <definedName name="LevelA1537C0" comment="NA==" localSheetId="0" hidden="1">""</definedName>
    <definedName name="LevelA1538" comment="0" localSheetId="0" hidden="1">""</definedName>
    <definedName name="LevelA1538C0" comment="NA==" localSheetId="0" hidden="1">""</definedName>
    <definedName name="LevelA1539" comment="0" localSheetId="0" hidden="1">""</definedName>
    <definedName name="LevelA1539C0" comment="NA==" localSheetId="0" hidden="1">""</definedName>
    <definedName name="LevelA153C0" comment="NA==" localSheetId="0" hidden="1">""</definedName>
    <definedName name="LevelA154" comment="0" localSheetId="0" hidden="1">""</definedName>
    <definedName name="LevelA1540" comment="0" localSheetId="0" hidden="1">""</definedName>
    <definedName name="LevelA1540C0" comment="NA==" localSheetId="0" hidden="1">""</definedName>
    <definedName name="LevelA1541" comment="0" localSheetId="0" hidden="1">""</definedName>
    <definedName name="LevelA1541C0" comment="NA==" localSheetId="0" hidden="1">""</definedName>
    <definedName name="LevelA1542" comment="0" localSheetId="0" hidden="1">""</definedName>
    <definedName name="LevelA1542C0" comment="NA==" localSheetId="0" hidden="1">""</definedName>
    <definedName name="LevelA1543" comment="0" localSheetId="0" hidden="1">""</definedName>
    <definedName name="LevelA1543C0" comment="NA==" localSheetId="0" hidden="1">""</definedName>
    <definedName name="LevelA1544" comment="0" localSheetId="0" hidden="1">""</definedName>
    <definedName name="LevelA1544C0" comment="NA==" localSheetId="0" hidden="1">""</definedName>
    <definedName name="LevelA1545" comment="0" localSheetId="0" hidden="1">""</definedName>
    <definedName name="LevelA1545C0" comment="NA==" localSheetId="0" hidden="1">""</definedName>
    <definedName name="LevelA1546" comment="0" localSheetId="0" hidden="1">""</definedName>
    <definedName name="LevelA1546C0" comment="NA==" localSheetId="0" hidden="1">""</definedName>
    <definedName name="LevelA1547" comment="0" localSheetId="0" hidden="1">""</definedName>
    <definedName name="LevelA1547C0" comment="NA==" localSheetId="0" hidden="1">""</definedName>
    <definedName name="LevelA1548" comment="0" localSheetId="0" hidden="1">""</definedName>
    <definedName name="LevelA1548C0" comment="NA==" localSheetId="0" hidden="1">""</definedName>
    <definedName name="LevelA1549" comment="0" localSheetId="0" hidden="1">""</definedName>
    <definedName name="LevelA1549C0" comment="NA==" localSheetId="0" hidden="1">""</definedName>
    <definedName name="LevelA154C0" comment="NA==" localSheetId="0" hidden="1">""</definedName>
    <definedName name="LevelA155" comment="0" localSheetId="0" hidden="1">""</definedName>
    <definedName name="LevelA1550" comment="0" localSheetId="0" hidden="1">""</definedName>
    <definedName name="LevelA1550C0" comment="NA==" localSheetId="0" hidden="1">""</definedName>
    <definedName name="LevelA1551" comment="0" localSheetId="0" hidden="1">""</definedName>
    <definedName name="LevelA1551C0" comment="NA==" localSheetId="0" hidden="1">""</definedName>
    <definedName name="LevelA1552" comment="0" localSheetId="0" hidden="1">""</definedName>
    <definedName name="LevelA1552C0" comment="NA==" localSheetId="0" hidden="1">""</definedName>
    <definedName name="LevelA1553" comment="0" localSheetId="0" hidden="1">""</definedName>
    <definedName name="LevelA1553C0" comment="NA==" localSheetId="0" hidden="1">""</definedName>
    <definedName name="LevelA1554" comment="0" localSheetId="0" hidden="1">""</definedName>
    <definedName name="LevelA1554C0" comment="NA==" localSheetId="0" hidden="1">""</definedName>
    <definedName name="LevelA1555" comment="0" localSheetId="0" hidden="1">""</definedName>
    <definedName name="LevelA1555C0" comment="NA==" localSheetId="0" hidden="1">""</definedName>
    <definedName name="LevelA1556" comment="0" localSheetId="0" hidden="1">""</definedName>
    <definedName name="LevelA1556C0" comment="NA==" localSheetId="0" hidden="1">""</definedName>
    <definedName name="LevelA1557" comment="0" localSheetId="0" hidden="1">""</definedName>
    <definedName name="LevelA1557C0" comment="NA==" localSheetId="0" hidden="1">""</definedName>
    <definedName name="LevelA1558" comment="0" localSheetId="0" hidden="1">""</definedName>
    <definedName name="LevelA1558C0" comment="NA==" localSheetId="0" hidden="1">""</definedName>
    <definedName name="LevelA1559" comment="0" localSheetId="0" hidden="1">""</definedName>
    <definedName name="LevelA1559C0" comment="NA==" localSheetId="0" hidden="1">""</definedName>
    <definedName name="LevelA155C0" comment="NA==" localSheetId="0" hidden="1">""</definedName>
    <definedName name="LevelA156" comment="0" localSheetId="0" hidden="1">""</definedName>
    <definedName name="LevelA1560" comment="0" localSheetId="0" hidden="1">""</definedName>
    <definedName name="LevelA1560C0" comment="NA==" localSheetId="0" hidden="1">""</definedName>
    <definedName name="LevelA1561" comment="0" localSheetId="0" hidden="1">""</definedName>
    <definedName name="LevelA1561C0" comment="NA==" localSheetId="0" hidden="1">""</definedName>
    <definedName name="LevelA1562" comment="0" localSheetId="0" hidden="1">""</definedName>
    <definedName name="LevelA1562C0" comment="NA==" localSheetId="0" hidden="1">""</definedName>
    <definedName name="LevelA1563" comment="0" localSheetId="0" hidden="1">""</definedName>
    <definedName name="LevelA1563C0" comment="NA==" localSheetId="0" hidden="1">""</definedName>
    <definedName name="LevelA1564" comment="0" localSheetId="0" hidden="1">""</definedName>
    <definedName name="LevelA1564C0" comment="NA==" localSheetId="0" hidden="1">""</definedName>
    <definedName name="LevelA1565" comment="0" localSheetId="0" hidden="1">""</definedName>
    <definedName name="LevelA1565C0" comment="NA==" localSheetId="0" hidden="1">""</definedName>
    <definedName name="LevelA1566" comment="0" localSheetId="0" hidden="1">""</definedName>
    <definedName name="LevelA1566C0" comment="NA==" localSheetId="0" hidden="1">""</definedName>
    <definedName name="LevelA1567" comment="0" localSheetId="0" hidden="1">""</definedName>
    <definedName name="LevelA1567C0" comment="NA==" localSheetId="0" hidden="1">""</definedName>
    <definedName name="LevelA1568" comment="0" localSheetId="0" hidden="1">""</definedName>
    <definedName name="LevelA1568C0" comment="NA==" localSheetId="0" hidden="1">""</definedName>
    <definedName name="LevelA1569" comment="0" localSheetId="0" hidden="1">""</definedName>
    <definedName name="LevelA1569C0" comment="NA==" localSheetId="0" hidden="1">""</definedName>
    <definedName name="LevelA156C0" comment="NA==" localSheetId="0" hidden="1">""</definedName>
    <definedName name="LevelA157" comment="0" localSheetId="0" hidden="1">""</definedName>
    <definedName name="LevelA1570" comment="0" localSheetId="0" hidden="1">""</definedName>
    <definedName name="LevelA1570C0" comment="NA==" localSheetId="0" hidden="1">""</definedName>
    <definedName name="LevelA1571" comment="0" localSheetId="0" hidden="1">""</definedName>
    <definedName name="LevelA1571C0" comment="NA==" localSheetId="0" hidden="1">""</definedName>
    <definedName name="LevelA1572" comment="0" localSheetId="0" hidden="1">""</definedName>
    <definedName name="LevelA1572C0" comment="NA==" localSheetId="0" hidden="1">""</definedName>
    <definedName name="LevelA1573" comment="0" localSheetId="0" hidden="1">""</definedName>
    <definedName name="LevelA1573C0" comment="NA==" localSheetId="0" hidden="1">""</definedName>
    <definedName name="LevelA1574" comment="0" localSheetId="0" hidden="1">""</definedName>
    <definedName name="LevelA1574C0" comment="NA==" localSheetId="0" hidden="1">""</definedName>
    <definedName name="LevelA1575" comment="0" localSheetId="0" hidden="1">""</definedName>
    <definedName name="LevelA1575C0" comment="NA==" localSheetId="0" hidden="1">""</definedName>
    <definedName name="LevelA1576" comment="0" localSheetId="0" hidden="1">""</definedName>
    <definedName name="LevelA1576C0" comment="NA==" localSheetId="0" hidden="1">""</definedName>
    <definedName name="LevelA1577" comment="0" localSheetId="0" hidden="1">""</definedName>
    <definedName name="LevelA1577C0" comment="NA==" localSheetId="0" hidden="1">""</definedName>
    <definedName name="LevelA1578" comment="0" localSheetId="0" hidden="1">""</definedName>
    <definedName name="LevelA1578C0" comment="NA==" localSheetId="0" hidden="1">""</definedName>
    <definedName name="LevelA1579" comment="0" localSheetId="0" hidden="1">""</definedName>
    <definedName name="LevelA1579C0" comment="NA==" localSheetId="0" hidden="1">""</definedName>
    <definedName name="LevelA157C0" comment="NA==" localSheetId="0" hidden="1">""</definedName>
    <definedName name="LevelA158" comment="0" localSheetId="0" hidden="1">""</definedName>
    <definedName name="LevelA1580" comment="0" localSheetId="0" hidden="1">""</definedName>
    <definedName name="LevelA1580C0" comment="NA==" localSheetId="0" hidden="1">""</definedName>
    <definedName name="LevelA1581" comment="0" localSheetId="0" hidden="1">""</definedName>
    <definedName name="LevelA1581C0" comment="NA==" localSheetId="0" hidden="1">""</definedName>
    <definedName name="LevelA1582" comment="0" localSheetId="0" hidden="1">""</definedName>
    <definedName name="LevelA1582C0" comment="NA==" localSheetId="0" hidden="1">""</definedName>
    <definedName name="LevelA1583" comment="0" localSheetId="0" hidden="1">""</definedName>
    <definedName name="LevelA1583C0" comment="NA==" localSheetId="0" hidden="1">""</definedName>
    <definedName name="LevelA1584" comment="0" localSheetId="0" hidden="1">""</definedName>
    <definedName name="LevelA1584C0" comment="NA==" localSheetId="0" hidden="1">""</definedName>
    <definedName name="LevelA1585" comment="0" localSheetId="0" hidden="1">""</definedName>
    <definedName name="LevelA1585C0" comment="NA==" localSheetId="0" hidden="1">""</definedName>
    <definedName name="LevelA1586" comment="0" localSheetId="0" hidden="1">""</definedName>
    <definedName name="LevelA1586C0" comment="NA==" localSheetId="0" hidden="1">""</definedName>
    <definedName name="LevelA1587" comment="0" localSheetId="0" hidden="1">""</definedName>
    <definedName name="LevelA1587C0" comment="NA==" localSheetId="0" hidden="1">""</definedName>
    <definedName name="LevelA1588" comment="0" localSheetId="0" hidden="1">""</definedName>
    <definedName name="LevelA1588C0" comment="NA==" localSheetId="0" hidden="1">""</definedName>
    <definedName name="LevelA1589" comment="0" localSheetId="0" hidden="1">""</definedName>
    <definedName name="LevelA1589C0" comment="NA==" localSheetId="0" hidden="1">""</definedName>
    <definedName name="LevelA158C0" comment="NA==" localSheetId="0" hidden="1">""</definedName>
    <definedName name="LevelA159" comment="0" localSheetId="0" hidden="1">""</definedName>
    <definedName name="LevelA1590" comment="0" localSheetId="0" hidden="1">""</definedName>
    <definedName name="LevelA1590C0" comment="NA==" localSheetId="0" hidden="1">""</definedName>
    <definedName name="LevelA1591" comment="0" localSheetId="0" hidden="1">""</definedName>
    <definedName name="LevelA1591C0" comment="NA==" localSheetId="0" hidden="1">""</definedName>
    <definedName name="LevelA1592" comment="0" localSheetId="0" hidden="1">""</definedName>
    <definedName name="LevelA1592C0" comment="NA==" localSheetId="0" hidden="1">""</definedName>
    <definedName name="LevelA1593" comment="0" localSheetId="0" hidden="1">""</definedName>
    <definedName name="LevelA1593C0" comment="NA==" localSheetId="0" hidden="1">""</definedName>
    <definedName name="LevelA1594" comment="0" localSheetId="0" hidden="1">""</definedName>
    <definedName name="LevelA1594C0" comment="NA==" localSheetId="0" hidden="1">""</definedName>
    <definedName name="LevelA1595" comment="0" localSheetId="0" hidden="1">""</definedName>
    <definedName name="LevelA1595C0" comment="NA==" localSheetId="0" hidden="1">""</definedName>
    <definedName name="LevelA1596" comment="0" localSheetId="0" hidden="1">""</definedName>
    <definedName name="LevelA1596C0" comment="NA==" localSheetId="0" hidden="1">""</definedName>
    <definedName name="LevelA1597" comment="0" localSheetId="0" hidden="1">""</definedName>
    <definedName name="LevelA1597C0" comment="NA==" localSheetId="0" hidden="1">""</definedName>
    <definedName name="LevelA1598" comment="0" localSheetId="0" hidden="1">""</definedName>
    <definedName name="LevelA1598C0" comment="NA==" localSheetId="0" hidden="1">""</definedName>
    <definedName name="LevelA1599" comment="0" localSheetId="0" hidden="1">""</definedName>
    <definedName name="LevelA1599C0" comment="NA==" localSheetId="0" hidden="1">""</definedName>
    <definedName name="LevelA159C0" comment="NA==" localSheetId="0" hidden="1">""</definedName>
    <definedName name="LevelA15C0" comment="NA==" localSheetId="0" hidden="1">""</definedName>
    <definedName name="LevelA16" comment="0" localSheetId="0" hidden="1">""</definedName>
    <definedName name="LevelA160" comment="0" localSheetId="0" hidden="1">""</definedName>
    <definedName name="LevelA1600" comment="0" localSheetId="0" hidden="1">""</definedName>
    <definedName name="LevelA1600C0" comment="NA==" localSheetId="0" hidden="1">""</definedName>
    <definedName name="LevelA1601" comment="0" localSheetId="0" hidden="1">""</definedName>
    <definedName name="LevelA1601C0" comment="NA==" localSheetId="0" hidden="1">""</definedName>
    <definedName name="LevelA1602" comment="0" localSheetId="0" hidden="1">""</definedName>
    <definedName name="LevelA1602C0" comment="NA==" localSheetId="0" hidden="1">""</definedName>
    <definedName name="LevelA1603" comment="0" localSheetId="0" hidden="1">""</definedName>
    <definedName name="LevelA1603C0" comment="NA==" localSheetId="0" hidden="1">""</definedName>
    <definedName name="LevelA1604" comment="0" localSheetId="0" hidden="1">""</definedName>
    <definedName name="LevelA1604C0" comment="NA==" localSheetId="0" hidden="1">""</definedName>
    <definedName name="LevelA1605" comment="0" localSheetId="0" hidden="1">""</definedName>
    <definedName name="LevelA1605C0" comment="NA==" localSheetId="0" hidden="1">""</definedName>
    <definedName name="LevelA1606" comment="0" localSheetId="0" hidden="1">""</definedName>
    <definedName name="LevelA1606C0" comment="NA==" localSheetId="0" hidden="1">""</definedName>
    <definedName name="LevelA1607" comment="0" localSheetId="0" hidden="1">""</definedName>
    <definedName name="LevelA1607C0" comment="NA==" localSheetId="0" hidden="1">""</definedName>
    <definedName name="LevelA1608" comment="0" localSheetId="0" hidden="1">""</definedName>
    <definedName name="LevelA1608C0" comment="NA==" localSheetId="0" hidden="1">""</definedName>
    <definedName name="LevelA1609" comment="0" localSheetId="0" hidden="1">""</definedName>
    <definedName name="LevelA1609C0" comment="NA==" localSheetId="0" hidden="1">""</definedName>
    <definedName name="LevelA160C0" comment="NA==" localSheetId="0" hidden="1">""</definedName>
    <definedName name="LevelA161" comment="0" localSheetId="0" hidden="1">""</definedName>
    <definedName name="LevelA1610" comment="0" localSheetId="0" hidden="1">""</definedName>
    <definedName name="LevelA1610C0" comment="NA==" localSheetId="0" hidden="1">""</definedName>
    <definedName name="LevelA1611" comment="0" localSheetId="0" hidden="1">""</definedName>
    <definedName name="LevelA1611C0" comment="NA==" localSheetId="0" hidden="1">""</definedName>
    <definedName name="LevelA1612" comment="0" localSheetId="0" hidden="1">""</definedName>
    <definedName name="LevelA1612C0" comment="NA==" localSheetId="0" hidden="1">""</definedName>
    <definedName name="LevelA1613" comment="0" localSheetId="0" hidden="1">""</definedName>
    <definedName name="LevelA1613C0" comment="NA==" localSheetId="0" hidden="1">""</definedName>
    <definedName name="LevelA1614" comment="0" localSheetId="0" hidden="1">""</definedName>
    <definedName name="LevelA1614C0" comment="NA==" localSheetId="0" hidden="1">""</definedName>
    <definedName name="LevelA1615" comment="0" localSheetId="0" hidden="1">""</definedName>
    <definedName name="LevelA1615C0" comment="NA==" localSheetId="0" hidden="1">""</definedName>
    <definedName name="LevelA1616" comment="0" localSheetId="0" hidden="1">""</definedName>
    <definedName name="LevelA1616C0" comment="NA==" localSheetId="0" hidden="1">""</definedName>
    <definedName name="LevelA1617" comment="0" localSheetId="0" hidden="1">""</definedName>
    <definedName name="LevelA1617C0" comment="NA==" localSheetId="0" hidden="1">""</definedName>
    <definedName name="LevelA1618" comment="0" localSheetId="0" hidden="1">""</definedName>
    <definedName name="LevelA1618C0" comment="NA==" localSheetId="0" hidden="1">""</definedName>
    <definedName name="LevelA1619" comment="0" localSheetId="0" hidden="1">""</definedName>
    <definedName name="LevelA1619C0" comment="NA==" localSheetId="0" hidden="1">""</definedName>
    <definedName name="LevelA161C0" comment="NA==" localSheetId="0" hidden="1">""</definedName>
    <definedName name="LevelA162" comment="0" localSheetId="0" hidden="1">""</definedName>
    <definedName name="LevelA1620" comment="0" localSheetId="0" hidden="1">""</definedName>
    <definedName name="LevelA1620C0" comment="NA==" localSheetId="0" hidden="1">""</definedName>
    <definedName name="LevelA1621" comment="0" localSheetId="0" hidden="1">""</definedName>
    <definedName name="LevelA1621C0" comment="NA==" localSheetId="0" hidden="1">""</definedName>
    <definedName name="LevelA1622" comment="0" localSheetId="0" hidden="1">""</definedName>
    <definedName name="LevelA1622C0" comment="NA==" localSheetId="0" hidden="1">""</definedName>
    <definedName name="LevelA1623" comment="0" localSheetId="0" hidden="1">""</definedName>
    <definedName name="LevelA1623C0" comment="NA==" localSheetId="0" hidden="1">""</definedName>
    <definedName name="LevelA1624" comment="0" localSheetId="0" hidden="1">""</definedName>
    <definedName name="LevelA1624C0" comment="NA==" localSheetId="0" hidden="1">""</definedName>
    <definedName name="LevelA1625" comment="0" localSheetId="0" hidden="1">""</definedName>
    <definedName name="LevelA1625C0" comment="NA==" localSheetId="0" hidden="1">""</definedName>
    <definedName name="LevelA1626" comment="0" localSheetId="0" hidden="1">""</definedName>
    <definedName name="LevelA1626C0" comment="NA==" localSheetId="0" hidden="1">""</definedName>
    <definedName name="LevelA1627" comment="0" localSheetId="0" hidden="1">""</definedName>
    <definedName name="LevelA1627C0" comment="NA==" localSheetId="0" hidden="1">""</definedName>
    <definedName name="LevelA1628" comment="0" localSheetId="0" hidden="1">""</definedName>
    <definedName name="LevelA1628C0" comment="NA==" localSheetId="0" hidden="1">""</definedName>
    <definedName name="LevelA1629" comment="0" localSheetId="0" hidden="1">""</definedName>
    <definedName name="LevelA1629C0" comment="NA==" localSheetId="0" hidden="1">""</definedName>
    <definedName name="LevelA162C0" comment="NA==" localSheetId="0" hidden="1">""</definedName>
    <definedName name="LevelA163" comment="0" localSheetId="0" hidden="1">""</definedName>
    <definedName name="LevelA1630" comment="0" localSheetId="0" hidden="1">""</definedName>
    <definedName name="LevelA1630C0" comment="NA==" localSheetId="0" hidden="1">""</definedName>
    <definedName name="LevelA1631" comment="0" localSheetId="0" hidden="1">""</definedName>
    <definedName name="LevelA1631C0" comment="NA==" localSheetId="0" hidden="1">""</definedName>
    <definedName name="LevelA1632" comment="0" localSheetId="0" hidden="1">""</definedName>
    <definedName name="LevelA1632C0" comment="NA==" localSheetId="0" hidden="1">""</definedName>
    <definedName name="LevelA1633" comment="0" localSheetId="0" hidden="1">""</definedName>
    <definedName name="LevelA1633C0" comment="NA==" localSheetId="0" hidden="1">""</definedName>
    <definedName name="LevelA1634" comment="0" localSheetId="0" hidden="1">""</definedName>
    <definedName name="LevelA1634C0" comment="NA==" localSheetId="0" hidden="1">""</definedName>
    <definedName name="LevelA1635" comment="0" localSheetId="0" hidden="1">""</definedName>
    <definedName name="LevelA1635C0" comment="NA==" localSheetId="0" hidden="1">""</definedName>
    <definedName name="LevelA1636" comment="0" localSheetId="0" hidden="1">""</definedName>
    <definedName name="LevelA1636C0" comment="NA==" localSheetId="0" hidden="1">""</definedName>
    <definedName name="LevelA1637" comment="0" localSheetId="0" hidden="1">""</definedName>
    <definedName name="LevelA1637C0" comment="NA==" localSheetId="0" hidden="1">""</definedName>
    <definedName name="LevelA1638" comment="0" localSheetId="0" hidden="1">""</definedName>
    <definedName name="LevelA1638C0" comment="NA==" localSheetId="0" hidden="1">""</definedName>
    <definedName name="LevelA1639" comment="0" localSheetId="0" hidden="1">""</definedName>
    <definedName name="LevelA1639C0" comment="NA==" localSheetId="0" hidden="1">""</definedName>
    <definedName name="LevelA163C0" comment="NA==" localSheetId="0" hidden="1">""</definedName>
    <definedName name="LevelA164" comment="0" localSheetId="0" hidden="1">""</definedName>
    <definedName name="LevelA1640" comment="0" localSheetId="0" hidden="1">""</definedName>
    <definedName name="LevelA1640C0" comment="NA==" localSheetId="0" hidden="1">""</definedName>
    <definedName name="LevelA1641" comment="0" localSheetId="0" hidden="1">""</definedName>
    <definedName name="LevelA1641C0" comment="NA==" localSheetId="0" hidden="1">""</definedName>
    <definedName name="LevelA1642" comment="0" localSheetId="0" hidden="1">""</definedName>
    <definedName name="LevelA1642C0" comment="NA==" localSheetId="0" hidden="1">""</definedName>
    <definedName name="LevelA1643" comment="0" localSheetId="0" hidden="1">""</definedName>
    <definedName name="LevelA1643C0" comment="NA==" localSheetId="0" hidden="1">""</definedName>
    <definedName name="LevelA1644" comment="0" localSheetId="0" hidden="1">""</definedName>
    <definedName name="LevelA1644C0" comment="NA==" localSheetId="0" hidden="1">""</definedName>
    <definedName name="LevelA1645" comment="0" localSheetId="0" hidden="1">""</definedName>
    <definedName name="LevelA1645C0" comment="NA==" localSheetId="0" hidden="1">""</definedName>
    <definedName name="LevelA1646" comment="0" localSheetId="0" hidden="1">""</definedName>
    <definedName name="LevelA1646C0" comment="NA==" localSheetId="0" hidden="1">""</definedName>
    <definedName name="LevelA1647" comment="0" localSheetId="0" hidden="1">""</definedName>
    <definedName name="LevelA1647C0" comment="NA==" localSheetId="0" hidden="1">""</definedName>
    <definedName name="LevelA1648" comment="0" localSheetId="0" hidden="1">""</definedName>
    <definedName name="LevelA1648C0" comment="NA==" localSheetId="0" hidden="1">""</definedName>
    <definedName name="LevelA1649" comment="0" localSheetId="0" hidden="1">""</definedName>
    <definedName name="LevelA1649C0" comment="NA==" localSheetId="0" hidden="1">""</definedName>
    <definedName name="LevelA164C0" comment="NA==" localSheetId="0" hidden="1">""</definedName>
    <definedName name="LevelA165" comment="0" localSheetId="0" hidden="1">""</definedName>
    <definedName name="LevelA1650" comment="0" localSheetId="0" hidden="1">""</definedName>
    <definedName name="LevelA1650C0" comment="NA==" localSheetId="0" hidden="1">""</definedName>
    <definedName name="LevelA1651" comment="0" localSheetId="0" hidden="1">""</definedName>
    <definedName name="LevelA1651C0" comment="NA==" localSheetId="0" hidden="1">""</definedName>
    <definedName name="LevelA1652" comment="0" localSheetId="0" hidden="1">""</definedName>
    <definedName name="LevelA1652C0" comment="NA==" localSheetId="0" hidden="1">""</definedName>
    <definedName name="LevelA1653" comment="0" localSheetId="0" hidden="1">""</definedName>
    <definedName name="LevelA1653C0" comment="NA==" localSheetId="0" hidden="1">""</definedName>
    <definedName name="LevelA1654" comment="0" localSheetId="0" hidden="1">""</definedName>
    <definedName name="LevelA1654C0" comment="NA==" localSheetId="0" hidden="1">""</definedName>
    <definedName name="LevelA1655" comment="0" localSheetId="0" hidden="1">""</definedName>
    <definedName name="LevelA1655C0" comment="NA==" localSheetId="0" hidden="1">""</definedName>
    <definedName name="LevelA1656" comment="0" localSheetId="0" hidden="1">""</definedName>
    <definedName name="LevelA1656C0" comment="NA==" localSheetId="0" hidden="1">""</definedName>
    <definedName name="LevelA1657" comment="0" localSheetId="0" hidden="1">""</definedName>
    <definedName name="LevelA1657C0" comment="NA==" localSheetId="0" hidden="1">""</definedName>
    <definedName name="LevelA1658" comment="0" localSheetId="0" hidden="1">""</definedName>
    <definedName name="LevelA1658C0" comment="NA==" localSheetId="0" hidden="1">""</definedName>
    <definedName name="LevelA1659" comment="0" localSheetId="0" hidden="1">""</definedName>
    <definedName name="LevelA1659C0" comment="NA==" localSheetId="0" hidden="1">""</definedName>
    <definedName name="LevelA165C0" comment="NA==" localSheetId="0" hidden="1">""</definedName>
    <definedName name="LevelA166" comment="0" localSheetId="0" hidden="1">""</definedName>
    <definedName name="LevelA1660" comment="0" localSheetId="0" hidden="1">""</definedName>
    <definedName name="LevelA1660C0" comment="NA==" localSheetId="0" hidden="1">""</definedName>
    <definedName name="LevelA1661" comment="0" localSheetId="0" hidden="1">""</definedName>
    <definedName name="LevelA1661C0" comment="NA==" localSheetId="0" hidden="1">""</definedName>
    <definedName name="LevelA1662" comment="0" localSheetId="0" hidden="1">""</definedName>
    <definedName name="LevelA1662C0" comment="NA==" localSheetId="0" hidden="1">""</definedName>
    <definedName name="LevelA1663" comment="0" localSheetId="0" hidden="1">""</definedName>
    <definedName name="LevelA1663C0" comment="NA==" localSheetId="0" hidden="1">""</definedName>
    <definedName name="LevelA1664" comment="0" localSheetId="0" hidden="1">""</definedName>
    <definedName name="LevelA1664C0" comment="NA==" localSheetId="0" hidden="1">""</definedName>
    <definedName name="LevelA1665" comment="0" localSheetId="0" hidden="1">""</definedName>
    <definedName name="LevelA1665C0" comment="NA==" localSheetId="0" hidden="1">""</definedName>
    <definedName name="LevelA1666" comment="0" localSheetId="0" hidden="1">""</definedName>
    <definedName name="LevelA1666C0" comment="NA==" localSheetId="0" hidden="1">""</definedName>
    <definedName name="LevelA1667" comment="0" localSheetId="0" hidden="1">""</definedName>
    <definedName name="LevelA1667C0" comment="NA==" localSheetId="0" hidden="1">""</definedName>
    <definedName name="LevelA1668" comment="0" localSheetId="0" hidden="1">""</definedName>
    <definedName name="LevelA1668C0" comment="NA==" localSheetId="0" hidden="1">""</definedName>
    <definedName name="LevelA1669" comment="0" localSheetId="0" hidden="1">""</definedName>
    <definedName name="LevelA1669C0" comment="NA==" localSheetId="0" hidden="1">""</definedName>
    <definedName name="LevelA166C0" comment="NA==" localSheetId="0" hidden="1">""</definedName>
    <definedName name="LevelA167" comment="0" localSheetId="0" hidden="1">""</definedName>
    <definedName name="LevelA1670" comment="0" localSheetId="0" hidden="1">""</definedName>
    <definedName name="LevelA1670C0" comment="NA==" localSheetId="0" hidden="1">""</definedName>
    <definedName name="LevelA1671" comment="0" localSheetId="0" hidden="1">""</definedName>
    <definedName name="LevelA1671C0" comment="NA==" localSheetId="0" hidden="1">""</definedName>
    <definedName name="LevelA1672" comment="0" localSheetId="0" hidden="1">""</definedName>
    <definedName name="LevelA1672C0" comment="NA==" localSheetId="0" hidden="1">""</definedName>
    <definedName name="LevelA1673" comment="0" localSheetId="0" hidden="1">""</definedName>
    <definedName name="LevelA1673C0" comment="NA==" localSheetId="0" hidden="1">""</definedName>
    <definedName name="LevelA1674" comment="0" localSheetId="0" hidden="1">""</definedName>
    <definedName name="LevelA1674C0" comment="NA==" localSheetId="0" hidden="1">""</definedName>
    <definedName name="LevelA1675" comment="0" localSheetId="0" hidden="1">""</definedName>
    <definedName name="LevelA1675C0" comment="NA==" localSheetId="0" hidden="1">""</definedName>
    <definedName name="LevelA1676" comment="0" localSheetId="0" hidden="1">""</definedName>
    <definedName name="LevelA1676C0" comment="NA==" localSheetId="0" hidden="1">""</definedName>
    <definedName name="LevelA1677" comment="0" localSheetId="0" hidden="1">""</definedName>
    <definedName name="LevelA1677C0" comment="NA==" localSheetId="0" hidden="1">""</definedName>
    <definedName name="LevelA1678" comment="0" localSheetId="0" hidden="1">""</definedName>
    <definedName name="LevelA1678C0" comment="NA==" localSheetId="0" hidden="1">""</definedName>
    <definedName name="LevelA1679" comment="0" localSheetId="0" hidden="1">""</definedName>
    <definedName name="LevelA1679C0" comment="NA==" localSheetId="0" hidden="1">""</definedName>
    <definedName name="LevelA167C0" comment="NA==" localSheetId="0" hidden="1">""</definedName>
    <definedName name="LevelA168" comment="0" localSheetId="0" hidden="1">""</definedName>
    <definedName name="LevelA1680" comment="0" localSheetId="0" hidden="1">""</definedName>
    <definedName name="LevelA1680C0" comment="NA==" localSheetId="0" hidden="1">""</definedName>
    <definedName name="LevelA1681" comment="0" localSheetId="0" hidden="1">""</definedName>
    <definedName name="LevelA1681C0" comment="NA==" localSheetId="0" hidden="1">""</definedName>
    <definedName name="LevelA1682" comment="0" localSheetId="0" hidden="1">""</definedName>
    <definedName name="LevelA1682C0" comment="NA==" localSheetId="0" hidden="1">""</definedName>
    <definedName name="LevelA1683" comment="0" localSheetId="0" hidden="1">""</definedName>
    <definedName name="LevelA1683C0" comment="NA==" localSheetId="0" hidden="1">""</definedName>
    <definedName name="LevelA1684" comment="0" localSheetId="0" hidden="1">""</definedName>
    <definedName name="LevelA1684C0" comment="NA==" localSheetId="0" hidden="1">""</definedName>
    <definedName name="LevelA1685" comment="0" localSheetId="0" hidden="1">""</definedName>
    <definedName name="LevelA1685C0" comment="NA==" localSheetId="0" hidden="1">""</definedName>
    <definedName name="LevelA1686" comment="0" localSheetId="0" hidden="1">""</definedName>
    <definedName name="LevelA1686C0" comment="NA==" localSheetId="0" hidden="1">""</definedName>
    <definedName name="LevelA1687" comment="0" localSheetId="0" hidden="1">""</definedName>
    <definedName name="LevelA1687C0" comment="NA==" localSheetId="0" hidden="1">""</definedName>
    <definedName name="LevelA1688" comment="0" localSheetId="0" hidden="1">""</definedName>
    <definedName name="LevelA1688C0" comment="NA==" localSheetId="0" hidden="1">""</definedName>
    <definedName name="LevelA1689" comment="0" localSheetId="0" hidden="1">""</definedName>
    <definedName name="LevelA1689C0" comment="NA==" localSheetId="0" hidden="1">""</definedName>
    <definedName name="LevelA168C0" comment="NA==" localSheetId="0" hidden="1">""</definedName>
    <definedName name="LevelA169" comment="0" localSheetId="0" hidden="1">""</definedName>
    <definedName name="LevelA1690" comment="0" localSheetId="0" hidden="1">""</definedName>
    <definedName name="LevelA1690C0" comment="NA==" localSheetId="0" hidden="1">""</definedName>
    <definedName name="LevelA1691" comment="0" localSheetId="0" hidden="1">""</definedName>
    <definedName name="LevelA1691C0" comment="NA==" localSheetId="0" hidden="1">""</definedName>
    <definedName name="LevelA1692" comment="0" localSheetId="0" hidden="1">""</definedName>
    <definedName name="LevelA1692C0" comment="NA==" localSheetId="0" hidden="1">""</definedName>
    <definedName name="LevelA1693" comment="0" localSheetId="0" hidden="1">""</definedName>
    <definedName name="LevelA1693C0" comment="NA==" localSheetId="0" hidden="1">""</definedName>
    <definedName name="LevelA1694" comment="0" localSheetId="0" hidden="1">""</definedName>
    <definedName name="LevelA1694C0" comment="NA==" localSheetId="0" hidden="1">""</definedName>
    <definedName name="LevelA1695" comment="0" localSheetId="0" hidden="1">""</definedName>
    <definedName name="LevelA1695C0" comment="NA==" localSheetId="0" hidden="1">""</definedName>
    <definedName name="LevelA1696" comment="0" localSheetId="0" hidden="1">""</definedName>
    <definedName name="LevelA1696C0" comment="NA==" localSheetId="0" hidden="1">""</definedName>
    <definedName name="LevelA1697" comment="0" localSheetId="0" hidden="1">""</definedName>
    <definedName name="LevelA1697C0" comment="NA==" localSheetId="0" hidden="1">""</definedName>
    <definedName name="LevelA1698" comment="0" localSheetId="0" hidden="1">""</definedName>
    <definedName name="LevelA1698C0" comment="NA==" localSheetId="0" hidden="1">""</definedName>
    <definedName name="LevelA1699" comment="0" localSheetId="0" hidden="1">""</definedName>
    <definedName name="LevelA1699C0" comment="NA==" localSheetId="0" hidden="1">""</definedName>
    <definedName name="LevelA169C0" comment="NA==" localSheetId="0" hidden="1">""</definedName>
    <definedName name="LevelA16C0" comment="NA==" localSheetId="0" hidden="1">""</definedName>
    <definedName name="LevelA17" comment="0" localSheetId="0" hidden="1">""</definedName>
    <definedName name="LevelA170" comment="0" localSheetId="0" hidden="1">""</definedName>
    <definedName name="LevelA1700" comment="0" localSheetId="0" hidden="1">""</definedName>
    <definedName name="LevelA1700C0" comment="NA==" localSheetId="0" hidden="1">""</definedName>
    <definedName name="LevelA1701" comment="0" localSheetId="0" hidden="1">""</definedName>
    <definedName name="LevelA1701C0" comment="NA==" localSheetId="0" hidden="1">""</definedName>
    <definedName name="LevelA1702" comment="0" localSheetId="0" hidden="1">""</definedName>
    <definedName name="LevelA1702C0" comment="NA==" localSheetId="0" hidden="1">""</definedName>
    <definedName name="LevelA1703" comment="0" localSheetId="0" hidden="1">""</definedName>
    <definedName name="LevelA1703C0" comment="NA==" localSheetId="0" hidden="1">""</definedName>
    <definedName name="LevelA1704" comment="0" localSheetId="0" hidden="1">""</definedName>
    <definedName name="LevelA1704C0" comment="NA==" localSheetId="0" hidden="1">""</definedName>
    <definedName name="LevelA1705" comment="0" localSheetId="0" hidden="1">""</definedName>
    <definedName name="LevelA1705C0" comment="NA==" localSheetId="0" hidden="1">""</definedName>
    <definedName name="LevelA1706" comment="0" localSheetId="0" hidden="1">""</definedName>
    <definedName name="LevelA1706C0" comment="NA==" localSheetId="0" hidden="1">""</definedName>
    <definedName name="LevelA1707" comment="0" localSheetId="0" hidden="1">""</definedName>
    <definedName name="LevelA1707C0" comment="NA==" localSheetId="0" hidden="1">""</definedName>
    <definedName name="LevelA1708" comment="0" localSheetId="0" hidden="1">""</definedName>
    <definedName name="LevelA1708C0" comment="NA==" localSheetId="0" hidden="1">""</definedName>
    <definedName name="LevelA1709" comment="0" localSheetId="0" hidden="1">""</definedName>
    <definedName name="LevelA1709C0" comment="NA==" localSheetId="0" hidden="1">""</definedName>
    <definedName name="LevelA170C0" comment="NA==" localSheetId="0" hidden="1">""</definedName>
    <definedName name="LevelA171" comment="0" localSheetId="0" hidden="1">""</definedName>
    <definedName name="LevelA1710" comment="0" localSheetId="0" hidden="1">""</definedName>
    <definedName name="LevelA1710C0" comment="NA==" localSheetId="0" hidden="1">""</definedName>
    <definedName name="LevelA1711" comment="0" localSheetId="0" hidden="1">""</definedName>
    <definedName name="LevelA1711C0" comment="NA==" localSheetId="0" hidden="1">""</definedName>
    <definedName name="LevelA1712" comment="0" localSheetId="0" hidden="1">""</definedName>
    <definedName name="LevelA1712C0" comment="NA==" localSheetId="0" hidden="1">""</definedName>
    <definedName name="LevelA1713" comment="0" localSheetId="0" hidden="1">""</definedName>
    <definedName name="LevelA1713C0" comment="NA==" localSheetId="0" hidden="1">""</definedName>
    <definedName name="LevelA1714" comment="0" localSheetId="0" hidden="1">""</definedName>
    <definedName name="LevelA1714C0" comment="NA==" localSheetId="0" hidden="1">""</definedName>
    <definedName name="LevelA1715" comment="0" localSheetId="0" hidden="1">""</definedName>
    <definedName name="LevelA1715C0" comment="NA==" localSheetId="0" hidden="1">""</definedName>
    <definedName name="LevelA1716" comment="0" localSheetId="0" hidden="1">""</definedName>
    <definedName name="LevelA1716C0" comment="NA==" localSheetId="0" hidden="1">""</definedName>
    <definedName name="LevelA1717" comment="0" localSheetId="0" hidden="1">""</definedName>
    <definedName name="LevelA1717C0" comment="NA==" localSheetId="0" hidden="1">""</definedName>
    <definedName name="LevelA1718" comment="0" localSheetId="0" hidden="1">""</definedName>
    <definedName name="LevelA1718C0" comment="NA==" localSheetId="0" hidden="1">""</definedName>
    <definedName name="LevelA1719" comment="0" localSheetId="0" hidden="1">""</definedName>
    <definedName name="LevelA1719C0" comment="NA==" localSheetId="0" hidden="1">""</definedName>
    <definedName name="LevelA171C0" comment="NA==" localSheetId="0" hidden="1">""</definedName>
    <definedName name="LevelA172" comment="0" localSheetId="0" hidden="1">""</definedName>
    <definedName name="LevelA1720" comment="0" localSheetId="0" hidden="1">""</definedName>
    <definedName name="LevelA1720C0" comment="NA==" localSheetId="0" hidden="1">""</definedName>
    <definedName name="LevelA1721" comment="0" localSheetId="0" hidden="1">""</definedName>
    <definedName name="LevelA1721C0" comment="NA==" localSheetId="0" hidden="1">""</definedName>
    <definedName name="LevelA1722" comment="0" localSheetId="0" hidden="1">""</definedName>
    <definedName name="LevelA1722C0" comment="NA==" localSheetId="0" hidden="1">""</definedName>
    <definedName name="LevelA1723" comment="0" localSheetId="0" hidden="1">""</definedName>
    <definedName name="LevelA1723C0" comment="NA==" localSheetId="0" hidden="1">""</definedName>
    <definedName name="LevelA1724" comment="0" localSheetId="0" hidden="1">""</definedName>
    <definedName name="LevelA1724C0" comment="NA==" localSheetId="0" hidden="1">""</definedName>
    <definedName name="LevelA1725" comment="0" localSheetId="0" hidden="1">""</definedName>
    <definedName name="LevelA1725C0" comment="NA==" localSheetId="0" hidden="1">""</definedName>
    <definedName name="LevelA1726" comment="0" localSheetId="0" hidden="1">""</definedName>
    <definedName name="LevelA1726C0" comment="NA==" localSheetId="0" hidden="1">""</definedName>
    <definedName name="LevelA1727" comment="0" localSheetId="0" hidden="1">""</definedName>
    <definedName name="LevelA1727C0" comment="NA==" localSheetId="0" hidden="1">""</definedName>
    <definedName name="LevelA1728" comment="0" localSheetId="0" hidden="1">""</definedName>
    <definedName name="LevelA1728C0" comment="NA==" localSheetId="0" hidden="1">""</definedName>
    <definedName name="LevelA1729" comment="0" localSheetId="0" hidden="1">""</definedName>
    <definedName name="LevelA1729C0" comment="NA==" localSheetId="0" hidden="1">""</definedName>
    <definedName name="LevelA172C0" comment="NA==" localSheetId="0" hidden="1">""</definedName>
    <definedName name="LevelA173" comment="0" localSheetId="0" hidden="1">""</definedName>
    <definedName name="LevelA1730" comment="0" localSheetId="0" hidden="1">""</definedName>
    <definedName name="LevelA1730C0" comment="NA==" localSheetId="0" hidden="1">""</definedName>
    <definedName name="LevelA1731" comment="0" localSheetId="0" hidden="1">""</definedName>
    <definedName name="LevelA1731C0" comment="NA==" localSheetId="0" hidden="1">""</definedName>
    <definedName name="LevelA1732" comment="0" localSheetId="0" hidden="1">""</definedName>
    <definedName name="LevelA1732C0" comment="NA==" localSheetId="0" hidden="1">""</definedName>
    <definedName name="LevelA1733" comment="0" localSheetId="0" hidden="1">""</definedName>
    <definedName name="LevelA1733C0" comment="NA==" localSheetId="0" hidden="1">""</definedName>
    <definedName name="LevelA1734" comment="0" localSheetId="0" hidden="1">""</definedName>
    <definedName name="LevelA1734C0" comment="NA==" localSheetId="0" hidden="1">""</definedName>
    <definedName name="LevelA1735" comment="0" localSheetId="0" hidden="1">""</definedName>
    <definedName name="LevelA1735C0" comment="NA==" localSheetId="0" hidden="1">""</definedName>
    <definedName name="LevelA1736" comment="0" localSheetId="0" hidden="1">""</definedName>
    <definedName name="LevelA1736C0" comment="NA==" localSheetId="0" hidden="1">""</definedName>
    <definedName name="LevelA1737" comment="0" localSheetId="0" hidden="1">""</definedName>
    <definedName name="LevelA1737C0" comment="NA==" localSheetId="0" hidden="1">""</definedName>
    <definedName name="LevelA1738" comment="0" localSheetId="0" hidden="1">""</definedName>
    <definedName name="LevelA1738C0" comment="NA==" localSheetId="0" hidden="1">""</definedName>
    <definedName name="LevelA1739" comment="0" localSheetId="0" hidden="1">""</definedName>
    <definedName name="LevelA1739C0" comment="NA==" localSheetId="0" hidden="1">""</definedName>
    <definedName name="LevelA173C0" comment="NA==" localSheetId="0" hidden="1">""</definedName>
    <definedName name="LevelA174" comment="0" localSheetId="0" hidden="1">""</definedName>
    <definedName name="LevelA1740" comment="0" localSheetId="0" hidden="1">""</definedName>
    <definedName name="LevelA1740C0" comment="NA==" localSheetId="0" hidden="1">""</definedName>
    <definedName name="LevelA1741" comment="0" localSheetId="0" hidden="1">""</definedName>
    <definedName name="LevelA1741C0" comment="NA==" localSheetId="0" hidden="1">""</definedName>
    <definedName name="LevelA1742" comment="0" localSheetId="0" hidden="1">""</definedName>
    <definedName name="LevelA1742C0" comment="NA==" localSheetId="0" hidden="1">""</definedName>
    <definedName name="LevelA1743" comment="0" localSheetId="0" hidden="1">""</definedName>
    <definedName name="LevelA1743C0" comment="NA==" localSheetId="0" hidden="1">""</definedName>
    <definedName name="LevelA1744" comment="0" localSheetId="0" hidden="1">""</definedName>
    <definedName name="LevelA1744C0" comment="NA==" localSheetId="0" hidden="1">""</definedName>
    <definedName name="LevelA1745" comment="0" localSheetId="0" hidden="1">""</definedName>
    <definedName name="LevelA1745C0" comment="NA==" localSheetId="0" hidden="1">""</definedName>
    <definedName name="LevelA1746" comment="0" localSheetId="0" hidden="1">""</definedName>
    <definedName name="LevelA1746C0" comment="NA==" localSheetId="0" hidden="1">""</definedName>
    <definedName name="LevelA1747" comment="0" localSheetId="0" hidden="1">""</definedName>
    <definedName name="LevelA1747C0" comment="NA==" localSheetId="0" hidden="1">""</definedName>
    <definedName name="LevelA1748" comment="0" localSheetId="0" hidden="1">""</definedName>
    <definedName name="LevelA1748C0" comment="NA==" localSheetId="0" hidden="1">""</definedName>
    <definedName name="LevelA1749" comment="0" localSheetId="0" hidden="1">""</definedName>
    <definedName name="LevelA1749C0" comment="NA==" localSheetId="0" hidden="1">""</definedName>
    <definedName name="LevelA174C0" comment="NA==" localSheetId="0" hidden="1">""</definedName>
    <definedName name="LevelA175" comment="0" localSheetId="0" hidden="1">""</definedName>
    <definedName name="LevelA1750" comment="0" localSheetId="0" hidden="1">""</definedName>
    <definedName name="LevelA1750C0" comment="NA==" localSheetId="0" hidden="1">""</definedName>
    <definedName name="LevelA1751" comment="0" localSheetId="0" hidden="1">""</definedName>
    <definedName name="LevelA1751C0" comment="NA==" localSheetId="0" hidden="1">""</definedName>
    <definedName name="LevelA1752" comment="0" localSheetId="0" hidden="1">""</definedName>
    <definedName name="LevelA1752C0" comment="NA==" localSheetId="0" hidden="1">""</definedName>
    <definedName name="LevelA1753" comment="0" localSheetId="0" hidden="1">""</definedName>
    <definedName name="LevelA1753C0" comment="NA==" localSheetId="0" hidden="1">""</definedName>
    <definedName name="LevelA1754" comment="0" localSheetId="0" hidden="1">""</definedName>
    <definedName name="LevelA1754C0" comment="NA==" localSheetId="0" hidden="1">""</definedName>
    <definedName name="LevelA1755" comment="0" localSheetId="0" hidden="1">""</definedName>
    <definedName name="LevelA1755C0" comment="NA==" localSheetId="0" hidden="1">""</definedName>
    <definedName name="LevelA1756" comment="0" localSheetId="0" hidden="1">""</definedName>
    <definedName name="LevelA1756C0" comment="NA==" localSheetId="0" hidden="1">""</definedName>
    <definedName name="LevelA1757" comment="0" localSheetId="0" hidden="1">""</definedName>
    <definedName name="LevelA1757C0" comment="NA==" localSheetId="0" hidden="1">""</definedName>
    <definedName name="LevelA1758" comment="0" localSheetId="0" hidden="1">""</definedName>
    <definedName name="LevelA1758C0" comment="NA==" localSheetId="0" hidden="1">""</definedName>
    <definedName name="LevelA1759" comment="0" localSheetId="0" hidden="1">""</definedName>
    <definedName name="LevelA1759C0" comment="NA==" localSheetId="0" hidden="1">""</definedName>
    <definedName name="LevelA175C0" comment="NA==" localSheetId="0" hidden="1">""</definedName>
    <definedName name="LevelA176" comment="0" localSheetId="0" hidden="1">""</definedName>
    <definedName name="LevelA1760" comment="0" localSheetId="0" hidden="1">""</definedName>
    <definedName name="LevelA1760C0" comment="NA==" localSheetId="0" hidden="1">""</definedName>
    <definedName name="LevelA1761" comment="0" localSheetId="0" hidden="1">""</definedName>
    <definedName name="LevelA1761C0" comment="NA==" localSheetId="0" hidden="1">""</definedName>
    <definedName name="LevelA1762" comment="0" localSheetId="0" hidden="1">""</definedName>
    <definedName name="LevelA1762C0" comment="NA==" localSheetId="0" hidden="1">""</definedName>
    <definedName name="LevelA1763" comment="0" localSheetId="0" hidden="1">""</definedName>
    <definedName name="LevelA1763C0" comment="NA==" localSheetId="0" hidden="1">""</definedName>
    <definedName name="LevelA1764" comment="0" localSheetId="0" hidden="1">""</definedName>
    <definedName name="LevelA1764C0" comment="NA==" localSheetId="0" hidden="1">""</definedName>
    <definedName name="LevelA1765" comment="0" localSheetId="0" hidden="1">""</definedName>
    <definedName name="LevelA1765C0" comment="NA==" localSheetId="0" hidden="1">""</definedName>
    <definedName name="LevelA1766" comment="0" localSheetId="0" hidden="1">""</definedName>
    <definedName name="LevelA1766C0" comment="NA==" localSheetId="0" hidden="1">""</definedName>
    <definedName name="LevelA1767" comment="0" localSheetId="0" hidden="1">""</definedName>
    <definedName name="LevelA1767C0" comment="NA==" localSheetId="0" hidden="1">""</definedName>
    <definedName name="LevelA1768" comment="0" localSheetId="0" hidden="1">""</definedName>
    <definedName name="LevelA1768C0" comment="NA==" localSheetId="0" hidden="1">""</definedName>
    <definedName name="LevelA1769" comment="0" localSheetId="0" hidden="1">""</definedName>
    <definedName name="LevelA1769C0" comment="NA==" localSheetId="0" hidden="1">""</definedName>
    <definedName name="LevelA176C0" comment="NA==" localSheetId="0" hidden="1">""</definedName>
    <definedName name="LevelA177" comment="0" localSheetId="0" hidden="1">""</definedName>
    <definedName name="LevelA1770" comment="0" localSheetId="0" hidden="1">""</definedName>
    <definedName name="LevelA1770C0" comment="NA==" localSheetId="0" hidden="1">""</definedName>
    <definedName name="LevelA1771" comment="0" localSheetId="0" hidden="1">""</definedName>
    <definedName name="LevelA1771C0" comment="NA==" localSheetId="0" hidden="1">""</definedName>
    <definedName name="LevelA1772" comment="0" localSheetId="0" hidden="1">""</definedName>
    <definedName name="LevelA1772C0" comment="NA==" localSheetId="0" hidden="1">""</definedName>
    <definedName name="LevelA1773" comment="0" localSheetId="0" hidden="1">""</definedName>
    <definedName name="LevelA1773C0" comment="NA==" localSheetId="0" hidden="1">""</definedName>
    <definedName name="LevelA1774" comment="0" localSheetId="0" hidden="1">""</definedName>
    <definedName name="LevelA1774C0" comment="NA==" localSheetId="0" hidden="1">""</definedName>
    <definedName name="LevelA1775" comment="0" localSheetId="0" hidden="1">""</definedName>
    <definedName name="LevelA1775C0" comment="NA==" localSheetId="0" hidden="1">""</definedName>
    <definedName name="LevelA1776" comment="0" localSheetId="0" hidden="1">""</definedName>
    <definedName name="LevelA1776C0" comment="NA==" localSheetId="0" hidden="1">""</definedName>
    <definedName name="LevelA1777" comment="0" localSheetId="0" hidden="1">""</definedName>
    <definedName name="LevelA1777C0" comment="NA==" localSheetId="0" hidden="1">""</definedName>
    <definedName name="LevelA1778" comment="0" localSheetId="0" hidden="1">""</definedName>
    <definedName name="LevelA1778C0" comment="NA==" localSheetId="0" hidden="1">""</definedName>
    <definedName name="LevelA1779" comment="0" localSheetId="0" hidden="1">""</definedName>
    <definedName name="LevelA1779C0" comment="NA==" localSheetId="0" hidden="1">""</definedName>
    <definedName name="LevelA177C0" comment="NA==" localSheetId="0" hidden="1">""</definedName>
    <definedName name="LevelA178" comment="0" localSheetId="0" hidden="1">""</definedName>
    <definedName name="LevelA1780" comment="0" localSheetId="0" hidden="1">""</definedName>
    <definedName name="LevelA1780C0" comment="NA==" localSheetId="0" hidden="1">""</definedName>
    <definedName name="LevelA1781" comment="0" localSheetId="0" hidden="1">""</definedName>
    <definedName name="LevelA1781C0" comment="NA==" localSheetId="0" hidden="1">""</definedName>
    <definedName name="LevelA1782" comment="0" localSheetId="0" hidden="1">""</definedName>
    <definedName name="LevelA1782C0" comment="NA==" localSheetId="0" hidden="1">""</definedName>
    <definedName name="LevelA1783" comment="0" localSheetId="0" hidden="1">""</definedName>
    <definedName name="LevelA1783C0" comment="NA==" localSheetId="0" hidden="1">""</definedName>
    <definedName name="LevelA1784" comment="0" localSheetId="0" hidden="1">""</definedName>
    <definedName name="LevelA1784C0" comment="NA==" localSheetId="0" hidden="1">""</definedName>
    <definedName name="LevelA1785" comment="0" localSheetId="0" hidden="1">""</definedName>
    <definedName name="LevelA1785C0" comment="NA==" localSheetId="0" hidden="1">""</definedName>
    <definedName name="LevelA1786" comment="0" localSheetId="0" hidden="1">""</definedName>
    <definedName name="LevelA1786C0" comment="NA==" localSheetId="0" hidden="1">""</definedName>
    <definedName name="LevelA1787" comment="0" localSheetId="0" hidden="1">""</definedName>
    <definedName name="LevelA1787C0" comment="NA==" localSheetId="0" hidden="1">""</definedName>
    <definedName name="LevelA1788" comment="0" localSheetId="0" hidden="1">""</definedName>
    <definedName name="LevelA1788C0" comment="NA==" localSheetId="0" hidden="1">""</definedName>
    <definedName name="LevelA1789" comment="0" localSheetId="0" hidden="1">""</definedName>
    <definedName name="LevelA1789C0" comment="NA==" localSheetId="0" hidden="1">""</definedName>
    <definedName name="LevelA178C0" comment="NA==" localSheetId="0" hidden="1">""</definedName>
    <definedName name="LevelA179" comment="0" localSheetId="0" hidden="1">""</definedName>
    <definedName name="LevelA1790" comment="0" localSheetId="0" hidden="1">""</definedName>
    <definedName name="LevelA1790C0" comment="NA==" localSheetId="0" hidden="1">""</definedName>
    <definedName name="LevelA1791" comment="0" localSheetId="0" hidden="1">""</definedName>
    <definedName name="LevelA1791C0" comment="NA==" localSheetId="0" hidden="1">""</definedName>
    <definedName name="LevelA1792" comment="0" localSheetId="0" hidden="1">""</definedName>
    <definedName name="LevelA1792C0" comment="NA==" localSheetId="0" hidden="1">""</definedName>
    <definedName name="LevelA1793" comment="0" localSheetId="0" hidden="1">""</definedName>
    <definedName name="LevelA1793C0" comment="NA==" localSheetId="0" hidden="1">""</definedName>
    <definedName name="LevelA1794" comment="0" localSheetId="0" hidden="1">""</definedName>
    <definedName name="LevelA1794C0" comment="NA==" localSheetId="0" hidden="1">""</definedName>
    <definedName name="LevelA1795" comment="0" localSheetId="0" hidden="1">""</definedName>
    <definedName name="LevelA1795C0" comment="NA==" localSheetId="0" hidden="1">""</definedName>
    <definedName name="LevelA1796" comment="0" localSheetId="0" hidden="1">""</definedName>
    <definedName name="LevelA1796C0" comment="NA==" localSheetId="0" hidden="1">""</definedName>
    <definedName name="LevelA1797" comment="0" localSheetId="0" hidden="1">""</definedName>
    <definedName name="LevelA1797C0" comment="NA==" localSheetId="0" hidden="1">""</definedName>
    <definedName name="LevelA1798" comment="0" localSheetId="0" hidden="1">""</definedName>
    <definedName name="LevelA1798C0" comment="NA==" localSheetId="0" hidden="1">""</definedName>
    <definedName name="LevelA1799" comment="0" localSheetId="0" hidden="1">""</definedName>
    <definedName name="LevelA1799C0" comment="NA==" localSheetId="0" hidden="1">""</definedName>
    <definedName name="LevelA179C0" comment="NA==" localSheetId="0" hidden="1">""</definedName>
    <definedName name="LevelA17C0" comment="NA==" localSheetId="0" hidden="1">""</definedName>
    <definedName name="LevelA18" comment="0" localSheetId="0" hidden="1">""</definedName>
    <definedName name="LevelA180" comment="0" localSheetId="0" hidden="1">""</definedName>
    <definedName name="LevelA1800" comment="0" localSheetId="0" hidden="1">""</definedName>
    <definedName name="LevelA1800C0" comment="NA==" localSheetId="0" hidden="1">""</definedName>
    <definedName name="LevelA1801" comment="0" localSheetId="0" hidden="1">""</definedName>
    <definedName name="LevelA1801C0" comment="NA==" localSheetId="0" hidden="1">""</definedName>
    <definedName name="LevelA1802" comment="0" localSheetId="0" hidden="1">""</definedName>
    <definedName name="LevelA1802C0" comment="NA==" localSheetId="0" hidden="1">""</definedName>
    <definedName name="LevelA1803" comment="0" localSheetId="0" hidden="1">""</definedName>
    <definedName name="LevelA1803C0" comment="NA==" localSheetId="0" hidden="1">""</definedName>
    <definedName name="LevelA1804" comment="0" localSheetId="0" hidden="1">""</definedName>
    <definedName name="LevelA1804C0" comment="NA==" localSheetId="0" hidden="1">""</definedName>
    <definedName name="LevelA1805" comment="0" localSheetId="0" hidden="1">""</definedName>
    <definedName name="LevelA1805C0" comment="NA==" localSheetId="0" hidden="1">""</definedName>
    <definedName name="LevelA1806" comment="0" localSheetId="0" hidden="1">""</definedName>
    <definedName name="LevelA1806C0" comment="NA==" localSheetId="0" hidden="1">""</definedName>
    <definedName name="LevelA1807" comment="0" localSheetId="0" hidden="1">""</definedName>
    <definedName name="LevelA1807C0" comment="NA==" localSheetId="0" hidden="1">""</definedName>
    <definedName name="LevelA1808" comment="0" localSheetId="0" hidden="1">""</definedName>
    <definedName name="LevelA1808C0" comment="NA==" localSheetId="0" hidden="1">""</definedName>
    <definedName name="LevelA1809" comment="0" localSheetId="0" hidden="1">""</definedName>
    <definedName name="LevelA1809C0" comment="NA==" localSheetId="0" hidden="1">""</definedName>
    <definedName name="LevelA180C0" comment="NA==" localSheetId="0" hidden="1">""</definedName>
    <definedName name="LevelA181" comment="0" localSheetId="0" hidden="1">""</definedName>
    <definedName name="LevelA1810" comment="0" localSheetId="0" hidden="1">""</definedName>
    <definedName name="LevelA1810C0" comment="NA==" localSheetId="0" hidden="1">""</definedName>
    <definedName name="LevelA1811" comment="0" localSheetId="0" hidden="1">""</definedName>
    <definedName name="LevelA1811C0" comment="NA==" localSheetId="0" hidden="1">""</definedName>
    <definedName name="LevelA1812" comment="0" localSheetId="0" hidden="1">""</definedName>
    <definedName name="LevelA1812C0" comment="NA==" localSheetId="0" hidden="1">""</definedName>
    <definedName name="LevelA1813" comment="0" localSheetId="0" hidden="1">""</definedName>
    <definedName name="LevelA1813C0" comment="NA==" localSheetId="0" hidden="1">""</definedName>
    <definedName name="LevelA1814" comment="0" localSheetId="0" hidden="1">""</definedName>
    <definedName name="LevelA1814C0" comment="NA==" localSheetId="0" hidden="1">""</definedName>
    <definedName name="LevelA1815" comment="0" localSheetId="0" hidden="1">""</definedName>
    <definedName name="LevelA1815C0" comment="NA==" localSheetId="0" hidden="1">""</definedName>
    <definedName name="LevelA1816" comment="0" localSheetId="0" hidden="1">""</definedName>
    <definedName name="LevelA1816C0" comment="NA==" localSheetId="0" hidden="1">""</definedName>
    <definedName name="LevelA1817" comment="0" localSheetId="0" hidden="1">""</definedName>
    <definedName name="LevelA1817C0" comment="NA==" localSheetId="0" hidden="1">""</definedName>
    <definedName name="LevelA1818" comment="0" localSheetId="0" hidden="1">""</definedName>
    <definedName name="LevelA1818C0" comment="NA==" localSheetId="0" hidden="1">""</definedName>
    <definedName name="LevelA1819" comment="0" localSheetId="0" hidden="1">""</definedName>
    <definedName name="LevelA1819C0" comment="NA==" localSheetId="0" hidden="1">""</definedName>
    <definedName name="LevelA181C0" comment="NA==" localSheetId="0" hidden="1">""</definedName>
    <definedName name="LevelA182" comment="0" localSheetId="0" hidden="1">""</definedName>
    <definedName name="LevelA1820" comment="0" localSheetId="0" hidden="1">""</definedName>
    <definedName name="LevelA1820C0" comment="NA==" localSheetId="0" hidden="1">""</definedName>
    <definedName name="LevelA1821" comment="0" localSheetId="0" hidden="1">""</definedName>
    <definedName name="LevelA1821C0" comment="NA==" localSheetId="0" hidden="1">""</definedName>
    <definedName name="LevelA1822" comment="0" localSheetId="0" hidden="1">""</definedName>
    <definedName name="LevelA1822C0" comment="NA==" localSheetId="0" hidden="1">""</definedName>
    <definedName name="LevelA1823" comment="0" localSheetId="0" hidden="1">""</definedName>
    <definedName name="LevelA1823C0" comment="NA==" localSheetId="0" hidden="1">""</definedName>
    <definedName name="LevelA1824" comment="0" localSheetId="0" hidden="1">""</definedName>
    <definedName name="LevelA1824C0" comment="NA==" localSheetId="0" hidden="1">""</definedName>
    <definedName name="LevelA1825" comment="0" localSheetId="0" hidden="1">""</definedName>
    <definedName name="LevelA1825C0" comment="NA==" localSheetId="0" hidden="1">""</definedName>
    <definedName name="LevelA1826" comment="0" localSheetId="0" hidden="1">""</definedName>
    <definedName name="LevelA1826C0" comment="NA==" localSheetId="0" hidden="1">""</definedName>
    <definedName name="LevelA1827" comment="0" localSheetId="0" hidden="1">""</definedName>
    <definedName name="LevelA1827C0" comment="NA==" localSheetId="0" hidden="1">""</definedName>
    <definedName name="LevelA1828" comment="0" localSheetId="0" hidden="1">""</definedName>
    <definedName name="LevelA1828C0" comment="NA==" localSheetId="0" hidden="1">""</definedName>
    <definedName name="LevelA1829" comment="0" localSheetId="0" hidden="1">""</definedName>
    <definedName name="LevelA1829C0" comment="NA==" localSheetId="0" hidden="1">""</definedName>
    <definedName name="LevelA182C0" comment="NA==" localSheetId="0" hidden="1">""</definedName>
    <definedName name="LevelA183" comment="0" localSheetId="0" hidden="1">""</definedName>
    <definedName name="LevelA1830" comment="0" localSheetId="0" hidden="1">""</definedName>
    <definedName name="LevelA1830C0" comment="NA==" localSheetId="0" hidden="1">""</definedName>
    <definedName name="LevelA1831" comment="0" localSheetId="0" hidden="1">""</definedName>
    <definedName name="LevelA1831C0" comment="NA==" localSheetId="0" hidden="1">""</definedName>
    <definedName name="LevelA1832" comment="0" localSheetId="0" hidden="1">""</definedName>
    <definedName name="LevelA1832C0" comment="NA==" localSheetId="0" hidden="1">""</definedName>
    <definedName name="LevelA1833" comment="0" localSheetId="0" hidden="1">""</definedName>
    <definedName name="LevelA1833C0" comment="NA==" localSheetId="0" hidden="1">""</definedName>
    <definedName name="LevelA1834" comment="0" localSheetId="0" hidden="1">""</definedName>
    <definedName name="LevelA1834C0" comment="NA==" localSheetId="0" hidden="1">""</definedName>
    <definedName name="LevelA1835" comment="0" localSheetId="0" hidden="1">""</definedName>
    <definedName name="LevelA1835C0" comment="NA==" localSheetId="0" hidden="1">""</definedName>
    <definedName name="LevelA1836" comment="0" localSheetId="0" hidden="1">""</definedName>
    <definedName name="LevelA1836C0" comment="NA==" localSheetId="0" hidden="1">""</definedName>
    <definedName name="LevelA1837" comment="0" localSheetId="0" hidden="1">""</definedName>
    <definedName name="LevelA1837C0" comment="NA==" localSheetId="0" hidden="1">""</definedName>
    <definedName name="LevelA1838" comment="0" localSheetId="0" hidden="1">""</definedName>
    <definedName name="LevelA1838C0" comment="NA==" localSheetId="0" hidden="1">""</definedName>
    <definedName name="LevelA1839" comment="0" localSheetId="0" hidden="1">""</definedName>
    <definedName name="LevelA1839C0" comment="NA==" localSheetId="0" hidden="1">""</definedName>
    <definedName name="LevelA183C0" comment="NA==" localSheetId="0" hidden="1">""</definedName>
    <definedName name="LevelA184" comment="0" localSheetId="0" hidden="1">""</definedName>
    <definedName name="LevelA1840" comment="0" localSheetId="0" hidden="1">""</definedName>
    <definedName name="LevelA1840C0" comment="NA==" localSheetId="0" hidden="1">""</definedName>
    <definedName name="LevelA1841" comment="0" localSheetId="0" hidden="1">""</definedName>
    <definedName name="LevelA1841C0" comment="NA==" localSheetId="0" hidden="1">""</definedName>
    <definedName name="LevelA1842" comment="0" localSheetId="0" hidden="1">""</definedName>
    <definedName name="LevelA1842C0" comment="NA==" localSheetId="0" hidden="1">""</definedName>
    <definedName name="LevelA1843" comment="0" localSheetId="0" hidden="1">""</definedName>
    <definedName name="LevelA1843C0" comment="NA==" localSheetId="0" hidden="1">""</definedName>
    <definedName name="LevelA1844" comment="0" localSheetId="0" hidden="1">""</definedName>
    <definedName name="LevelA1844C0" comment="NA==" localSheetId="0" hidden="1">""</definedName>
    <definedName name="LevelA1845" comment="0" localSheetId="0" hidden="1">""</definedName>
    <definedName name="LevelA1845C0" comment="NA==" localSheetId="0" hidden="1">""</definedName>
    <definedName name="LevelA1846" comment="0" localSheetId="0" hidden="1">""</definedName>
    <definedName name="LevelA1846C0" comment="NA==" localSheetId="0" hidden="1">""</definedName>
    <definedName name="LevelA1847" comment="0" localSheetId="0" hidden="1">""</definedName>
    <definedName name="LevelA1847C0" comment="NA==" localSheetId="0" hidden="1">""</definedName>
    <definedName name="LevelA1848" comment="0" localSheetId="0" hidden="1">""</definedName>
    <definedName name="LevelA1848C0" comment="NA==" localSheetId="0" hidden="1">""</definedName>
    <definedName name="LevelA1849" comment="0" localSheetId="0" hidden="1">""</definedName>
    <definedName name="LevelA1849C0" comment="NA==" localSheetId="0" hidden="1">""</definedName>
    <definedName name="LevelA184C0" comment="NA==" localSheetId="0" hidden="1">""</definedName>
    <definedName name="LevelA185" comment="0" localSheetId="0" hidden="1">""</definedName>
    <definedName name="LevelA1850" comment="0" localSheetId="0" hidden="1">""</definedName>
    <definedName name="LevelA1850C0" comment="NA==" localSheetId="0" hidden="1">""</definedName>
    <definedName name="LevelA1851" comment="0" localSheetId="0" hidden="1">""</definedName>
    <definedName name="LevelA1851C0" comment="NA==" localSheetId="0" hidden="1">""</definedName>
    <definedName name="LevelA1852" comment="0" localSheetId="0" hidden="1">""</definedName>
    <definedName name="LevelA1852C0" comment="NA==" localSheetId="0" hidden="1">""</definedName>
    <definedName name="LevelA1853" comment="0" localSheetId="0" hidden="1">""</definedName>
    <definedName name="LevelA1853C0" comment="NA==" localSheetId="0" hidden="1">""</definedName>
    <definedName name="LevelA1854" comment="0" localSheetId="0" hidden="1">""</definedName>
    <definedName name="LevelA1854C0" comment="NA==" localSheetId="0" hidden="1">""</definedName>
    <definedName name="LevelA1855" comment="0" localSheetId="0" hidden="1">""</definedName>
    <definedName name="LevelA1855C0" comment="NA==" localSheetId="0" hidden="1">""</definedName>
    <definedName name="LevelA1856" comment="0" localSheetId="0" hidden="1">""</definedName>
    <definedName name="LevelA1856C0" comment="NA==" localSheetId="0" hidden="1">""</definedName>
    <definedName name="LevelA1857" comment="0" localSheetId="0" hidden="1">""</definedName>
    <definedName name="LevelA1857C0" comment="NA==" localSheetId="0" hidden="1">""</definedName>
    <definedName name="LevelA1858" comment="0" localSheetId="0" hidden="1">""</definedName>
    <definedName name="LevelA1858C0" comment="NA==" localSheetId="0" hidden="1">""</definedName>
    <definedName name="LevelA1859" comment="0" localSheetId="0" hidden="1">""</definedName>
    <definedName name="LevelA1859C0" comment="NA==" localSheetId="0" hidden="1">""</definedName>
    <definedName name="LevelA185C0" comment="NA==" localSheetId="0" hidden="1">""</definedName>
    <definedName name="LevelA186" comment="0" localSheetId="0" hidden="1">""</definedName>
    <definedName name="LevelA1860" comment="0" localSheetId="0" hidden="1">""</definedName>
    <definedName name="LevelA1860C0" comment="NA==" localSheetId="0" hidden="1">""</definedName>
    <definedName name="LevelA1861" comment="0" localSheetId="0" hidden="1">""</definedName>
    <definedName name="LevelA1861C0" comment="NA==" localSheetId="0" hidden="1">""</definedName>
    <definedName name="LevelA1862" comment="0" localSheetId="0" hidden="1">""</definedName>
    <definedName name="LevelA1862C0" comment="NA==" localSheetId="0" hidden="1">""</definedName>
    <definedName name="LevelA1863" comment="0" localSheetId="0" hidden="1">""</definedName>
    <definedName name="LevelA1863C0" comment="NA==" localSheetId="0" hidden="1">""</definedName>
    <definedName name="LevelA1864" comment="0" localSheetId="0" hidden="1">""</definedName>
    <definedName name="LevelA1864C0" comment="NA==" localSheetId="0" hidden="1">""</definedName>
    <definedName name="LevelA1865" comment="0" localSheetId="0" hidden="1">""</definedName>
    <definedName name="LevelA1865C0" comment="NA==" localSheetId="0" hidden="1">""</definedName>
    <definedName name="LevelA1866" comment="0" localSheetId="0" hidden="1">""</definedName>
    <definedName name="LevelA1866C0" comment="NA==" localSheetId="0" hidden="1">""</definedName>
    <definedName name="LevelA1867" comment="0" localSheetId="0" hidden="1">""</definedName>
    <definedName name="LevelA1867C0" comment="NA==" localSheetId="0" hidden="1">""</definedName>
    <definedName name="LevelA1868" comment="0" localSheetId="0" hidden="1">""</definedName>
    <definedName name="LevelA1868C0" comment="NA==" localSheetId="0" hidden="1">""</definedName>
    <definedName name="LevelA1869" comment="0" localSheetId="0" hidden="1">""</definedName>
    <definedName name="LevelA1869C0" comment="NA==" localSheetId="0" hidden="1">""</definedName>
    <definedName name="LevelA186C0" comment="NA==" localSheetId="0" hidden="1">""</definedName>
    <definedName name="LevelA187" comment="0" localSheetId="0" hidden="1">""</definedName>
    <definedName name="LevelA1870" comment="0" localSheetId="0" hidden="1">""</definedName>
    <definedName name="LevelA1870C0" comment="NA==" localSheetId="0" hidden="1">""</definedName>
    <definedName name="LevelA1871" comment="0" localSheetId="0" hidden="1">""</definedName>
    <definedName name="LevelA1871C0" comment="NA==" localSheetId="0" hidden="1">""</definedName>
    <definedName name="LevelA1872" comment="0" localSheetId="0" hidden="1">""</definedName>
    <definedName name="LevelA1872C0" comment="NA==" localSheetId="0" hidden="1">""</definedName>
    <definedName name="LevelA1873" comment="0" localSheetId="0" hidden="1">""</definedName>
    <definedName name="LevelA1873C0" comment="NA==" localSheetId="0" hidden="1">""</definedName>
    <definedName name="LevelA1874" comment="0" localSheetId="0" hidden="1">""</definedName>
    <definedName name="LevelA1874C0" comment="NA==" localSheetId="0" hidden="1">""</definedName>
    <definedName name="LevelA1875" comment="0" localSheetId="0" hidden="1">""</definedName>
    <definedName name="LevelA1875C0" comment="NA==" localSheetId="0" hidden="1">""</definedName>
    <definedName name="LevelA1876" comment="0" localSheetId="0" hidden="1">""</definedName>
    <definedName name="LevelA1876C0" comment="NA==" localSheetId="0" hidden="1">""</definedName>
    <definedName name="LevelA1877" comment="0" localSheetId="0" hidden="1">""</definedName>
    <definedName name="LevelA1877C0" comment="NA==" localSheetId="0" hidden="1">""</definedName>
    <definedName name="LevelA1878" comment="0" localSheetId="0" hidden="1">""</definedName>
    <definedName name="LevelA1878C0" comment="NA==" localSheetId="0" hidden="1">""</definedName>
    <definedName name="LevelA1879" comment="0" localSheetId="0" hidden="1">""</definedName>
    <definedName name="LevelA1879C0" comment="NA==" localSheetId="0" hidden="1">""</definedName>
    <definedName name="LevelA187C0" comment="NA==" localSheetId="0" hidden="1">""</definedName>
    <definedName name="LevelA188" comment="0" localSheetId="0" hidden="1">""</definedName>
    <definedName name="LevelA1880" comment="0" localSheetId="0" hidden="1">""</definedName>
    <definedName name="LevelA1880C0" comment="NA==" localSheetId="0" hidden="1">""</definedName>
    <definedName name="LevelA1881" comment="0" localSheetId="0" hidden="1">""</definedName>
    <definedName name="LevelA1881C0" comment="NA==" localSheetId="0" hidden="1">""</definedName>
    <definedName name="LevelA1882" comment="0" localSheetId="0" hidden="1">""</definedName>
    <definedName name="LevelA1882C0" comment="NA==" localSheetId="0" hidden="1">""</definedName>
    <definedName name="LevelA1883" comment="0" localSheetId="0" hidden="1">""</definedName>
    <definedName name="LevelA1883C0" comment="NA==" localSheetId="0" hidden="1">""</definedName>
    <definedName name="LevelA1884" comment="0" localSheetId="0" hidden="1">""</definedName>
    <definedName name="LevelA1884C0" comment="NA==" localSheetId="0" hidden="1">""</definedName>
    <definedName name="LevelA1885" comment="0" localSheetId="0" hidden="1">""</definedName>
    <definedName name="LevelA1885C0" comment="NA==" localSheetId="0" hidden="1">""</definedName>
    <definedName name="LevelA1886" comment="0" localSheetId="0" hidden="1">""</definedName>
    <definedName name="LevelA1886C0" comment="NA==" localSheetId="0" hidden="1">""</definedName>
    <definedName name="LevelA1887" comment="0" localSheetId="0" hidden="1">""</definedName>
    <definedName name="LevelA1887C0" comment="NA==" localSheetId="0" hidden="1">""</definedName>
    <definedName name="LevelA1888" comment="0" localSheetId="0" hidden="1">""</definedName>
    <definedName name="LevelA1888C0" comment="NA==" localSheetId="0" hidden="1">""</definedName>
    <definedName name="LevelA1889" comment="0" localSheetId="0" hidden="1">""</definedName>
    <definedName name="LevelA1889C0" comment="NA==" localSheetId="0" hidden="1">""</definedName>
    <definedName name="LevelA188C0" comment="NA==" localSheetId="0" hidden="1">""</definedName>
    <definedName name="LevelA189" comment="0" localSheetId="0" hidden="1">""</definedName>
    <definedName name="LevelA1890" comment="0" localSheetId="0" hidden="1">""</definedName>
    <definedName name="LevelA1890C0" comment="NA==" localSheetId="0" hidden="1">""</definedName>
    <definedName name="LevelA1891" comment="0" localSheetId="0" hidden="1">""</definedName>
    <definedName name="LevelA1891C0" comment="NA==" localSheetId="0" hidden="1">""</definedName>
    <definedName name="LevelA1892" comment="0" localSheetId="0" hidden="1">""</definedName>
    <definedName name="LevelA1892C0" comment="NA==" localSheetId="0" hidden="1">""</definedName>
    <definedName name="LevelA1893" comment="0" localSheetId="0" hidden="1">""</definedName>
    <definedName name="LevelA1893C0" comment="NA==" localSheetId="0" hidden="1">""</definedName>
    <definedName name="LevelA1894" comment="0" localSheetId="0" hidden="1">""</definedName>
    <definedName name="LevelA1894C0" comment="NA==" localSheetId="0" hidden="1">""</definedName>
    <definedName name="LevelA1895" comment="0" localSheetId="0" hidden="1">""</definedName>
    <definedName name="LevelA1895C0" comment="NA==" localSheetId="0" hidden="1">""</definedName>
    <definedName name="LevelA1896" comment="0" localSheetId="0" hidden="1">""</definedName>
    <definedName name="LevelA1896C0" comment="NA==" localSheetId="0" hidden="1">""</definedName>
    <definedName name="LevelA1897" comment="0" localSheetId="0" hidden="1">""</definedName>
    <definedName name="LevelA1897C0" comment="NA==" localSheetId="0" hidden="1">""</definedName>
    <definedName name="LevelA1898" comment="0" localSheetId="0" hidden="1">""</definedName>
    <definedName name="LevelA1898C0" comment="NA==" localSheetId="0" hidden="1">""</definedName>
    <definedName name="LevelA1899" comment="0" localSheetId="0" hidden="1">""</definedName>
    <definedName name="LevelA1899C0" comment="NA==" localSheetId="0" hidden="1">""</definedName>
    <definedName name="LevelA189C0" comment="NA==" localSheetId="0" hidden="1">""</definedName>
    <definedName name="LevelA18C0" comment="NA==" localSheetId="0" hidden="1">""</definedName>
    <definedName name="LevelA19" comment="0" localSheetId="0" hidden="1">""</definedName>
    <definedName name="LevelA190" comment="0" localSheetId="0" hidden="1">""</definedName>
    <definedName name="LevelA1900" comment="0" localSheetId="0" hidden="1">""</definedName>
    <definedName name="LevelA1900C0" comment="NA==" localSheetId="0" hidden="1">""</definedName>
    <definedName name="LevelA1901" comment="0" localSheetId="0" hidden="1">""</definedName>
    <definedName name="LevelA1901C0" comment="NA==" localSheetId="0" hidden="1">""</definedName>
    <definedName name="LevelA1902" comment="0" localSheetId="0" hidden="1">""</definedName>
    <definedName name="LevelA1902C0" comment="NA==" localSheetId="0" hidden="1">""</definedName>
    <definedName name="LevelA1903" comment="0" localSheetId="0" hidden="1">""</definedName>
    <definedName name="LevelA1903C0" comment="NA==" localSheetId="0" hidden="1">""</definedName>
    <definedName name="LevelA1904" comment="0" localSheetId="0" hidden="1">""</definedName>
    <definedName name="LevelA1904C0" comment="NA==" localSheetId="0" hidden="1">""</definedName>
    <definedName name="LevelA1905" comment="0" localSheetId="0" hidden="1">""</definedName>
    <definedName name="LevelA1905C0" comment="NA==" localSheetId="0" hidden="1">""</definedName>
    <definedName name="LevelA1906" comment="0" localSheetId="0" hidden="1">""</definedName>
    <definedName name="LevelA1906C0" comment="NA==" localSheetId="0" hidden="1">""</definedName>
    <definedName name="LevelA1907" comment="0" localSheetId="0" hidden="1">""</definedName>
    <definedName name="LevelA1907C0" comment="NA==" localSheetId="0" hidden="1">""</definedName>
    <definedName name="LevelA1908" comment="0" localSheetId="0" hidden="1">""</definedName>
    <definedName name="LevelA1908C0" comment="NA==" localSheetId="0" hidden="1">""</definedName>
    <definedName name="LevelA1909" comment="0" localSheetId="0" hidden="1">""</definedName>
    <definedName name="LevelA1909C0" comment="NA==" localSheetId="0" hidden="1">""</definedName>
    <definedName name="LevelA190C0" comment="NA==" localSheetId="0" hidden="1">""</definedName>
    <definedName name="LevelA191" comment="0" localSheetId="0" hidden="1">""</definedName>
    <definedName name="LevelA1910" comment="0" localSheetId="0" hidden="1">""</definedName>
    <definedName name="LevelA1910C0" comment="NA==" localSheetId="0" hidden="1">""</definedName>
    <definedName name="LevelA1911" comment="0" localSheetId="0" hidden="1">""</definedName>
    <definedName name="LevelA1911C0" comment="NA==" localSheetId="0" hidden="1">""</definedName>
    <definedName name="LevelA1912" comment="0" localSheetId="0" hidden="1">""</definedName>
    <definedName name="LevelA1912C0" comment="NA==" localSheetId="0" hidden="1">""</definedName>
    <definedName name="LevelA1913" comment="0" localSheetId="0" hidden="1">""</definedName>
    <definedName name="LevelA1913C0" comment="NA==" localSheetId="0" hidden="1">""</definedName>
    <definedName name="LevelA1914" comment="0" localSheetId="0" hidden="1">""</definedName>
    <definedName name="LevelA1914C0" comment="NA==" localSheetId="0" hidden="1">""</definedName>
    <definedName name="LevelA1915" comment="0" localSheetId="0" hidden="1">""</definedName>
    <definedName name="LevelA1915C0" comment="NA==" localSheetId="0" hidden="1">""</definedName>
    <definedName name="LevelA1916" comment="0" localSheetId="0" hidden="1">""</definedName>
    <definedName name="LevelA1916C0" comment="NA==" localSheetId="0" hidden="1">""</definedName>
    <definedName name="LevelA1917" comment="0" localSheetId="0" hidden="1">""</definedName>
    <definedName name="LevelA1917C0" comment="NA==" localSheetId="0" hidden="1">""</definedName>
    <definedName name="LevelA1918" comment="0" localSheetId="0" hidden="1">""</definedName>
    <definedName name="LevelA1918C0" comment="NA==" localSheetId="0" hidden="1">""</definedName>
    <definedName name="LevelA1919" comment="0" localSheetId="0" hidden="1">""</definedName>
    <definedName name="LevelA1919C0" comment="NA==" localSheetId="0" hidden="1">""</definedName>
    <definedName name="LevelA191C0" comment="NA==" localSheetId="0" hidden="1">""</definedName>
    <definedName name="LevelA192" comment="0" localSheetId="0" hidden="1">""</definedName>
    <definedName name="LevelA1920" comment="0" localSheetId="0" hidden="1">""</definedName>
    <definedName name="LevelA1920C0" comment="NA==" localSheetId="0" hidden="1">""</definedName>
    <definedName name="LevelA1921" comment="0" localSheetId="0" hidden="1">""</definedName>
    <definedName name="LevelA1921C0" comment="NA==" localSheetId="0" hidden="1">""</definedName>
    <definedName name="LevelA1922" comment="0" localSheetId="0" hidden="1">""</definedName>
    <definedName name="LevelA1922C0" comment="NA==" localSheetId="0" hidden="1">""</definedName>
    <definedName name="LevelA1923" comment="0" localSheetId="0" hidden="1">""</definedName>
    <definedName name="LevelA1923C0" comment="NA==" localSheetId="0" hidden="1">""</definedName>
    <definedName name="LevelA1924" comment="0" localSheetId="0" hidden="1">""</definedName>
    <definedName name="LevelA1924C0" comment="NA==" localSheetId="0" hidden="1">""</definedName>
    <definedName name="LevelA1925" comment="0" localSheetId="0" hidden="1">""</definedName>
    <definedName name="LevelA1925C0" comment="NA==" localSheetId="0" hidden="1">""</definedName>
    <definedName name="LevelA1926" comment="0" localSheetId="0" hidden="1">""</definedName>
    <definedName name="LevelA1926C0" comment="NA==" localSheetId="0" hidden="1">""</definedName>
    <definedName name="LevelA1927" comment="0" localSheetId="0" hidden="1">""</definedName>
    <definedName name="LevelA1927C0" comment="NA==" localSheetId="0" hidden="1">""</definedName>
    <definedName name="LevelA1928" comment="0" localSheetId="0" hidden="1">""</definedName>
    <definedName name="LevelA1928C0" comment="NA==" localSheetId="0" hidden="1">""</definedName>
    <definedName name="LevelA1929" comment="0" localSheetId="0" hidden="1">""</definedName>
    <definedName name="LevelA1929C0" comment="NA==" localSheetId="0" hidden="1">""</definedName>
    <definedName name="LevelA192C0" comment="NA==" localSheetId="0" hidden="1">""</definedName>
    <definedName name="LevelA193" comment="0" localSheetId="0" hidden="1">""</definedName>
    <definedName name="LevelA1930" comment="0" localSheetId="0" hidden="1">""</definedName>
    <definedName name="LevelA1930C0" comment="NA==" localSheetId="0" hidden="1">""</definedName>
    <definedName name="LevelA1931" comment="0" localSheetId="0" hidden="1">""</definedName>
    <definedName name="LevelA1931C0" comment="NA==" localSheetId="0" hidden="1">""</definedName>
    <definedName name="LevelA1932" comment="0" localSheetId="0" hidden="1">""</definedName>
    <definedName name="LevelA1932C0" comment="NA==" localSheetId="0" hidden="1">""</definedName>
    <definedName name="LevelA1933" comment="0" localSheetId="0" hidden="1">""</definedName>
    <definedName name="LevelA1933C0" comment="NA==" localSheetId="0" hidden="1">""</definedName>
    <definedName name="LevelA1934" comment="0" localSheetId="0" hidden="1">""</definedName>
    <definedName name="LevelA1934C0" comment="NA==" localSheetId="0" hidden="1">""</definedName>
    <definedName name="LevelA1935" comment="0" localSheetId="0" hidden="1">""</definedName>
    <definedName name="LevelA1935C0" comment="NA==" localSheetId="0" hidden="1">""</definedName>
    <definedName name="LevelA1936" comment="0" localSheetId="0" hidden="1">""</definedName>
    <definedName name="LevelA1936C0" comment="NA==" localSheetId="0" hidden="1">""</definedName>
    <definedName name="LevelA1937" comment="0" localSheetId="0" hidden="1">""</definedName>
    <definedName name="LevelA1937C0" comment="NA==" localSheetId="0" hidden="1">""</definedName>
    <definedName name="LevelA1938" comment="0" localSheetId="0" hidden="1">""</definedName>
    <definedName name="LevelA1938C0" comment="NA==" localSheetId="0" hidden="1">""</definedName>
    <definedName name="LevelA1939" comment="0" localSheetId="0" hidden="1">""</definedName>
    <definedName name="LevelA1939C0" comment="NA==" localSheetId="0" hidden="1">""</definedName>
    <definedName name="LevelA193C0" comment="NA==" localSheetId="0" hidden="1">""</definedName>
    <definedName name="LevelA194" comment="0" localSheetId="0" hidden="1">""</definedName>
    <definedName name="LevelA1940" comment="0" localSheetId="0" hidden="1">""</definedName>
    <definedName name="LevelA1940C0" comment="NA==" localSheetId="0" hidden="1">""</definedName>
    <definedName name="LevelA1941" comment="0" localSheetId="0" hidden="1">""</definedName>
    <definedName name="LevelA1941C0" comment="NA==" localSheetId="0" hidden="1">""</definedName>
    <definedName name="LevelA1942" comment="0" localSheetId="0" hidden="1">""</definedName>
    <definedName name="LevelA1942C0" comment="NA==" localSheetId="0" hidden="1">""</definedName>
    <definedName name="LevelA1943" comment="0" localSheetId="0" hidden="1">""</definedName>
    <definedName name="LevelA1943C0" comment="NA==" localSheetId="0" hidden="1">""</definedName>
    <definedName name="LevelA1944" comment="0" localSheetId="0" hidden="1">""</definedName>
    <definedName name="LevelA1944C0" comment="NA==" localSheetId="0" hidden="1">""</definedName>
    <definedName name="LevelA1945" comment="0" localSheetId="0" hidden="1">""</definedName>
    <definedName name="LevelA1945C0" comment="NA==" localSheetId="0" hidden="1">""</definedName>
    <definedName name="LevelA1946" comment="0" localSheetId="0" hidden="1">""</definedName>
    <definedName name="LevelA1946C0" comment="NA==" localSheetId="0" hidden="1">""</definedName>
    <definedName name="LevelA1947" comment="0" localSheetId="0" hidden="1">""</definedName>
    <definedName name="LevelA1947C0" comment="NA==" localSheetId="0" hidden="1">""</definedName>
    <definedName name="LevelA1948" comment="0" localSheetId="0" hidden="1">""</definedName>
    <definedName name="LevelA1948C0" comment="NA==" localSheetId="0" hidden="1">""</definedName>
    <definedName name="LevelA1949" comment="0" localSheetId="0" hidden="1">""</definedName>
    <definedName name="LevelA1949C0" comment="NA==" localSheetId="0" hidden="1">""</definedName>
    <definedName name="LevelA194C0" comment="NA==" localSheetId="0" hidden="1">""</definedName>
    <definedName name="LevelA195" comment="0" localSheetId="0" hidden="1">""</definedName>
    <definedName name="LevelA1950" comment="0" localSheetId="0" hidden="1">""</definedName>
    <definedName name="LevelA1950C0" comment="NA==" localSheetId="0" hidden="1">""</definedName>
    <definedName name="LevelA1951" comment="0" localSheetId="0" hidden="1">""</definedName>
    <definedName name="LevelA1951C0" comment="NA==" localSheetId="0" hidden="1">""</definedName>
    <definedName name="LevelA1952" comment="0" localSheetId="0" hidden="1">""</definedName>
    <definedName name="LevelA1952C0" comment="NA==" localSheetId="0" hidden="1">""</definedName>
    <definedName name="LevelA1953" comment="0" localSheetId="0" hidden="1">""</definedName>
    <definedName name="LevelA1953C0" comment="NA==" localSheetId="0" hidden="1">""</definedName>
    <definedName name="LevelA1954" comment="0" localSheetId="0" hidden="1">""</definedName>
    <definedName name="LevelA1954C0" comment="NA==" localSheetId="0" hidden="1">""</definedName>
    <definedName name="LevelA1955" comment="0" localSheetId="0" hidden="1">""</definedName>
    <definedName name="LevelA1955C0" comment="NA==" localSheetId="0" hidden="1">""</definedName>
    <definedName name="LevelA1956" comment="0" localSheetId="0" hidden="1">""</definedName>
    <definedName name="LevelA1956C0" comment="NA==" localSheetId="0" hidden="1">""</definedName>
    <definedName name="LevelA1957" comment="0" localSheetId="0" hidden="1">""</definedName>
    <definedName name="LevelA1957C0" comment="NA==" localSheetId="0" hidden="1">""</definedName>
    <definedName name="LevelA1958" comment="0" localSheetId="0" hidden="1">""</definedName>
    <definedName name="LevelA1958C0" comment="NA==" localSheetId="0" hidden="1">""</definedName>
    <definedName name="LevelA1959" comment="0" localSheetId="0" hidden="1">""</definedName>
    <definedName name="LevelA1959C0" comment="NA==" localSheetId="0" hidden="1">""</definedName>
    <definedName name="LevelA195C0" comment="NA==" localSheetId="0" hidden="1">""</definedName>
    <definedName name="LevelA196" comment="0" localSheetId="0" hidden="1">""</definedName>
    <definedName name="LevelA1960" comment="0" localSheetId="0" hidden="1">""</definedName>
    <definedName name="LevelA1960C0" comment="NA==" localSheetId="0" hidden="1">""</definedName>
    <definedName name="LevelA1961" comment="0" localSheetId="0" hidden="1">""</definedName>
    <definedName name="LevelA1961C0" comment="NA==" localSheetId="0" hidden="1">""</definedName>
    <definedName name="LevelA1962" comment="0" localSheetId="0" hidden="1">""</definedName>
    <definedName name="LevelA1962C0" comment="NA==" localSheetId="0" hidden="1">""</definedName>
    <definedName name="LevelA1963" comment="0" localSheetId="0" hidden="1">""</definedName>
    <definedName name="LevelA1963C0" comment="NA==" localSheetId="0" hidden="1">""</definedName>
    <definedName name="LevelA1964" comment="0" localSheetId="0" hidden="1">""</definedName>
    <definedName name="LevelA1964C0" comment="NA==" localSheetId="0" hidden="1">""</definedName>
    <definedName name="LevelA1965" comment="0" localSheetId="0" hidden="1">""</definedName>
    <definedName name="LevelA1965C0" comment="NA==" localSheetId="0" hidden="1">""</definedName>
    <definedName name="LevelA1966" comment="0" localSheetId="0" hidden="1">""</definedName>
    <definedName name="LevelA1966C0" comment="NA==" localSheetId="0" hidden="1">""</definedName>
    <definedName name="LevelA1967" comment="0" localSheetId="0" hidden="1">""</definedName>
    <definedName name="LevelA1967C0" comment="NA==" localSheetId="0" hidden="1">""</definedName>
    <definedName name="LevelA1968" comment="0" localSheetId="0" hidden="1">""</definedName>
    <definedName name="LevelA1968C0" comment="NA==" localSheetId="0" hidden="1">""</definedName>
    <definedName name="LevelA1969" comment="0" localSheetId="0" hidden="1">""</definedName>
    <definedName name="LevelA1969C0" comment="NA==" localSheetId="0" hidden="1">""</definedName>
    <definedName name="LevelA196C0" comment="NA==" localSheetId="0" hidden="1">""</definedName>
    <definedName name="LevelA197" comment="0" localSheetId="0" hidden="1">""</definedName>
    <definedName name="LevelA1970" comment="0" localSheetId="0" hidden="1">""</definedName>
    <definedName name="LevelA1970C0" comment="NA==" localSheetId="0" hidden="1">""</definedName>
    <definedName name="LevelA1971" comment="0" localSheetId="0" hidden="1">""</definedName>
    <definedName name="LevelA1971C0" comment="NA==" localSheetId="0" hidden="1">""</definedName>
    <definedName name="LevelA1972" comment="0" localSheetId="0" hidden="1">""</definedName>
    <definedName name="LevelA1972C0" comment="NA==" localSheetId="0" hidden="1">""</definedName>
    <definedName name="LevelA1973" comment="0" localSheetId="0" hidden="1">""</definedName>
    <definedName name="LevelA1973C0" comment="NA==" localSheetId="0" hidden="1">""</definedName>
    <definedName name="LevelA1974" comment="0" localSheetId="0" hidden="1">""</definedName>
    <definedName name="LevelA1974C0" comment="NA==" localSheetId="0" hidden="1">""</definedName>
    <definedName name="LevelA1975" comment="0" localSheetId="0" hidden="1">""</definedName>
    <definedName name="LevelA1975C0" comment="NA==" localSheetId="0" hidden="1">""</definedName>
    <definedName name="LevelA1976" comment="0" localSheetId="0" hidden="1">""</definedName>
    <definedName name="LevelA1976C0" comment="NA==" localSheetId="0" hidden="1">""</definedName>
    <definedName name="LevelA1977" comment="0" localSheetId="0" hidden="1">""</definedName>
    <definedName name="LevelA1977C0" comment="NA==" localSheetId="0" hidden="1">""</definedName>
    <definedName name="LevelA1978" comment="0" localSheetId="0" hidden="1">""</definedName>
    <definedName name="LevelA1978C0" comment="NA==" localSheetId="0" hidden="1">""</definedName>
    <definedName name="LevelA1979" comment="0" localSheetId="0" hidden="1">""</definedName>
    <definedName name="LevelA1979C0" comment="NA==" localSheetId="0" hidden="1">""</definedName>
    <definedName name="LevelA197C0" comment="NA==" localSheetId="0" hidden="1">""</definedName>
    <definedName name="LevelA198" comment="0" localSheetId="0" hidden="1">""</definedName>
    <definedName name="LevelA1980" comment="0" localSheetId="0" hidden="1">""</definedName>
    <definedName name="LevelA1980C0" comment="NA==" localSheetId="0" hidden="1">""</definedName>
    <definedName name="LevelA1981" comment="0" localSheetId="0" hidden="1">""</definedName>
    <definedName name="LevelA1981C0" comment="NA==" localSheetId="0" hidden="1">""</definedName>
    <definedName name="LevelA1982" comment="0" localSheetId="0" hidden="1">""</definedName>
    <definedName name="LevelA1982C0" comment="NA==" localSheetId="0" hidden="1">""</definedName>
    <definedName name="LevelA1983" comment="0" localSheetId="0" hidden="1">""</definedName>
    <definedName name="LevelA1983C0" comment="NA==" localSheetId="0" hidden="1">""</definedName>
    <definedName name="LevelA1984" comment="0" localSheetId="0" hidden="1">""</definedName>
    <definedName name="LevelA1984C0" comment="NA==" localSheetId="0" hidden="1">""</definedName>
    <definedName name="LevelA1985" comment="0" localSheetId="0" hidden="1">""</definedName>
    <definedName name="LevelA1985C0" comment="NA==" localSheetId="0" hidden="1">""</definedName>
    <definedName name="LevelA1986" comment="0" localSheetId="0" hidden="1">""</definedName>
    <definedName name="LevelA1986C0" comment="NA==" localSheetId="0" hidden="1">""</definedName>
    <definedName name="LevelA1987" comment="0" localSheetId="0" hidden="1">""</definedName>
    <definedName name="LevelA1987C0" comment="NA==" localSheetId="0" hidden="1">""</definedName>
    <definedName name="LevelA1988" comment="0" localSheetId="0" hidden="1">""</definedName>
    <definedName name="LevelA1988C0" comment="NA==" localSheetId="0" hidden="1">""</definedName>
    <definedName name="LevelA1989" comment="0" localSheetId="0" hidden="1">""</definedName>
    <definedName name="LevelA1989C0" comment="NA==" localSheetId="0" hidden="1">""</definedName>
    <definedName name="LevelA198C0" comment="NA==" localSheetId="0" hidden="1">""</definedName>
    <definedName name="LevelA199" comment="0" localSheetId="0" hidden="1">""</definedName>
    <definedName name="LevelA1990" comment="0" localSheetId="0" hidden="1">""</definedName>
    <definedName name="LevelA1990C0" comment="NA==" localSheetId="0" hidden="1">""</definedName>
    <definedName name="LevelA1991" comment="0" localSheetId="0" hidden="1">""</definedName>
    <definedName name="LevelA1991C0" comment="NA==" localSheetId="0" hidden="1">""</definedName>
    <definedName name="LevelA1992" comment="0" localSheetId="0" hidden="1">""</definedName>
    <definedName name="LevelA1992C0" comment="NA==" localSheetId="0" hidden="1">""</definedName>
    <definedName name="LevelA1993" comment="0" localSheetId="0" hidden="1">""</definedName>
    <definedName name="LevelA1993C0" comment="NA==" localSheetId="0" hidden="1">""</definedName>
    <definedName name="LevelA1994" comment="0" localSheetId="0" hidden="1">""</definedName>
    <definedName name="LevelA1994C0" comment="NA==" localSheetId="0" hidden="1">""</definedName>
    <definedName name="LevelA1995" comment="0" localSheetId="0" hidden="1">""</definedName>
    <definedName name="LevelA1995C0" comment="NA==" localSheetId="0" hidden="1">""</definedName>
    <definedName name="LevelA1996" comment="0" localSheetId="0" hidden="1">""</definedName>
    <definedName name="LevelA1996C0" comment="NA==" localSheetId="0" hidden="1">""</definedName>
    <definedName name="LevelA1997" comment="0" localSheetId="0" hidden="1">""</definedName>
    <definedName name="LevelA1997C0" comment="NA==" localSheetId="0" hidden="1">""</definedName>
    <definedName name="LevelA1998" comment="0" localSheetId="0" hidden="1">""</definedName>
    <definedName name="LevelA1998C0" comment="NA==" localSheetId="0" hidden="1">""</definedName>
    <definedName name="LevelA1999" comment="0" localSheetId="0" hidden="1">""</definedName>
    <definedName name="LevelA1999C0" comment="NA==" localSheetId="0" hidden="1">""</definedName>
    <definedName name="LevelA199C0" comment="NA==" localSheetId="0" hidden="1">""</definedName>
    <definedName name="LevelA19C0" comment="NA==" localSheetId="0" hidden="1">""</definedName>
    <definedName name="LevelA2" comment="0" localSheetId="0" hidden="1">""</definedName>
    <definedName name="LevelA20" comment="0" localSheetId="0" hidden="1">""</definedName>
    <definedName name="LevelA200" comment="0" localSheetId="0" hidden="1">""</definedName>
    <definedName name="LevelA2000" comment="0" localSheetId="0" hidden="1">""</definedName>
    <definedName name="LevelA2000C0" comment="NA==" localSheetId="0" hidden="1">""</definedName>
    <definedName name="LevelA2001" comment="0" localSheetId="0" hidden="1">""</definedName>
    <definedName name="LevelA2001C0" comment="NA==" localSheetId="0" hidden="1">""</definedName>
    <definedName name="LevelA2002" comment="0" localSheetId="0" hidden="1">""</definedName>
    <definedName name="LevelA2002C0" comment="NA==" localSheetId="0" hidden="1">""</definedName>
    <definedName name="LevelA2003" comment="0" localSheetId="0" hidden="1">""</definedName>
    <definedName name="LevelA2003C0" comment="NA==" localSheetId="0" hidden="1">""</definedName>
    <definedName name="LevelA2004" comment="0" localSheetId="0" hidden="1">""</definedName>
    <definedName name="LevelA2004C0" comment="NA==" localSheetId="0" hidden="1">""</definedName>
    <definedName name="LevelA2005" comment="0" localSheetId="0" hidden="1">""</definedName>
    <definedName name="LevelA2005C0" comment="NA==" localSheetId="0" hidden="1">""</definedName>
    <definedName name="LevelA2006" comment="0" localSheetId="0" hidden="1">""</definedName>
    <definedName name="LevelA2006C0" comment="NA==" localSheetId="0" hidden="1">""</definedName>
    <definedName name="LevelA2007" comment="0" localSheetId="0" hidden="1">""</definedName>
    <definedName name="LevelA2007C0" comment="NA==" localSheetId="0" hidden="1">""</definedName>
    <definedName name="LevelA2008" comment="0" localSheetId="0" hidden="1">""</definedName>
    <definedName name="LevelA2008C0" comment="NA==" localSheetId="0" hidden="1">""</definedName>
    <definedName name="LevelA2009" comment="0" localSheetId="0" hidden="1">""</definedName>
    <definedName name="LevelA2009C0" comment="NA==" localSheetId="0" hidden="1">""</definedName>
    <definedName name="LevelA200C0" comment="NA==" localSheetId="0" hidden="1">""</definedName>
    <definedName name="LevelA201" comment="0" localSheetId="0" hidden="1">""</definedName>
    <definedName name="LevelA2010" comment="0" localSheetId="0" hidden="1">""</definedName>
    <definedName name="LevelA2010C0" comment="NA==" localSheetId="0" hidden="1">""</definedName>
    <definedName name="LevelA2011" comment="0" localSheetId="0" hidden="1">""</definedName>
    <definedName name="LevelA2011C0" comment="NA==" localSheetId="0" hidden="1">""</definedName>
    <definedName name="LevelA2012" comment="0" localSheetId="0" hidden="1">""</definedName>
    <definedName name="LevelA2012C0" comment="NA==" localSheetId="0" hidden="1">""</definedName>
    <definedName name="LevelA2013" comment="0" localSheetId="0" hidden="1">""</definedName>
    <definedName name="LevelA2013C0" comment="NA==" localSheetId="0" hidden="1">""</definedName>
    <definedName name="LevelA2014" comment="0" localSheetId="0" hidden="1">""</definedName>
    <definedName name="LevelA2014C0" comment="NA==" localSheetId="0" hidden="1">""</definedName>
    <definedName name="LevelA2015" comment="0" localSheetId="0" hidden="1">""</definedName>
    <definedName name="LevelA2015C0" comment="NA==" localSheetId="0" hidden="1">""</definedName>
    <definedName name="LevelA2016" comment="0" localSheetId="0" hidden="1">""</definedName>
    <definedName name="LevelA2016C0" comment="NA==" localSheetId="0" hidden="1">""</definedName>
    <definedName name="LevelA2017" comment="0" localSheetId="0" hidden="1">""</definedName>
    <definedName name="LevelA2017C0" comment="NA==" localSheetId="0" hidden="1">""</definedName>
    <definedName name="LevelA2018" comment="0" localSheetId="0" hidden="1">""</definedName>
    <definedName name="LevelA2018C0" comment="NA==" localSheetId="0" hidden="1">""</definedName>
    <definedName name="LevelA2019" comment="0" localSheetId="0" hidden="1">""</definedName>
    <definedName name="LevelA2019C0" comment="NA==" localSheetId="0" hidden="1">""</definedName>
    <definedName name="LevelA201C0" comment="NA==" localSheetId="0" hidden="1">""</definedName>
    <definedName name="LevelA202" comment="0" localSheetId="0" hidden="1">""</definedName>
    <definedName name="LevelA2020" comment="0" localSheetId="0" hidden="1">""</definedName>
    <definedName name="LevelA2020C0" comment="NA==" localSheetId="0" hidden="1">""</definedName>
    <definedName name="LevelA2021" comment="0" localSheetId="0" hidden="1">""</definedName>
    <definedName name="LevelA2021C0" comment="NA==" localSheetId="0" hidden="1">""</definedName>
    <definedName name="LevelA2022" comment="0" localSheetId="0" hidden="1">""</definedName>
    <definedName name="LevelA2022C0" comment="NA==" localSheetId="0" hidden="1">""</definedName>
    <definedName name="LevelA2023" comment="0" localSheetId="0" hidden="1">""</definedName>
    <definedName name="LevelA2023C0" comment="NA==" localSheetId="0" hidden="1">""</definedName>
    <definedName name="LevelA2024" comment="0" localSheetId="0" hidden="1">""</definedName>
    <definedName name="LevelA2024C0" comment="NA==" localSheetId="0" hidden="1">""</definedName>
    <definedName name="LevelA2025" comment="0" localSheetId="0" hidden="1">""</definedName>
    <definedName name="LevelA2025C0" comment="NA==" localSheetId="0" hidden="1">""</definedName>
    <definedName name="LevelA2026" comment="0" localSheetId="0" hidden="1">""</definedName>
    <definedName name="LevelA2026C0" comment="NA==" localSheetId="0" hidden="1">""</definedName>
    <definedName name="LevelA2027" comment="0" localSheetId="0" hidden="1">""</definedName>
    <definedName name="LevelA2027C0" comment="NA==" localSheetId="0" hidden="1">""</definedName>
    <definedName name="LevelA2028" comment="0" localSheetId="0" hidden="1">""</definedName>
    <definedName name="LevelA2028C0" comment="NA==" localSheetId="0" hidden="1">""</definedName>
    <definedName name="LevelA2029" comment="0" localSheetId="0" hidden="1">""</definedName>
    <definedName name="LevelA2029C0" comment="NA==" localSheetId="0" hidden="1">""</definedName>
    <definedName name="LevelA202C0" comment="NA==" localSheetId="0" hidden="1">""</definedName>
    <definedName name="LevelA203" comment="0" localSheetId="0" hidden="1">""</definedName>
    <definedName name="LevelA2030" comment="0" localSheetId="0" hidden="1">""</definedName>
    <definedName name="LevelA2030C0" comment="NA==" localSheetId="0" hidden="1">""</definedName>
    <definedName name="LevelA2031" comment="0" localSheetId="0" hidden="1">""</definedName>
    <definedName name="LevelA2031C0" comment="NA==" localSheetId="0" hidden="1">""</definedName>
    <definedName name="LevelA2032" comment="0" localSheetId="0" hidden="1">""</definedName>
    <definedName name="LevelA2032C0" comment="NA==" localSheetId="0" hidden="1">""</definedName>
    <definedName name="LevelA2033" comment="0" localSheetId="0" hidden="1">""</definedName>
    <definedName name="LevelA2033C0" comment="NA==" localSheetId="0" hidden="1">""</definedName>
    <definedName name="LevelA2034" comment="0" localSheetId="0" hidden="1">""</definedName>
    <definedName name="LevelA2034C0" comment="NA==" localSheetId="0" hidden="1">""</definedName>
    <definedName name="LevelA2035" comment="0" localSheetId="0" hidden="1">""</definedName>
    <definedName name="LevelA2035C0" comment="NA==" localSheetId="0" hidden="1">""</definedName>
    <definedName name="LevelA2036" comment="0" localSheetId="0" hidden="1">""</definedName>
    <definedName name="LevelA2036C0" comment="NA==" localSheetId="0" hidden="1">""</definedName>
    <definedName name="LevelA2037" comment="0" localSheetId="0" hidden="1">""</definedName>
    <definedName name="LevelA2037C0" comment="NA==" localSheetId="0" hidden="1">""</definedName>
    <definedName name="LevelA2038" comment="0" localSheetId="0" hidden="1">""</definedName>
    <definedName name="LevelA2038C0" comment="NA==" localSheetId="0" hidden="1">""</definedName>
    <definedName name="LevelA2039" comment="0" localSheetId="0" hidden="1">""</definedName>
    <definedName name="LevelA2039C0" comment="NA==" localSheetId="0" hidden="1">""</definedName>
    <definedName name="LevelA203C0" comment="NA==" localSheetId="0" hidden="1">""</definedName>
    <definedName name="LevelA204" comment="0" localSheetId="0" hidden="1">""</definedName>
    <definedName name="LevelA2040" comment="0" localSheetId="0" hidden="1">""</definedName>
    <definedName name="LevelA2040C0" comment="NA==" localSheetId="0" hidden="1">""</definedName>
    <definedName name="LevelA2041" comment="0" localSheetId="0" hidden="1">""</definedName>
    <definedName name="LevelA2041C0" comment="NA==" localSheetId="0" hidden="1">""</definedName>
    <definedName name="LevelA2042" comment="0" localSheetId="0" hidden="1">""</definedName>
    <definedName name="LevelA2042C0" comment="NA==" localSheetId="0" hidden="1">""</definedName>
    <definedName name="LevelA2043" comment="0" localSheetId="0" hidden="1">""</definedName>
    <definedName name="LevelA2043C0" comment="NA==" localSheetId="0" hidden="1">""</definedName>
    <definedName name="LevelA2044" comment="0" localSheetId="0" hidden="1">""</definedName>
    <definedName name="LevelA2044C0" comment="NA==" localSheetId="0" hidden="1">""</definedName>
    <definedName name="LevelA2045" comment="0" localSheetId="0" hidden="1">""</definedName>
    <definedName name="LevelA2045C0" comment="NA==" localSheetId="0" hidden="1">""</definedName>
    <definedName name="LevelA2046" comment="0" localSheetId="0" hidden="1">""</definedName>
    <definedName name="LevelA2046C0" comment="NA==" localSheetId="0" hidden="1">""</definedName>
    <definedName name="LevelA2047" comment="0" localSheetId="0" hidden="1">""</definedName>
    <definedName name="LevelA2047C0" comment="NA==" localSheetId="0" hidden="1">""</definedName>
    <definedName name="LevelA2048" comment="0" localSheetId="0" hidden="1">""</definedName>
    <definedName name="LevelA2048C0" comment="NA==" localSheetId="0" hidden="1">""</definedName>
    <definedName name="LevelA2049" comment="0" localSheetId="0" hidden="1">""</definedName>
    <definedName name="LevelA2049C0" comment="NA==" localSheetId="0" hidden="1">""</definedName>
    <definedName name="LevelA204C0" comment="NA==" localSheetId="0" hidden="1">""</definedName>
    <definedName name="LevelA205" comment="0" localSheetId="0" hidden="1">""</definedName>
    <definedName name="LevelA2050" comment="0" localSheetId="0" hidden="1">""</definedName>
    <definedName name="LevelA2050C0" comment="NA==" localSheetId="0" hidden="1">""</definedName>
    <definedName name="LevelA2051" comment="0" localSheetId="0" hidden="1">""</definedName>
    <definedName name="LevelA2051C0" comment="NA==" localSheetId="0" hidden="1">""</definedName>
    <definedName name="LevelA2052" comment="0" localSheetId="0" hidden="1">""</definedName>
    <definedName name="LevelA2052C0" comment="NA==" localSheetId="0" hidden="1">""</definedName>
    <definedName name="LevelA2053" comment="0" localSheetId="0" hidden="1">""</definedName>
    <definedName name="LevelA2053C0" comment="NA==" localSheetId="0" hidden="1">""</definedName>
    <definedName name="LevelA2054" comment="0" localSheetId="0" hidden="1">""</definedName>
    <definedName name="LevelA2054C0" comment="NA==" localSheetId="0" hidden="1">""</definedName>
    <definedName name="LevelA2055" comment="0" localSheetId="0" hidden="1">""</definedName>
    <definedName name="LevelA2055C0" comment="NA==" localSheetId="0" hidden="1">""</definedName>
    <definedName name="LevelA2056" comment="0" localSheetId="0" hidden="1">""</definedName>
    <definedName name="LevelA2056C0" comment="NA==" localSheetId="0" hidden="1">""</definedName>
    <definedName name="LevelA2057" comment="0" localSheetId="0" hidden="1">""</definedName>
    <definedName name="LevelA2057C0" comment="NA==" localSheetId="0" hidden="1">""</definedName>
    <definedName name="LevelA2058" comment="0" localSheetId="0" hidden="1">""</definedName>
    <definedName name="LevelA2058C0" comment="NA==" localSheetId="0" hidden="1">""</definedName>
    <definedName name="LevelA2059" comment="0" localSheetId="0" hidden="1">""</definedName>
    <definedName name="LevelA2059C0" comment="NA==" localSheetId="0" hidden="1">""</definedName>
    <definedName name="LevelA205C0" comment="NA==" localSheetId="0" hidden="1">""</definedName>
    <definedName name="LevelA206" comment="0" localSheetId="0" hidden="1">""</definedName>
    <definedName name="LevelA2060" comment="0" localSheetId="0" hidden="1">""</definedName>
    <definedName name="LevelA2060C0" comment="NA==" localSheetId="0" hidden="1">""</definedName>
    <definedName name="LevelA2061" comment="0" localSheetId="0" hidden="1">""</definedName>
    <definedName name="LevelA2061C0" comment="NA==" localSheetId="0" hidden="1">""</definedName>
    <definedName name="LevelA2062" comment="0" localSheetId="0" hidden="1">""</definedName>
    <definedName name="LevelA2062C0" comment="NA==" localSheetId="0" hidden="1">""</definedName>
    <definedName name="LevelA2063" comment="0" localSheetId="0" hidden="1">""</definedName>
    <definedName name="LevelA2063C0" comment="NA==" localSheetId="0" hidden="1">""</definedName>
    <definedName name="LevelA2064" comment="0" localSheetId="0" hidden="1">""</definedName>
    <definedName name="LevelA2064C0" comment="NA==" localSheetId="0" hidden="1">""</definedName>
    <definedName name="LevelA2065" comment="0" localSheetId="0" hidden="1">""</definedName>
    <definedName name="LevelA2065C0" comment="NA==" localSheetId="0" hidden="1">""</definedName>
    <definedName name="LevelA2066" comment="0" localSheetId="0" hidden="1">""</definedName>
    <definedName name="LevelA2066C0" comment="NA==" localSheetId="0" hidden="1">""</definedName>
    <definedName name="LevelA2067" comment="0" localSheetId="0" hidden="1">""</definedName>
    <definedName name="LevelA2067C0" comment="NA==" localSheetId="0" hidden="1">""</definedName>
    <definedName name="LevelA2068" comment="0" localSheetId="0" hidden="1">""</definedName>
    <definedName name="LevelA2068C0" comment="NA==" localSheetId="0" hidden="1">""</definedName>
    <definedName name="LevelA2069" comment="0" localSheetId="0" hidden="1">""</definedName>
    <definedName name="LevelA2069C0" comment="NA==" localSheetId="0" hidden="1">""</definedName>
    <definedName name="LevelA206C0" comment="NA==" localSheetId="0" hidden="1">""</definedName>
    <definedName name="LevelA207" comment="0" localSheetId="0" hidden="1">""</definedName>
    <definedName name="LevelA2070" comment="0" localSheetId="0" hidden="1">""</definedName>
    <definedName name="LevelA2070C0" comment="NA==" localSheetId="0" hidden="1">""</definedName>
    <definedName name="LevelA2071" comment="0" localSheetId="0" hidden="1">""</definedName>
    <definedName name="LevelA2071C0" comment="NA==" localSheetId="0" hidden="1">""</definedName>
    <definedName name="LevelA2072" comment="0" localSheetId="0" hidden="1">""</definedName>
    <definedName name="LevelA2072C0" comment="NA==" localSheetId="0" hidden="1">""</definedName>
    <definedName name="LevelA2073" comment="0" localSheetId="0" hidden="1">""</definedName>
    <definedName name="LevelA2073C0" comment="NA==" localSheetId="0" hidden="1">""</definedName>
    <definedName name="LevelA2074" comment="0" localSheetId="0" hidden="1">""</definedName>
    <definedName name="LevelA2074C0" comment="NA==" localSheetId="0" hidden="1">""</definedName>
    <definedName name="LevelA2075" comment="0" localSheetId="0" hidden="1">""</definedName>
    <definedName name="LevelA2075C0" comment="NA==" localSheetId="0" hidden="1">""</definedName>
    <definedName name="LevelA2076" comment="0" localSheetId="0" hidden="1">""</definedName>
    <definedName name="LevelA2076C0" comment="NA==" localSheetId="0" hidden="1">""</definedName>
    <definedName name="LevelA2077" comment="0" localSheetId="0" hidden="1">""</definedName>
    <definedName name="LevelA2077C0" comment="NA==" localSheetId="0" hidden="1">""</definedName>
    <definedName name="LevelA2078" comment="0" localSheetId="0" hidden="1">""</definedName>
    <definedName name="LevelA2078C0" comment="NA==" localSheetId="0" hidden="1">""</definedName>
    <definedName name="LevelA2079" comment="0" localSheetId="0" hidden="1">""</definedName>
    <definedName name="LevelA2079C0" comment="NA==" localSheetId="0" hidden="1">""</definedName>
    <definedName name="LevelA207C0" comment="NA==" localSheetId="0" hidden="1">""</definedName>
    <definedName name="LevelA208" comment="0" localSheetId="0" hidden="1">""</definedName>
    <definedName name="LevelA2080" comment="0" localSheetId="0" hidden="1">""</definedName>
    <definedName name="LevelA2080C0" comment="NA==" localSheetId="0" hidden="1">""</definedName>
    <definedName name="LevelA2081" comment="0" localSheetId="0" hidden="1">""</definedName>
    <definedName name="LevelA2081C0" comment="NA==" localSheetId="0" hidden="1">""</definedName>
    <definedName name="LevelA2082" comment="0" localSheetId="0" hidden="1">""</definedName>
    <definedName name="LevelA2082C0" comment="NA==" localSheetId="0" hidden="1">""</definedName>
    <definedName name="LevelA2083" comment="0" localSheetId="0" hidden="1">""</definedName>
    <definedName name="LevelA2083C0" comment="NA==" localSheetId="0" hidden="1">""</definedName>
    <definedName name="LevelA2084" comment="0" localSheetId="0" hidden="1">""</definedName>
    <definedName name="LevelA2084C0" comment="NA==" localSheetId="0" hidden="1">""</definedName>
    <definedName name="LevelA2085" comment="0" localSheetId="0" hidden="1">""</definedName>
    <definedName name="LevelA2085C0" comment="NA==" localSheetId="0" hidden="1">""</definedName>
    <definedName name="LevelA2086" comment="0" localSheetId="0" hidden="1">""</definedName>
    <definedName name="LevelA2086C0" comment="NA==" localSheetId="0" hidden="1">""</definedName>
    <definedName name="LevelA2087" comment="0" localSheetId="0" hidden="1">""</definedName>
    <definedName name="LevelA2087C0" comment="NA==" localSheetId="0" hidden="1">""</definedName>
    <definedName name="LevelA2088" comment="0" localSheetId="0" hidden="1">""</definedName>
    <definedName name="LevelA2088C0" comment="NA==" localSheetId="0" hidden="1">""</definedName>
    <definedName name="LevelA2089" comment="0" localSheetId="0" hidden="1">""</definedName>
    <definedName name="LevelA2089C0" comment="NA==" localSheetId="0" hidden="1">""</definedName>
    <definedName name="LevelA208C0" comment="NA==" localSheetId="0" hidden="1">""</definedName>
    <definedName name="LevelA209" comment="0" localSheetId="0" hidden="1">""</definedName>
    <definedName name="LevelA2090" comment="0" localSheetId="0" hidden="1">""</definedName>
    <definedName name="LevelA2090C0" comment="NA==" localSheetId="0" hidden="1">""</definedName>
    <definedName name="LevelA2091" comment="0" localSheetId="0" hidden="1">""</definedName>
    <definedName name="LevelA2091C0" comment="NA==" localSheetId="0" hidden="1">""</definedName>
    <definedName name="LevelA2092" comment="0" localSheetId="0" hidden="1">""</definedName>
    <definedName name="LevelA2092C0" comment="NA==" localSheetId="0" hidden="1">""</definedName>
    <definedName name="LevelA2093" comment="0" localSheetId="0" hidden="1">""</definedName>
    <definedName name="LevelA2093C0" comment="NA==" localSheetId="0" hidden="1">""</definedName>
    <definedName name="LevelA2094" comment="0" localSheetId="0" hidden="1">""</definedName>
    <definedName name="LevelA2094C0" comment="NA==" localSheetId="0" hidden="1">""</definedName>
    <definedName name="LevelA2095" comment="0" localSheetId="0" hidden="1">""</definedName>
    <definedName name="LevelA2095C0" comment="NA==" localSheetId="0" hidden="1">""</definedName>
    <definedName name="LevelA2096" comment="0" localSheetId="0" hidden="1">""</definedName>
    <definedName name="LevelA2096C0" comment="NA==" localSheetId="0" hidden="1">""</definedName>
    <definedName name="LevelA2097" comment="0" localSheetId="0" hidden="1">""</definedName>
    <definedName name="LevelA2097C0" comment="NA==" localSheetId="0" hidden="1">""</definedName>
    <definedName name="LevelA2098" comment="0" localSheetId="0" hidden="1">""</definedName>
    <definedName name="LevelA2098C0" comment="NA==" localSheetId="0" hidden="1">""</definedName>
    <definedName name="LevelA2099" comment="0" localSheetId="0" hidden="1">""</definedName>
    <definedName name="LevelA2099C0" comment="NA==" localSheetId="0" hidden="1">""</definedName>
    <definedName name="LevelA209C0" comment="NA==" localSheetId="0" hidden="1">""</definedName>
    <definedName name="LevelA20C0" comment="NA==" localSheetId="0" hidden="1">""</definedName>
    <definedName name="LevelA21" comment="0" localSheetId="0" hidden="1">""</definedName>
    <definedName name="LevelA210" comment="0" localSheetId="0" hidden="1">""</definedName>
    <definedName name="LevelA2100" comment="0" localSheetId="0" hidden="1">""</definedName>
    <definedName name="LevelA2100C0" comment="NA==" localSheetId="0" hidden="1">""</definedName>
    <definedName name="LevelA2101" comment="0" localSheetId="0" hidden="1">""</definedName>
    <definedName name="LevelA2101C0" comment="NA==" localSheetId="0" hidden="1">""</definedName>
    <definedName name="LevelA2102" comment="0" localSheetId="0" hidden="1">""</definedName>
    <definedName name="LevelA2102C0" comment="NA==" localSheetId="0" hidden="1">""</definedName>
    <definedName name="LevelA2103" comment="0" localSheetId="0" hidden="1">""</definedName>
    <definedName name="LevelA2103C0" comment="NA==" localSheetId="0" hidden="1">""</definedName>
    <definedName name="LevelA2104" comment="0" localSheetId="0" hidden="1">""</definedName>
    <definedName name="LevelA2104C0" comment="NA==" localSheetId="0" hidden="1">""</definedName>
    <definedName name="LevelA2105" comment="0" localSheetId="0" hidden="1">""</definedName>
    <definedName name="LevelA2105C0" comment="NA==" localSheetId="0" hidden="1">""</definedName>
    <definedName name="LevelA2106" comment="0" localSheetId="0" hidden="1">""</definedName>
    <definedName name="LevelA2106C0" comment="NA==" localSheetId="0" hidden="1">""</definedName>
    <definedName name="LevelA2107" comment="0" localSheetId="0" hidden="1">""</definedName>
    <definedName name="LevelA2107C0" comment="NA==" localSheetId="0" hidden="1">""</definedName>
    <definedName name="LevelA2108" comment="0" localSheetId="0" hidden="1">""</definedName>
    <definedName name="LevelA2108C0" comment="NA==" localSheetId="0" hidden="1">""</definedName>
    <definedName name="LevelA2109" comment="0" localSheetId="0" hidden="1">""</definedName>
    <definedName name="LevelA2109C0" comment="NA==" localSheetId="0" hidden="1">""</definedName>
    <definedName name="LevelA210C0" comment="NA==" localSheetId="0" hidden="1">""</definedName>
    <definedName name="LevelA211" comment="0" localSheetId="0" hidden="1">""</definedName>
    <definedName name="LevelA2110" comment="0" localSheetId="0" hidden="1">""</definedName>
    <definedName name="LevelA2110C0" comment="NA==" localSheetId="0" hidden="1">""</definedName>
    <definedName name="LevelA2111" comment="0" localSheetId="0" hidden="1">""</definedName>
    <definedName name="LevelA2111C0" comment="NA==" localSheetId="0" hidden="1">""</definedName>
    <definedName name="LevelA2112" comment="0" localSheetId="0" hidden="1">""</definedName>
    <definedName name="LevelA2112C0" comment="NA==" localSheetId="0" hidden="1">""</definedName>
    <definedName name="LevelA2113" comment="0" localSheetId="0" hidden="1">""</definedName>
    <definedName name="LevelA2113C0" comment="NA==" localSheetId="0" hidden="1">""</definedName>
    <definedName name="LevelA2114" comment="0" localSheetId="0" hidden="1">""</definedName>
    <definedName name="LevelA2114C0" comment="NA==" localSheetId="0" hidden="1">""</definedName>
    <definedName name="LevelA2115" comment="0" localSheetId="0" hidden="1">""</definedName>
    <definedName name="LevelA2115C0" comment="NA==" localSheetId="0" hidden="1">""</definedName>
    <definedName name="LevelA2116" comment="0" localSheetId="0" hidden="1">""</definedName>
    <definedName name="LevelA2116C0" comment="NA==" localSheetId="0" hidden="1">""</definedName>
    <definedName name="LevelA2117" comment="0" localSheetId="0" hidden="1">""</definedName>
    <definedName name="LevelA2117C0" comment="NA==" localSheetId="0" hidden="1">""</definedName>
    <definedName name="LevelA2118" comment="0" localSheetId="0" hidden="1">""</definedName>
    <definedName name="LevelA2118C0" comment="NA==" localSheetId="0" hidden="1">""</definedName>
    <definedName name="LevelA2119" comment="0" localSheetId="0" hidden="1">""</definedName>
    <definedName name="LevelA2119C0" comment="NA==" localSheetId="0" hidden="1">""</definedName>
    <definedName name="LevelA211C0" comment="NA==" localSheetId="0" hidden="1">""</definedName>
    <definedName name="LevelA212" comment="0" localSheetId="0" hidden="1">""</definedName>
    <definedName name="LevelA2120" comment="0" localSheetId="0" hidden="1">""</definedName>
    <definedName name="LevelA2120C0" comment="NA==" localSheetId="0" hidden="1">""</definedName>
    <definedName name="LevelA2121" comment="0" localSheetId="0" hidden="1">""</definedName>
    <definedName name="LevelA2121C0" comment="NA==" localSheetId="0" hidden="1">""</definedName>
    <definedName name="LevelA2122" comment="0" localSheetId="0" hidden="1">""</definedName>
    <definedName name="LevelA2122C0" comment="NA==" localSheetId="0" hidden="1">""</definedName>
    <definedName name="LevelA2123" comment="0" localSheetId="0" hidden="1">""</definedName>
    <definedName name="LevelA2123C0" comment="NA==" localSheetId="0" hidden="1">""</definedName>
    <definedName name="LevelA2124" comment="0" localSheetId="0" hidden="1">""</definedName>
    <definedName name="LevelA2124C0" comment="NA==" localSheetId="0" hidden="1">""</definedName>
    <definedName name="LevelA2125" comment="0" localSheetId="0" hidden="1">""</definedName>
    <definedName name="LevelA2125C0" comment="NA==" localSheetId="0" hidden="1">""</definedName>
    <definedName name="LevelA2126" comment="0" localSheetId="0" hidden="1">""</definedName>
    <definedName name="LevelA2126C0" comment="NA==" localSheetId="0" hidden="1">""</definedName>
    <definedName name="LevelA2127" comment="0" localSheetId="0" hidden="1">""</definedName>
    <definedName name="LevelA2127C0" comment="NA==" localSheetId="0" hidden="1">""</definedName>
    <definedName name="LevelA2128" comment="0" localSheetId="0" hidden="1">""</definedName>
    <definedName name="LevelA2128C0" comment="NA==" localSheetId="0" hidden="1">""</definedName>
    <definedName name="LevelA2129" comment="0" localSheetId="0" hidden="1">""</definedName>
    <definedName name="LevelA2129C0" comment="NA==" localSheetId="0" hidden="1">""</definedName>
    <definedName name="LevelA212C0" comment="NA==" localSheetId="0" hidden="1">""</definedName>
    <definedName name="LevelA213" comment="0" localSheetId="0" hidden="1">""</definedName>
    <definedName name="LevelA2130" comment="0" localSheetId="0" hidden="1">""</definedName>
    <definedName name="LevelA2130C0" comment="NA==" localSheetId="0" hidden="1">""</definedName>
    <definedName name="LevelA2131" comment="0" localSheetId="0" hidden="1">""</definedName>
    <definedName name="LevelA2131C0" comment="NA==" localSheetId="0" hidden="1">""</definedName>
    <definedName name="LevelA2132" comment="0" localSheetId="0" hidden="1">""</definedName>
    <definedName name="LevelA2132C0" comment="NA==" localSheetId="0" hidden="1">""</definedName>
    <definedName name="LevelA2133" comment="0" localSheetId="0" hidden="1">""</definedName>
    <definedName name="LevelA2133C0" comment="NA==" localSheetId="0" hidden="1">""</definedName>
    <definedName name="LevelA2134" comment="0" localSheetId="0" hidden="1">""</definedName>
    <definedName name="LevelA2134C0" comment="NA==" localSheetId="0" hidden="1">""</definedName>
    <definedName name="LevelA2135" comment="0" localSheetId="0" hidden="1">""</definedName>
    <definedName name="LevelA2135C0" comment="NA==" localSheetId="0" hidden="1">""</definedName>
    <definedName name="LevelA2136" comment="0" localSheetId="0" hidden="1">""</definedName>
    <definedName name="LevelA2136C0" comment="NA==" localSheetId="0" hidden="1">""</definedName>
    <definedName name="LevelA2137" comment="0" localSheetId="0" hidden="1">""</definedName>
    <definedName name="LevelA2137C0" comment="NA==" localSheetId="0" hidden="1">""</definedName>
    <definedName name="LevelA2138" comment="0" localSheetId="0" hidden="1">""</definedName>
    <definedName name="LevelA2138C0" comment="NA==" localSheetId="0" hidden="1">""</definedName>
    <definedName name="LevelA2139" comment="0" localSheetId="0" hidden="1">""</definedName>
    <definedName name="LevelA2139C0" comment="NA==" localSheetId="0" hidden="1">""</definedName>
    <definedName name="LevelA213C0" comment="NA==" localSheetId="0" hidden="1">""</definedName>
    <definedName name="LevelA214" comment="0" localSheetId="0" hidden="1">""</definedName>
    <definedName name="LevelA2140" comment="0" localSheetId="0" hidden="1">""</definedName>
    <definedName name="LevelA2140C0" comment="NA==" localSheetId="0" hidden="1">""</definedName>
    <definedName name="LevelA2141" comment="0" localSheetId="0" hidden="1">""</definedName>
    <definedName name="LevelA2141C0" comment="NA==" localSheetId="0" hidden="1">""</definedName>
    <definedName name="LevelA2142" comment="0" localSheetId="0" hidden="1">""</definedName>
    <definedName name="LevelA2142C0" comment="NA==" localSheetId="0" hidden="1">""</definedName>
    <definedName name="LevelA2143" comment="0" localSheetId="0" hidden="1">""</definedName>
    <definedName name="LevelA2143C0" comment="NA==" localSheetId="0" hidden="1">""</definedName>
    <definedName name="LevelA2144" comment="0" localSheetId="0" hidden="1">""</definedName>
    <definedName name="LevelA2144C0" comment="NA==" localSheetId="0" hidden="1">""</definedName>
    <definedName name="LevelA2145" comment="0" localSheetId="0" hidden="1">""</definedName>
    <definedName name="LevelA2145C0" comment="NA==" localSheetId="0" hidden="1">""</definedName>
    <definedName name="LevelA2146" comment="0" localSheetId="0" hidden="1">""</definedName>
    <definedName name="LevelA2146C0" comment="NA==" localSheetId="0" hidden="1">""</definedName>
    <definedName name="LevelA2147" comment="0" localSheetId="0" hidden="1">""</definedName>
    <definedName name="LevelA2147C0" comment="NA==" localSheetId="0" hidden="1">""</definedName>
    <definedName name="LevelA2148" comment="0" localSheetId="0" hidden="1">""</definedName>
    <definedName name="LevelA2148C0" comment="NA==" localSheetId="0" hidden="1">""</definedName>
    <definedName name="LevelA2149" comment="0" localSheetId="0" hidden="1">""</definedName>
    <definedName name="LevelA2149C0" comment="NA==" localSheetId="0" hidden="1">""</definedName>
    <definedName name="LevelA214C0" comment="NA==" localSheetId="0" hidden="1">""</definedName>
    <definedName name="LevelA215" comment="0" localSheetId="0" hidden="1">""</definedName>
    <definedName name="LevelA2150" comment="0" localSheetId="0" hidden="1">""</definedName>
    <definedName name="LevelA2150C0" comment="NA==" localSheetId="0" hidden="1">""</definedName>
    <definedName name="LevelA2151" comment="0" localSheetId="0" hidden="1">""</definedName>
    <definedName name="LevelA2151C0" comment="NA==" localSheetId="0" hidden="1">""</definedName>
    <definedName name="LevelA2152" comment="0" localSheetId="0" hidden="1">""</definedName>
    <definedName name="LevelA2152C0" comment="NA==" localSheetId="0" hidden="1">""</definedName>
    <definedName name="LevelA2153" comment="0" localSheetId="0" hidden="1">""</definedName>
    <definedName name="LevelA2153C0" comment="NA==" localSheetId="0" hidden="1">""</definedName>
    <definedName name="LevelA2154" comment="0" localSheetId="0" hidden="1">""</definedName>
    <definedName name="LevelA2154C0" comment="NA==" localSheetId="0" hidden="1">""</definedName>
    <definedName name="LevelA2155" comment="0" localSheetId="0" hidden="1">""</definedName>
    <definedName name="LevelA2155C0" comment="NA==" localSheetId="0" hidden="1">""</definedName>
    <definedName name="LevelA2156" comment="0" localSheetId="0" hidden="1">""</definedName>
    <definedName name="LevelA2156C0" comment="NA==" localSheetId="0" hidden="1">""</definedName>
    <definedName name="LevelA2157" comment="0" localSheetId="0" hidden="1">""</definedName>
    <definedName name="LevelA2157C0" comment="NA==" localSheetId="0" hidden="1">""</definedName>
    <definedName name="LevelA2158" comment="0" localSheetId="0" hidden="1">""</definedName>
    <definedName name="LevelA2158C0" comment="NA==" localSheetId="0" hidden="1">""</definedName>
    <definedName name="LevelA2159" comment="0" localSheetId="0" hidden="1">""</definedName>
    <definedName name="LevelA2159C0" comment="NA==" localSheetId="0" hidden="1">""</definedName>
    <definedName name="LevelA215C0" comment="NA==" localSheetId="0" hidden="1">""</definedName>
    <definedName name="LevelA216" comment="0" localSheetId="0" hidden="1">""</definedName>
    <definedName name="LevelA2160" comment="0" localSheetId="0" hidden="1">""</definedName>
    <definedName name="LevelA2160C0" comment="NA==" localSheetId="0" hidden="1">""</definedName>
    <definedName name="LevelA2161" comment="0" localSheetId="0" hidden="1">""</definedName>
    <definedName name="LevelA2161C0" comment="NA==" localSheetId="0" hidden="1">""</definedName>
    <definedName name="LevelA2162" comment="0" localSheetId="0" hidden="1">""</definedName>
    <definedName name="LevelA2162C0" comment="NA==" localSheetId="0" hidden="1">""</definedName>
    <definedName name="LevelA2163" comment="0" localSheetId="0" hidden="1">""</definedName>
    <definedName name="LevelA2163C0" comment="NA==" localSheetId="0" hidden="1">""</definedName>
    <definedName name="LevelA2164" comment="0" localSheetId="0" hidden="1">""</definedName>
    <definedName name="LevelA2164C0" comment="NA==" localSheetId="0" hidden="1">""</definedName>
    <definedName name="LevelA2165" comment="0" localSheetId="0" hidden="1">""</definedName>
    <definedName name="LevelA2165C0" comment="NA==" localSheetId="0" hidden="1">""</definedName>
    <definedName name="LevelA2166" comment="0" localSheetId="0" hidden="1">""</definedName>
    <definedName name="LevelA2166C0" comment="NA==" localSheetId="0" hidden="1">""</definedName>
    <definedName name="LevelA2167" comment="0" localSheetId="0" hidden="1">""</definedName>
    <definedName name="LevelA2167C0" comment="NA==" localSheetId="0" hidden="1">""</definedName>
    <definedName name="LevelA2168" comment="0" localSheetId="0" hidden="1">""</definedName>
    <definedName name="LevelA2168C0" comment="NA==" localSheetId="0" hidden="1">""</definedName>
    <definedName name="LevelA2169" comment="0" localSheetId="0" hidden="1">""</definedName>
    <definedName name="LevelA2169C0" comment="NA==" localSheetId="0" hidden="1">""</definedName>
    <definedName name="LevelA216C0" comment="NA==" localSheetId="0" hidden="1">""</definedName>
    <definedName name="LevelA217" comment="0" localSheetId="0" hidden="1">""</definedName>
    <definedName name="LevelA2170" comment="0" localSheetId="0" hidden="1">""</definedName>
    <definedName name="LevelA2170C0" comment="NA==" localSheetId="0" hidden="1">""</definedName>
    <definedName name="LevelA2171" comment="0" localSheetId="0" hidden="1">""</definedName>
    <definedName name="LevelA2171C0" comment="NA==" localSheetId="0" hidden="1">""</definedName>
    <definedName name="LevelA2172" comment="0" localSheetId="0" hidden="1">""</definedName>
    <definedName name="LevelA2172C0" comment="NA==" localSheetId="0" hidden="1">""</definedName>
    <definedName name="LevelA2173" comment="0" localSheetId="0" hidden="1">""</definedName>
    <definedName name="LevelA2173C0" comment="NA==" localSheetId="0" hidden="1">""</definedName>
    <definedName name="LevelA2174" comment="0" localSheetId="0" hidden="1">""</definedName>
    <definedName name="LevelA2174C0" comment="NA==" localSheetId="0" hidden="1">""</definedName>
    <definedName name="LevelA2175" comment="0" localSheetId="0" hidden="1">""</definedName>
    <definedName name="LevelA2175C0" comment="NA==" localSheetId="0" hidden="1">""</definedName>
    <definedName name="LevelA2176" comment="0" localSheetId="0" hidden="1">""</definedName>
    <definedName name="LevelA2176C0" comment="NA==" localSheetId="0" hidden="1">""</definedName>
    <definedName name="LevelA2177" comment="0" localSheetId="0" hidden="1">""</definedName>
    <definedName name="LevelA2177C0" comment="NA==" localSheetId="0" hidden="1">""</definedName>
    <definedName name="LevelA2178" comment="0" localSheetId="0" hidden="1">""</definedName>
    <definedName name="LevelA2178C0" comment="NA==" localSheetId="0" hidden="1">""</definedName>
    <definedName name="LevelA2179" comment="0" localSheetId="0" hidden="1">""</definedName>
    <definedName name="LevelA2179C0" comment="NA==" localSheetId="0" hidden="1">""</definedName>
    <definedName name="LevelA217C0" comment="NA==" localSheetId="0" hidden="1">""</definedName>
    <definedName name="LevelA218" comment="0" localSheetId="0" hidden="1">""</definedName>
    <definedName name="LevelA2180" comment="0" localSheetId="0" hidden="1">""</definedName>
    <definedName name="LevelA2180C0" comment="NA==" localSheetId="0" hidden="1">""</definedName>
    <definedName name="LevelA2181" comment="0" localSheetId="0" hidden="1">""</definedName>
    <definedName name="LevelA2181C0" comment="NA==" localSheetId="0" hidden="1">""</definedName>
    <definedName name="LevelA2182" comment="0" localSheetId="0" hidden="1">""</definedName>
    <definedName name="LevelA2182C0" comment="NA==" localSheetId="0" hidden="1">""</definedName>
    <definedName name="LevelA2183" comment="0" localSheetId="0" hidden="1">""</definedName>
    <definedName name="LevelA2183C0" comment="NA==" localSheetId="0" hidden="1">""</definedName>
    <definedName name="LevelA2184" comment="0" localSheetId="0" hidden="1">""</definedName>
    <definedName name="LevelA2184C0" comment="NA==" localSheetId="0" hidden="1">""</definedName>
    <definedName name="LevelA2185" comment="0" localSheetId="0" hidden="1">""</definedName>
    <definedName name="LevelA2185C0" comment="NA==" localSheetId="0" hidden="1">""</definedName>
    <definedName name="LevelA2186" comment="0" localSheetId="0" hidden="1">""</definedName>
    <definedName name="LevelA2186C0" comment="NA==" localSheetId="0" hidden="1">""</definedName>
    <definedName name="LevelA2187" comment="0" localSheetId="0" hidden="1">""</definedName>
    <definedName name="LevelA2187C0" comment="NA==" localSheetId="0" hidden="1">""</definedName>
    <definedName name="LevelA2188" comment="0" localSheetId="0" hidden="1">""</definedName>
    <definedName name="LevelA2188C0" comment="NA==" localSheetId="0" hidden="1">""</definedName>
    <definedName name="LevelA2189" comment="0" localSheetId="0" hidden="1">""</definedName>
    <definedName name="LevelA2189C0" comment="NA==" localSheetId="0" hidden="1">""</definedName>
    <definedName name="LevelA218C0" comment="NA==" localSheetId="0" hidden="1">""</definedName>
    <definedName name="LevelA219" comment="0" localSheetId="0" hidden="1">""</definedName>
    <definedName name="LevelA2190" comment="0" localSheetId="0" hidden="1">""</definedName>
    <definedName name="LevelA2190C0" comment="NA==" localSheetId="0" hidden="1">""</definedName>
    <definedName name="LevelA2191" comment="0" localSheetId="0" hidden="1">""</definedName>
    <definedName name="LevelA2191C0" comment="NA==" localSheetId="0" hidden="1">""</definedName>
    <definedName name="LevelA2192" comment="0" localSheetId="0" hidden="1">""</definedName>
    <definedName name="LevelA2192C0" comment="NA==" localSheetId="0" hidden="1">""</definedName>
    <definedName name="LevelA2193" comment="0" localSheetId="0" hidden="1">""</definedName>
    <definedName name="LevelA2193C0" comment="NA==" localSheetId="0" hidden="1">""</definedName>
    <definedName name="LevelA2194" comment="0" localSheetId="0" hidden="1">""</definedName>
    <definedName name="LevelA2194C0" comment="NA==" localSheetId="0" hidden="1">""</definedName>
    <definedName name="LevelA2195" comment="0" localSheetId="0" hidden="1">""</definedName>
    <definedName name="LevelA2195C0" comment="NA==" localSheetId="0" hidden="1">""</definedName>
    <definedName name="LevelA2196" comment="0" localSheetId="0" hidden="1">""</definedName>
    <definedName name="LevelA2196C0" comment="NA==" localSheetId="0" hidden="1">""</definedName>
    <definedName name="LevelA2197" comment="0" localSheetId="0" hidden="1">""</definedName>
    <definedName name="LevelA2197C0" comment="NA==" localSheetId="0" hidden="1">""</definedName>
    <definedName name="LevelA2198" comment="0" localSheetId="0" hidden="1">""</definedName>
    <definedName name="LevelA2198C0" comment="NA==" localSheetId="0" hidden="1">""</definedName>
    <definedName name="LevelA2199" comment="0" localSheetId="0" hidden="1">""</definedName>
    <definedName name="LevelA2199C0" comment="NA==" localSheetId="0" hidden="1">""</definedName>
    <definedName name="LevelA219C0" comment="NA==" localSheetId="0" hidden="1">""</definedName>
    <definedName name="LevelA21C0" comment="NA==" localSheetId="0" hidden="1">""</definedName>
    <definedName name="LevelA22" comment="0" localSheetId="0" hidden="1">""</definedName>
    <definedName name="LevelA220" comment="0" localSheetId="0" hidden="1">""</definedName>
    <definedName name="LevelA2200" comment="0" localSheetId="0" hidden="1">""</definedName>
    <definedName name="LevelA2200C0" comment="NA==" localSheetId="0" hidden="1">""</definedName>
    <definedName name="LevelA2201" comment="0" localSheetId="0" hidden="1">""</definedName>
    <definedName name="LevelA2201C0" comment="NA==" localSheetId="0" hidden="1">""</definedName>
    <definedName name="LevelA2202" comment="0" localSheetId="0" hidden="1">""</definedName>
    <definedName name="LevelA2202C0" comment="NA==" localSheetId="0" hidden="1">""</definedName>
    <definedName name="LevelA2203" comment="0" localSheetId="0" hidden="1">""</definedName>
    <definedName name="LevelA2203C0" comment="NA==" localSheetId="0" hidden="1">""</definedName>
    <definedName name="LevelA2204" comment="0" localSheetId="0" hidden="1">""</definedName>
    <definedName name="LevelA2204C0" comment="NA==" localSheetId="0" hidden="1">""</definedName>
    <definedName name="LevelA2205" comment="0" localSheetId="0" hidden="1">""</definedName>
    <definedName name="LevelA2205C0" comment="NA==" localSheetId="0" hidden="1">""</definedName>
    <definedName name="LevelA2206" comment="0" localSheetId="0" hidden="1">""</definedName>
    <definedName name="LevelA2206C0" comment="NA==" localSheetId="0" hidden="1">""</definedName>
    <definedName name="LevelA2207" comment="0" localSheetId="0" hidden="1">""</definedName>
    <definedName name="LevelA2207C0" comment="NA==" localSheetId="0" hidden="1">""</definedName>
    <definedName name="LevelA2208" comment="0" localSheetId="0" hidden="1">""</definedName>
    <definedName name="LevelA2208C0" comment="NA==" localSheetId="0" hidden="1">""</definedName>
    <definedName name="LevelA2209" comment="0" localSheetId="0" hidden="1">""</definedName>
    <definedName name="LevelA2209C0" comment="NA==" localSheetId="0" hidden="1">""</definedName>
    <definedName name="LevelA220C0" comment="NA==" localSheetId="0" hidden="1">""</definedName>
    <definedName name="LevelA221" comment="0" localSheetId="0" hidden="1">""</definedName>
    <definedName name="LevelA2210" comment="0" localSheetId="0" hidden="1">""</definedName>
    <definedName name="LevelA2210C0" comment="NA==" localSheetId="0" hidden="1">""</definedName>
    <definedName name="LevelA2211" comment="0" localSheetId="0" hidden="1">""</definedName>
    <definedName name="LevelA2211C0" comment="NA==" localSheetId="0" hidden="1">""</definedName>
    <definedName name="LevelA2212" comment="0" localSheetId="0" hidden="1">""</definedName>
    <definedName name="LevelA2212C0" comment="NA==" localSheetId="0" hidden="1">""</definedName>
    <definedName name="LevelA2213" comment="0" localSheetId="0" hidden="1">""</definedName>
    <definedName name="LevelA2213C0" comment="NA==" localSheetId="0" hidden="1">""</definedName>
    <definedName name="LevelA2214" comment="0" localSheetId="0" hidden="1">""</definedName>
    <definedName name="LevelA2214C0" comment="NA==" localSheetId="0" hidden="1">""</definedName>
    <definedName name="LevelA2215" comment="0" localSheetId="0" hidden="1">""</definedName>
    <definedName name="LevelA2215C0" comment="NA==" localSheetId="0" hidden="1">""</definedName>
    <definedName name="LevelA2216" comment="0" localSheetId="0" hidden="1">""</definedName>
    <definedName name="LevelA2216C0" comment="NA==" localSheetId="0" hidden="1">""</definedName>
    <definedName name="LevelA2217" comment="0" localSheetId="0" hidden="1">""</definedName>
    <definedName name="LevelA2217C0" comment="NA==" localSheetId="0" hidden="1">""</definedName>
    <definedName name="LevelA2218" comment="0" localSheetId="0" hidden="1">""</definedName>
    <definedName name="LevelA2218C0" comment="NA==" localSheetId="0" hidden="1">""</definedName>
    <definedName name="LevelA2219" comment="0" localSheetId="0" hidden="1">""</definedName>
    <definedName name="LevelA2219C0" comment="NA==" localSheetId="0" hidden="1">""</definedName>
    <definedName name="LevelA221C0" comment="NA==" localSheetId="0" hidden="1">""</definedName>
    <definedName name="LevelA222" comment="0" localSheetId="0" hidden="1">""</definedName>
    <definedName name="LevelA2220" comment="0" localSheetId="0" hidden="1">""</definedName>
    <definedName name="LevelA2220C0" comment="NA==" localSheetId="0" hidden="1">""</definedName>
    <definedName name="LevelA2221" comment="0" localSheetId="0" hidden="1">""</definedName>
    <definedName name="LevelA2221C0" comment="NA==" localSheetId="0" hidden="1">""</definedName>
    <definedName name="LevelA2222" comment="0" localSheetId="0" hidden="1">""</definedName>
    <definedName name="LevelA2222C0" comment="NA==" localSheetId="0" hidden="1">""</definedName>
    <definedName name="LevelA2223" comment="0" localSheetId="0" hidden="1">""</definedName>
    <definedName name="LevelA2223C0" comment="NA==" localSheetId="0" hidden="1">""</definedName>
    <definedName name="LevelA2224" comment="0" localSheetId="0" hidden="1">""</definedName>
    <definedName name="LevelA2224C0" comment="NA==" localSheetId="0" hidden="1">""</definedName>
    <definedName name="LevelA2225" comment="0" localSheetId="0" hidden="1">""</definedName>
    <definedName name="LevelA2225C0" comment="NA==" localSheetId="0" hidden="1">""</definedName>
    <definedName name="LevelA2226" comment="0" localSheetId="0" hidden="1">""</definedName>
    <definedName name="LevelA2226C0" comment="NA==" localSheetId="0" hidden="1">""</definedName>
    <definedName name="LevelA2227" comment="0" localSheetId="0" hidden="1">""</definedName>
    <definedName name="LevelA2227C0" comment="NA==" localSheetId="0" hidden="1">""</definedName>
    <definedName name="LevelA2228" comment="0" localSheetId="0" hidden="1">""</definedName>
    <definedName name="LevelA2228C0" comment="NA==" localSheetId="0" hidden="1">""</definedName>
    <definedName name="LevelA2229" comment="0" localSheetId="0" hidden="1">""</definedName>
    <definedName name="LevelA2229C0" comment="NA==" localSheetId="0" hidden="1">""</definedName>
    <definedName name="LevelA222C0" comment="NA==" localSheetId="0" hidden="1">""</definedName>
    <definedName name="LevelA223" comment="0" localSheetId="0" hidden="1">""</definedName>
    <definedName name="LevelA2230" comment="0" localSheetId="0" hidden="1">""</definedName>
    <definedName name="LevelA2230C0" comment="NA==" localSheetId="0" hidden="1">""</definedName>
    <definedName name="LevelA2231" comment="0" localSheetId="0" hidden="1">""</definedName>
    <definedName name="LevelA2231C0" comment="NA==" localSheetId="0" hidden="1">""</definedName>
    <definedName name="LevelA2232" comment="0" localSheetId="0" hidden="1">""</definedName>
    <definedName name="LevelA2232C0" comment="NA==" localSheetId="0" hidden="1">""</definedName>
    <definedName name="LevelA2233" comment="0" localSheetId="0" hidden="1">""</definedName>
    <definedName name="LevelA2233C0" comment="NA==" localSheetId="0" hidden="1">""</definedName>
    <definedName name="LevelA2234" comment="0" localSheetId="0" hidden="1">""</definedName>
    <definedName name="LevelA2234C0" comment="NA==" localSheetId="0" hidden="1">""</definedName>
    <definedName name="LevelA2235" comment="0" localSheetId="0" hidden="1">""</definedName>
    <definedName name="LevelA2235C0" comment="NA==" localSheetId="0" hidden="1">""</definedName>
    <definedName name="LevelA2236" comment="0" localSheetId="0" hidden="1">""</definedName>
    <definedName name="LevelA2236C0" comment="NA==" localSheetId="0" hidden="1">""</definedName>
    <definedName name="LevelA2237" comment="0" localSheetId="0" hidden="1">""</definedName>
    <definedName name="LevelA2237C0" comment="NA==" localSheetId="0" hidden="1">""</definedName>
    <definedName name="LevelA2238" comment="0" localSheetId="0" hidden="1">""</definedName>
    <definedName name="LevelA2238C0" comment="NA==" localSheetId="0" hidden="1">""</definedName>
    <definedName name="LevelA2239" comment="0" localSheetId="0" hidden="1">""</definedName>
    <definedName name="LevelA2239C0" comment="NA==" localSheetId="0" hidden="1">""</definedName>
    <definedName name="LevelA223C0" comment="NA==" localSheetId="0" hidden="1">""</definedName>
    <definedName name="LevelA224" comment="0" localSheetId="0" hidden="1">""</definedName>
    <definedName name="LevelA2240" comment="0" localSheetId="0" hidden="1">""</definedName>
    <definedName name="LevelA2240C0" comment="NA==" localSheetId="0" hidden="1">""</definedName>
    <definedName name="LevelA2241" comment="0" localSheetId="0" hidden="1">""</definedName>
    <definedName name="LevelA2241C0" comment="NA==" localSheetId="0" hidden="1">""</definedName>
    <definedName name="LevelA2242" comment="0" localSheetId="0" hidden="1">""</definedName>
    <definedName name="LevelA2242C0" comment="NA==" localSheetId="0" hidden="1">""</definedName>
    <definedName name="LevelA2243" comment="0" localSheetId="0" hidden="1">""</definedName>
    <definedName name="LevelA2243C0" comment="NA==" localSheetId="0" hidden="1">""</definedName>
    <definedName name="LevelA2244" comment="0" localSheetId="0" hidden="1">""</definedName>
    <definedName name="LevelA2244C0" comment="NA==" localSheetId="0" hidden="1">""</definedName>
    <definedName name="LevelA2245" comment="0" localSheetId="0" hidden="1">""</definedName>
    <definedName name="LevelA2245C0" comment="NA==" localSheetId="0" hidden="1">""</definedName>
    <definedName name="LevelA2246" comment="0" localSheetId="0" hidden="1">""</definedName>
    <definedName name="LevelA2246C0" comment="NA==" localSheetId="0" hidden="1">""</definedName>
    <definedName name="LevelA2247" comment="0" localSheetId="0" hidden="1">""</definedName>
    <definedName name="LevelA2247C0" comment="NA==" localSheetId="0" hidden="1">""</definedName>
    <definedName name="LevelA2248" comment="0" localSheetId="0" hidden="1">""</definedName>
    <definedName name="LevelA2248C0" comment="NA==" localSheetId="0" hidden="1">""</definedName>
    <definedName name="LevelA2249" comment="0" localSheetId="0" hidden="1">""</definedName>
    <definedName name="LevelA2249C0" comment="NA==" localSheetId="0" hidden="1">""</definedName>
    <definedName name="LevelA224C0" comment="NA==" localSheetId="0" hidden="1">""</definedName>
    <definedName name="LevelA225" comment="0" localSheetId="0" hidden="1">""</definedName>
    <definedName name="LevelA2250" comment="0" localSheetId="0" hidden="1">""</definedName>
    <definedName name="LevelA2250C0" comment="NA==" localSheetId="0" hidden="1">""</definedName>
    <definedName name="LevelA2251" comment="0" localSheetId="0" hidden="1">""</definedName>
    <definedName name="LevelA2251C0" comment="NA==" localSheetId="0" hidden="1">""</definedName>
    <definedName name="LevelA2252" comment="0" localSheetId="0" hidden="1">""</definedName>
    <definedName name="LevelA2252C0" comment="NA==" localSheetId="0" hidden="1">""</definedName>
    <definedName name="LevelA2253" comment="0" localSheetId="0" hidden="1">""</definedName>
    <definedName name="LevelA2253C0" comment="NA==" localSheetId="0" hidden="1">""</definedName>
    <definedName name="LevelA2254" comment="0" localSheetId="0" hidden="1">""</definedName>
    <definedName name="LevelA2254C0" comment="NA==" localSheetId="0" hidden="1">""</definedName>
    <definedName name="LevelA2255" comment="0" localSheetId="0" hidden="1">""</definedName>
    <definedName name="LevelA2255C0" comment="NA==" localSheetId="0" hidden="1">""</definedName>
    <definedName name="LevelA2256" comment="0" localSheetId="0" hidden="1">""</definedName>
    <definedName name="LevelA2256C0" comment="NA==" localSheetId="0" hidden="1">""</definedName>
    <definedName name="LevelA2257" comment="0" localSheetId="0" hidden="1">""</definedName>
    <definedName name="LevelA2257C0" comment="NA==" localSheetId="0" hidden="1">""</definedName>
    <definedName name="LevelA2258" comment="0" localSheetId="0" hidden="1">""</definedName>
    <definedName name="LevelA2258C0" comment="NA==" localSheetId="0" hidden="1">""</definedName>
    <definedName name="LevelA2259" comment="0" localSheetId="0" hidden="1">""</definedName>
    <definedName name="LevelA2259C0" comment="NA==" localSheetId="0" hidden="1">""</definedName>
    <definedName name="LevelA225C0" comment="NA==" localSheetId="0" hidden="1">""</definedName>
    <definedName name="LevelA226" comment="0" localSheetId="0" hidden="1">""</definedName>
    <definedName name="LevelA2260" comment="0" localSheetId="0" hidden="1">""</definedName>
    <definedName name="LevelA2260C0" comment="NA==" localSheetId="0" hidden="1">""</definedName>
    <definedName name="LevelA2261" comment="0" localSheetId="0" hidden="1">""</definedName>
    <definedName name="LevelA2261C0" comment="NA==" localSheetId="0" hidden="1">""</definedName>
    <definedName name="LevelA2262" comment="0" localSheetId="0" hidden="1">""</definedName>
    <definedName name="LevelA2262C0" comment="NA==" localSheetId="0" hidden="1">""</definedName>
    <definedName name="LevelA2263" comment="0" localSheetId="0" hidden="1">""</definedName>
    <definedName name="LevelA2263C0" comment="NA==" localSheetId="0" hidden="1">""</definedName>
    <definedName name="LevelA2264" comment="0" localSheetId="0" hidden="1">""</definedName>
    <definedName name="LevelA2264C0" comment="NA==" localSheetId="0" hidden="1">""</definedName>
    <definedName name="LevelA2265" comment="0" localSheetId="0" hidden="1">""</definedName>
    <definedName name="LevelA2265C0" comment="NA==" localSheetId="0" hidden="1">""</definedName>
    <definedName name="LevelA2266" comment="0" localSheetId="0" hidden="1">""</definedName>
    <definedName name="LevelA2266C0" comment="NA==" localSheetId="0" hidden="1">""</definedName>
    <definedName name="LevelA2267" comment="0" localSheetId="0" hidden="1">""</definedName>
    <definedName name="LevelA2267C0" comment="NA==" localSheetId="0" hidden="1">""</definedName>
    <definedName name="LevelA2268" comment="0" localSheetId="0" hidden="1">""</definedName>
    <definedName name="LevelA2268C0" comment="NA==" localSheetId="0" hidden="1">""</definedName>
    <definedName name="LevelA2269" comment="0" localSheetId="0" hidden="1">""</definedName>
    <definedName name="LevelA2269C0" comment="NA==" localSheetId="0" hidden="1">""</definedName>
    <definedName name="LevelA226C0" comment="NA==" localSheetId="0" hidden="1">""</definedName>
    <definedName name="LevelA227" comment="0" localSheetId="0" hidden="1">""</definedName>
    <definedName name="LevelA2270" comment="0" localSheetId="0" hidden="1">""</definedName>
    <definedName name="LevelA2270C0" comment="NA==" localSheetId="0" hidden="1">""</definedName>
    <definedName name="LevelA2271" comment="0" localSheetId="0" hidden="1">""</definedName>
    <definedName name="LevelA2271C0" comment="NA==" localSheetId="0" hidden="1">""</definedName>
    <definedName name="LevelA2272" comment="0" localSheetId="0" hidden="1">""</definedName>
    <definedName name="LevelA2272C0" comment="NA==" localSheetId="0" hidden="1">""</definedName>
    <definedName name="LevelA2273" comment="0" localSheetId="0" hidden="1">""</definedName>
    <definedName name="LevelA2273C0" comment="NA==" localSheetId="0" hidden="1">""</definedName>
    <definedName name="LevelA2274" comment="0" localSheetId="0" hidden="1">""</definedName>
    <definedName name="LevelA2274C0" comment="NA==" localSheetId="0" hidden="1">""</definedName>
    <definedName name="LevelA2275" comment="0" localSheetId="0" hidden="1">""</definedName>
    <definedName name="LevelA2275C0" comment="NA==" localSheetId="0" hidden="1">""</definedName>
    <definedName name="LevelA2276" comment="0" localSheetId="0" hidden="1">""</definedName>
    <definedName name="LevelA2276C0" comment="NA==" localSheetId="0" hidden="1">""</definedName>
    <definedName name="LevelA2277" comment="0" localSheetId="0" hidden="1">""</definedName>
    <definedName name="LevelA2277C0" comment="NA==" localSheetId="0" hidden="1">""</definedName>
    <definedName name="LevelA2278" comment="0" localSheetId="0" hidden="1">""</definedName>
    <definedName name="LevelA2278C0" comment="NA==" localSheetId="0" hidden="1">""</definedName>
    <definedName name="LevelA2279" comment="0" localSheetId="0" hidden="1">""</definedName>
    <definedName name="LevelA2279C0" comment="NA==" localSheetId="0" hidden="1">""</definedName>
    <definedName name="LevelA227C0" comment="NA==" localSheetId="0" hidden="1">""</definedName>
    <definedName name="LevelA228" comment="0" localSheetId="0" hidden="1">""</definedName>
    <definedName name="LevelA2280" comment="0" localSheetId="0" hidden="1">""</definedName>
    <definedName name="LevelA2280C0" comment="NA==" localSheetId="0" hidden="1">""</definedName>
    <definedName name="LevelA2281" comment="0" localSheetId="0" hidden="1">""</definedName>
    <definedName name="LevelA2281C0" comment="NA==" localSheetId="0" hidden="1">""</definedName>
    <definedName name="LevelA2282" comment="0" localSheetId="0" hidden="1">""</definedName>
    <definedName name="LevelA2282C0" comment="NA==" localSheetId="0" hidden="1">""</definedName>
    <definedName name="LevelA2283" comment="0" localSheetId="0" hidden="1">""</definedName>
    <definedName name="LevelA2283C0" comment="NA==" localSheetId="0" hidden="1">""</definedName>
    <definedName name="LevelA2284" comment="0" localSheetId="0" hidden="1">""</definedName>
    <definedName name="LevelA2284C0" comment="NA==" localSheetId="0" hidden="1">""</definedName>
    <definedName name="LevelA2285" comment="0" localSheetId="0" hidden="1">""</definedName>
    <definedName name="LevelA2285C0" comment="NA==" localSheetId="0" hidden="1">""</definedName>
    <definedName name="LevelA2286" comment="0" localSheetId="0" hidden="1">""</definedName>
    <definedName name="LevelA2286C0" comment="NA==" localSheetId="0" hidden="1">""</definedName>
    <definedName name="LevelA2287" comment="0" localSheetId="0" hidden="1">""</definedName>
    <definedName name="LevelA2287C0" comment="NA==" localSheetId="0" hidden="1">""</definedName>
    <definedName name="LevelA2288" comment="0" localSheetId="0" hidden="1">""</definedName>
    <definedName name="LevelA2288C0" comment="NA==" localSheetId="0" hidden="1">""</definedName>
    <definedName name="LevelA2289" comment="0" localSheetId="0" hidden="1">""</definedName>
    <definedName name="LevelA2289C0" comment="NA==" localSheetId="0" hidden="1">""</definedName>
    <definedName name="LevelA228C0" comment="NA==" localSheetId="0" hidden="1">""</definedName>
    <definedName name="LevelA229" comment="0" localSheetId="0" hidden="1">""</definedName>
    <definedName name="LevelA2290" comment="0" localSheetId="0" hidden="1">""</definedName>
    <definedName name="LevelA2290C0" comment="NA==" localSheetId="0" hidden="1">""</definedName>
    <definedName name="LevelA2291" comment="0" localSheetId="0" hidden="1">""</definedName>
    <definedName name="LevelA2291C0" comment="NA==" localSheetId="0" hidden="1">""</definedName>
    <definedName name="LevelA2292" comment="0" localSheetId="0" hidden="1">""</definedName>
    <definedName name="LevelA2292C0" comment="NA==" localSheetId="0" hidden="1">""</definedName>
    <definedName name="LevelA2293" comment="0" localSheetId="0" hidden="1">""</definedName>
    <definedName name="LevelA2293C0" comment="NA==" localSheetId="0" hidden="1">""</definedName>
    <definedName name="LevelA2294" comment="0" localSheetId="0" hidden="1">""</definedName>
    <definedName name="LevelA2294C0" comment="NA==" localSheetId="0" hidden="1">""</definedName>
    <definedName name="LevelA2295" comment="0" localSheetId="0" hidden="1">""</definedName>
    <definedName name="LevelA2295C0" comment="NA==" localSheetId="0" hidden="1">""</definedName>
    <definedName name="LevelA2296" comment="0" localSheetId="0" hidden="1">""</definedName>
    <definedName name="LevelA2296C0" comment="NA==" localSheetId="0" hidden="1">""</definedName>
    <definedName name="LevelA2297" comment="0" localSheetId="0" hidden="1">""</definedName>
    <definedName name="LevelA2297C0" comment="NA==" localSheetId="0" hidden="1">""</definedName>
    <definedName name="LevelA2298" comment="0" localSheetId="0" hidden="1">""</definedName>
    <definedName name="LevelA2298C0" comment="NA==" localSheetId="0" hidden="1">""</definedName>
    <definedName name="LevelA2299" comment="0" localSheetId="0" hidden="1">""</definedName>
    <definedName name="LevelA2299C0" comment="NA==" localSheetId="0" hidden="1">""</definedName>
    <definedName name="LevelA229C0" comment="NA==" localSheetId="0" hidden="1">""</definedName>
    <definedName name="LevelA22C0" comment="NA==" localSheetId="0" hidden="1">""</definedName>
    <definedName name="LevelA23" comment="0" localSheetId="0" hidden="1">""</definedName>
    <definedName name="LevelA230" comment="0" localSheetId="0" hidden="1">""</definedName>
    <definedName name="LevelA2300" comment="0" localSheetId="0" hidden="1">""</definedName>
    <definedName name="LevelA2300C0" comment="NA==" localSheetId="0" hidden="1">""</definedName>
    <definedName name="LevelA2301" comment="0" localSheetId="0" hidden="1">""</definedName>
    <definedName name="LevelA2301C0" comment="NA==" localSheetId="0" hidden="1">""</definedName>
    <definedName name="LevelA2302" comment="0" localSheetId="0" hidden="1">""</definedName>
    <definedName name="LevelA2302C0" comment="NA==" localSheetId="0" hidden="1">""</definedName>
    <definedName name="LevelA2303" comment="0" localSheetId="0" hidden="1">""</definedName>
    <definedName name="LevelA2303C0" comment="NA==" localSheetId="0" hidden="1">""</definedName>
    <definedName name="LevelA2304" comment="0" localSheetId="0" hidden="1">""</definedName>
    <definedName name="LevelA2304C0" comment="NA==" localSheetId="0" hidden="1">""</definedName>
    <definedName name="LevelA2305" comment="0" localSheetId="0" hidden="1">""</definedName>
    <definedName name="LevelA2305C0" comment="NA==" localSheetId="0" hidden="1">""</definedName>
    <definedName name="LevelA2306" comment="0" localSheetId="0" hidden="1">""</definedName>
    <definedName name="LevelA2306C0" comment="NA==" localSheetId="0" hidden="1">""</definedName>
    <definedName name="LevelA2307" comment="0" localSheetId="0" hidden="1">""</definedName>
    <definedName name="LevelA2307C0" comment="NA==" localSheetId="0" hidden="1">""</definedName>
    <definedName name="LevelA2308" comment="0" localSheetId="0" hidden="1">""</definedName>
    <definedName name="LevelA2308C0" comment="NA==" localSheetId="0" hidden="1">""</definedName>
    <definedName name="LevelA2309" comment="0" localSheetId="0" hidden="1">""</definedName>
    <definedName name="LevelA2309C0" comment="NA==" localSheetId="0" hidden="1">""</definedName>
    <definedName name="LevelA230C0" comment="NA==" localSheetId="0" hidden="1">""</definedName>
    <definedName name="LevelA231" comment="0" localSheetId="0" hidden="1">""</definedName>
    <definedName name="LevelA2310" comment="0" localSheetId="0" hidden="1">""</definedName>
    <definedName name="LevelA2310C0" comment="NA==" localSheetId="0" hidden="1">""</definedName>
    <definedName name="LevelA2311" comment="0" localSheetId="0" hidden="1">""</definedName>
    <definedName name="LevelA2311C0" comment="NA==" localSheetId="0" hidden="1">""</definedName>
    <definedName name="LevelA2312" comment="0" localSheetId="0" hidden="1">""</definedName>
    <definedName name="LevelA2312C0" comment="NA==" localSheetId="0" hidden="1">""</definedName>
    <definedName name="LevelA2313" comment="0" localSheetId="0" hidden="1">""</definedName>
    <definedName name="LevelA2313C0" comment="NA==" localSheetId="0" hidden="1">""</definedName>
    <definedName name="LevelA2314" comment="0" localSheetId="0" hidden="1">""</definedName>
    <definedName name="LevelA2314C0" comment="NA==" localSheetId="0" hidden="1">""</definedName>
    <definedName name="LevelA2315" comment="0" localSheetId="0" hidden="1">""</definedName>
    <definedName name="LevelA2315C0" comment="NA==" localSheetId="0" hidden="1">""</definedName>
    <definedName name="LevelA2316" comment="0" localSheetId="0" hidden="1">""</definedName>
    <definedName name="LevelA2316C0" comment="NA==" localSheetId="0" hidden="1">""</definedName>
    <definedName name="LevelA2317" comment="0" localSheetId="0" hidden="1">""</definedName>
    <definedName name="LevelA2317C0" comment="NA==" localSheetId="0" hidden="1">""</definedName>
    <definedName name="LevelA2318" comment="0" localSheetId="0" hidden="1">""</definedName>
    <definedName name="LevelA2318C0" comment="NA==" localSheetId="0" hidden="1">""</definedName>
    <definedName name="LevelA2319" comment="0" localSheetId="0" hidden="1">""</definedName>
    <definedName name="LevelA2319C0" comment="NA==" localSheetId="0" hidden="1">""</definedName>
    <definedName name="LevelA231C0" comment="NA==" localSheetId="0" hidden="1">""</definedName>
    <definedName name="LevelA232" comment="0" localSheetId="0" hidden="1">""</definedName>
    <definedName name="LevelA2320" comment="0" localSheetId="0" hidden="1">""</definedName>
    <definedName name="LevelA2320C0" comment="NA==" localSheetId="0" hidden="1">""</definedName>
    <definedName name="LevelA2321" comment="0" localSheetId="0" hidden="1">""</definedName>
    <definedName name="LevelA2321C0" comment="NA==" localSheetId="0" hidden="1">""</definedName>
    <definedName name="LevelA2322" comment="0" localSheetId="0" hidden="1">""</definedName>
    <definedName name="LevelA2322C0" comment="NA==" localSheetId="0" hidden="1">""</definedName>
    <definedName name="LevelA2323" comment="0" localSheetId="0" hidden="1">""</definedName>
    <definedName name="LevelA2323C0" comment="NA==" localSheetId="0" hidden="1">""</definedName>
    <definedName name="LevelA2324" comment="0" localSheetId="0" hidden="1">""</definedName>
    <definedName name="LevelA2324C0" comment="NA==" localSheetId="0" hidden="1">""</definedName>
    <definedName name="LevelA2325" comment="0" localSheetId="0" hidden="1">""</definedName>
    <definedName name="LevelA2325C0" comment="NA==" localSheetId="0" hidden="1">""</definedName>
    <definedName name="LevelA2326" comment="0" localSheetId="0" hidden="1">""</definedName>
    <definedName name="LevelA2326C0" comment="NA==" localSheetId="0" hidden="1">""</definedName>
    <definedName name="LevelA2327" comment="0" localSheetId="0" hidden="1">""</definedName>
    <definedName name="LevelA2327C0" comment="NA==" localSheetId="0" hidden="1">""</definedName>
    <definedName name="LevelA2328" comment="0" localSheetId="0" hidden="1">""</definedName>
    <definedName name="LevelA2328C0" comment="NA==" localSheetId="0" hidden="1">""</definedName>
    <definedName name="LevelA2329" comment="0" localSheetId="0" hidden="1">""</definedName>
    <definedName name="LevelA2329C0" comment="NA==" localSheetId="0" hidden="1">""</definedName>
    <definedName name="LevelA232C0" comment="NA==" localSheetId="0" hidden="1">""</definedName>
    <definedName name="LevelA233" comment="0" localSheetId="0" hidden="1">""</definedName>
    <definedName name="LevelA2330" comment="0" localSheetId="0" hidden="1">""</definedName>
    <definedName name="LevelA2330C0" comment="NA==" localSheetId="0" hidden="1">""</definedName>
    <definedName name="LevelA2331" comment="0" localSheetId="0" hidden="1">""</definedName>
    <definedName name="LevelA2331C0" comment="NA==" localSheetId="0" hidden="1">""</definedName>
    <definedName name="LevelA2332" comment="0" localSheetId="0" hidden="1">""</definedName>
    <definedName name="LevelA2332C0" comment="NA==" localSheetId="0" hidden="1">""</definedName>
    <definedName name="LevelA2333" comment="0" localSheetId="0" hidden="1">""</definedName>
    <definedName name="LevelA2333C0" comment="NA==" localSheetId="0" hidden="1">""</definedName>
    <definedName name="LevelA2334" comment="0" localSheetId="0" hidden="1">""</definedName>
    <definedName name="LevelA2334C0" comment="NA==" localSheetId="0" hidden="1">""</definedName>
    <definedName name="LevelA2335" comment="0" localSheetId="0" hidden="1">""</definedName>
    <definedName name="LevelA2335C0" comment="NA==" localSheetId="0" hidden="1">""</definedName>
    <definedName name="LevelA2336" comment="0" localSheetId="0" hidden="1">""</definedName>
    <definedName name="LevelA2336C0" comment="NA==" localSheetId="0" hidden="1">""</definedName>
    <definedName name="LevelA2337" comment="0" localSheetId="0" hidden="1">""</definedName>
    <definedName name="LevelA2337C0" comment="NA==" localSheetId="0" hidden="1">""</definedName>
    <definedName name="LevelA2338" comment="0" localSheetId="0" hidden="1">""</definedName>
    <definedName name="LevelA2338C0" comment="NA==" localSheetId="0" hidden="1">""</definedName>
    <definedName name="LevelA2339" comment="0" localSheetId="0" hidden="1">""</definedName>
    <definedName name="LevelA2339C0" comment="NA==" localSheetId="0" hidden="1">""</definedName>
    <definedName name="LevelA233C0" comment="NA==" localSheetId="0" hidden="1">""</definedName>
    <definedName name="LevelA234" comment="0" localSheetId="0" hidden="1">""</definedName>
    <definedName name="LevelA2340" comment="0" localSheetId="0" hidden="1">""</definedName>
    <definedName name="LevelA2340C0" comment="NA==" localSheetId="0" hidden="1">""</definedName>
    <definedName name="LevelA2341" comment="0" localSheetId="0" hidden="1">""</definedName>
    <definedName name="LevelA2341C0" comment="NA==" localSheetId="0" hidden="1">""</definedName>
    <definedName name="LevelA2342" comment="0" localSheetId="0" hidden="1">""</definedName>
    <definedName name="LevelA2342C0" comment="NA==" localSheetId="0" hidden="1">""</definedName>
    <definedName name="LevelA2343" comment="0" localSheetId="0" hidden="1">""</definedName>
    <definedName name="LevelA2343C0" comment="NA==" localSheetId="0" hidden="1">""</definedName>
    <definedName name="LevelA2344" comment="0" localSheetId="0" hidden="1">""</definedName>
    <definedName name="LevelA2344C0" comment="NA==" localSheetId="0" hidden="1">""</definedName>
    <definedName name="LevelA2345" comment="0" localSheetId="0" hidden="1">""</definedName>
    <definedName name="LevelA2345C0" comment="NA==" localSheetId="0" hidden="1">""</definedName>
    <definedName name="LevelA2346" comment="0" localSheetId="0" hidden="1">""</definedName>
    <definedName name="LevelA2346C0" comment="NA==" localSheetId="0" hidden="1">""</definedName>
    <definedName name="LevelA2347" comment="0" localSheetId="0" hidden="1">""</definedName>
    <definedName name="LevelA2347C0" comment="NA==" localSheetId="0" hidden="1">""</definedName>
    <definedName name="LevelA2348" comment="0" localSheetId="0" hidden="1">""</definedName>
    <definedName name="LevelA2348C0" comment="NA==" localSheetId="0" hidden="1">""</definedName>
    <definedName name="LevelA2349" comment="0" localSheetId="0" hidden="1">""</definedName>
    <definedName name="LevelA2349C0" comment="NA==" localSheetId="0" hidden="1">""</definedName>
    <definedName name="LevelA234C0" comment="NA==" localSheetId="0" hidden="1">""</definedName>
    <definedName name="LevelA235" comment="0" localSheetId="0" hidden="1">""</definedName>
    <definedName name="LevelA2350" comment="0" localSheetId="0" hidden="1">""</definedName>
    <definedName name="LevelA2350C0" comment="NA==" localSheetId="0" hidden="1">""</definedName>
    <definedName name="LevelA2351" comment="0" localSheetId="0" hidden="1">""</definedName>
    <definedName name="LevelA2351C0" comment="NA==" localSheetId="0" hidden="1">""</definedName>
    <definedName name="LevelA2352" comment="0" localSheetId="0" hidden="1">""</definedName>
    <definedName name="LevelA2352C0" comment="NA==" localSheetId="0" hidden="1">""</definedName>
    <definedName name="LevelA2353" comment="0" localSheetId="0" hidden="1">""</definedName>
    <definedName name="LevelA2353C0" comment="NA==" localSheetId="0" hidden="1">""</definedName>
    <definedName name="LevelA2354" comment="0" localSheetId="0" hidden="1">""</definedName>
    <definedName name="LevelA2354C0" comment="NA==" localSheetId="0" hidden="1">""</definedName>
    <definedName name="LevelA2355" comment="0" localSheetId="0" hidden="1">""</definedName>
    <definedName name="LevelA2355C0" comment="NA==" localSheetId="0" hidden="1">""</definedName>
    <definedName name="LevelA2356" comment="0" localSheetId="0" hidden="1">""</definedName>
    <definedName name="LevelA2356C0" comment="NA==" localSheetId="0" hidden="1">""</definedName>
    <definedName name="LevelA2357" comment="0" localSheetId="0" hidden="1">""</definedName>
    <definedName name="LevelA2357C0" comment="NA==" localSheetId="0" hidden="1">""</definedName>
    <definedName name="LevelA2358" comment="0" localSheetId="0" hidden="1">""</definedName>
    <definedName name="LevelA2358C0" comment="NA==" localSheetId="0" hidden="1">""</definedName>
    <definedName name="LevelA2359" comment="0" localSheetId="0" hidden="1">""</definedName>
    <definedName name="LevelA2359C0" comment="NA==" localSheetId="0" hidden="1">""</definedName>
    <definedName name="LevelA235C0" comment="NA==" localSheetId="0" hidden="1">""</definedName>
    <definedName name="LevelA236" comment="0" localSheetId="0" hidden="1">""</definedName>
    <definedName name="LevelA2360" comment="0" localSheetId="0" hidden="1">""</definedName>
    <definedName name="LevelA2360C0" comment="NA==" localSheetId="0" hidden="1">""</definedName>
    <definedName name="LevelA2361" comment="0" localSheetId="0" hidden="1">""</definedName>
    <definedName name="LevelA2361C0" comment="NA==" localSheetId="0" hidden="1">""</definedName>
    <definedName name="LevelA2362" comment="0" localSheetId="0" hidden="1">""</definedName>
    <definedName name="LevelA2362C0" comment="NA==" localSheetId="0" hidden="1">""</definedName>
    <definedName name="LevelA2363" comment="0" localSheetId="0" hidden="1">""</definedName>
    <definedName name="LevelA2363C0" comment="NA==" localSheetId="0" hidden="1">""</definedName>
    <definedName name="LevelA2364" comment="0" localSheetId="0" hidden="1">""</definedName>
    <definedName name="LevelA2364C0" comment="NA==" localSheetId="0" hidden="1">""</definedName>
    <definedName name="LevelA2365" comment="0" localSheetId="0" hidden="1">""</definedName>
    <definedName name="LevelA2365C0" comment="NA==" localSheetId="0" hidden="1">""</definedName>
    <definedName name="LevelA2366" comment="0" localSheetId="0" hidden="1">""</definedName>
    <definedName name="LevelA2366C0" comment="NA==" localSheetId="0" hidden="1">""</definedName>
    <definedName name="LevelA2367" comment="0" localSheetId="0" hidden="1">""</definedName>
    <definedName name="LevelA2367C0" comment="NA==" localSheetId="0" hidden="1">""</definedName>
    <definedName name="LevelA2368" comment="0" localSheetId="0" hidden="1">""</definedName>
    <definedName name="LevelA2368C0" comment="NA==" localSheetId="0" hidden="1">""</definedName>
    <definedName name="LevelA2369" comment="0" localSheetId="0" hidden="1">""</definedName>
    <definedName name="LevelA2369C0" comment="NA==" localSheetId="0" hidden="1">""</definedName>
    <definedName name="LevelA236C0" comment="NA==" localSheetId="0" hidden="1">""</definedName>
    <definedName name="LevelA237" comment="0" localSheetId="0" hidden="1">""</definedName>
    <definedName name="LevelA2370" comment="0" localSheetId="0" hidden="1">""</definedName>
    <definedName name="LevelA2370C0" comment="NA==" localSheetId="0" hidden="1">""</definedName>
    <definedName name="LevelA2371" comment="0" localSheetId="0" hidden="1">""</definedName>
    <definedName name="LevelA2371C0" comment="NA==" localSheetId="0" hidden="1">""</definedName>
    <definedName name="LevelA2372" comment="0" localSheetId="0" hidden="1">""</definedName>
    <definedName name="LevelA2372C0" comment="NA==" localSheetId="0" hidden="1">""</definedName>
    <definedName name="LevelA2373" comment="0" localSheetId="0" hidden="1">""</definedName>
    <definedName name="LevelA2373C0" comment="NA==" localSheetId="0" hidden="1">""</definedName>
    <definedName name="LevelA2374" comment="0" localSheetId="0" hidden="1">""</definedName>
    <definedName name="LevelA2374C0" comment="NA==" localSheetId="0" hidden="1">""</definedName>
    <definedName name="LevelA2375" comment="0" localSheetId="0" hidden="1">""</definedName>
    <definedName name="LevelA2375C0" comment="NA==" localSheetId="0" hidden="1">""</definedName>
    <definedName name="LevelA2376" comment="0" localSheetId="0" hidden="1">""</definedName>
    <definedName name="LevelA2376C0" comment="NA==" localSheetId="0" hidden="1">""</definedName>
    <definedName name="LevelA2377" comment="0" localSheetId="0" hidden="1">""</definedName>
    <definedName name="LevelA2377C0" comment="NA==" localSheetId="0" hidden="1">""</definedName>
    <definedName name="LevelA2378" comment="0" localSheetId="0" hidden="1">""</definedName>
    <definedName name="LevelA2378C0" comment="NA==" localSheetId="0" hidden="1">""</definedName>
    <definedName name="LevelA2379" comment="0" localSheetId="0" hidden="1">""</definedName>
    <definedName name="LevelA2379C0" comment="NA==" localSheetId="0" hidden="1">""</definedName>
    <definedName name="LevelA237C0" comment="NA==" localSheetId="0" hidden="1">""</definedName>
    <definedName name="LevelA238" comment="0" localSheetId="0" hidden="1">""</definedName>
    <definedName name="LevelA2380" comment="0" localSheetId="0" hidden="1">""</definedName>
    <definedName name="LevelA2380C0" comment="NA==" localSheetId="0" hidden="1">""</definedName>
    <definedName name="LevelA2381" comment="0" localSheetId="0" hidden="1">""</definedName>
    <definedName name="LevelA2381C0" comment="NA==" localSheetId="0" hidden="1">""</definedName>
    <definedName name="LevelA2382" comment="0" localSheetId="0" hidden="1">""</definedName>
    <definedName name="LevelA2382C0" comment="NA==" localSheetId="0" hidden="1">""</definedName>
    <definedName name="LevelA2383" comment="0" localSheetId="0" hidden="1">""</definedName>
    <definedName name="LevelA2383C0" comment="NA==" localSheetId="0" hidden="1">""</definedName>
    <definedName name="LevelA2384" comment="0" localSheetId="0" hidden="1">""</definedName>
    <definedName name="LevelA2384C0" comment="NA==" localSheetId="0" hidden="1">""</definedName>
    <definedName name="LevelA2385" comment="0" localSheetId="0" hidden="1">""</definedName>
    <definedName name="LevelA2385C0" comment="NA==" localSheetId="0" hidden="1">""</definedName>
    <definedName name="LevelA2386" comment="0" localSheetId="0" hidden="1">""</definedName>
    <definedName name="LevelA2386C0" comment="NA==" localSheetId="0" hidden="1">""</definedName>
    <definedName name="LevelA2387" comment="0" localSheetId="0" hidden="1">""</definedName>
    <definedName name="LevelA2387C0" comment="NA==" localSheetId="0" hidden="1">""</definedName>
    <definedName name="LevelA2388" comment="0" localSheetId="0" hidden="1">""</definedName>
    <definedName name="LevelA2388C0" comment="NA==" localSheetId="0" hidden="1">""</definedName>
    <definedName name="LevelA2389" comment="0" localSheetId="0" hidden="1">""</definedName>
    <definedName name="LevelA2389C0" comment="NA==" localSheetId="0" hidden="1">""</definedName>
    <definedName name="LevelA238C0" comment="NA==" localSheetId="0" hidden="1">""</definedName>
    <definedName name="LevelA239" comment="0" localSheetId="0" hidden="1">""</definedName>
    <definedName name="LevelA2390" comment="0" localSheetId="0" hidden="1">""</definedName>
    <definedName name="LevelA2390C0" comment="NA==" localSheetId="0" hidden="1">""</definedName>
    <definedName name="LevelA2391" comment="0" localSheetId="0" hidden="1">""</definedName>
    <definedName name="LevelA2391C0" comment="NA==" localSheetId="0" hidden="1">""</definedName>
    <definedName name="LevelA2392" comment="0" localSheetId="0" hidden="1">""</definedName>
    <definedName name="LevelA2392C0" comment="NA==" localSheetId="0" hidden="1">""</definedName>
    <definedName name="LevelA2393" comment="0" localSheetId="0" hidden="1">""</definedName>
    <definedName name="LevelA2393C0" comment="NA==" localSheetId="0" hidden="1">""</definedName>
    <definedName name="LevelA2394" comment="0" localSheetId="0" hidden="1">""</definedName>
    <definedName name="LevelA2394C0" comment="NA==" localSheetId="0" hidden="1">""</definedName>
    <definedName name="LevelA2395" comment="0" localSheetId="0" hidden="1">""</definedName>
    <definedName name="LevelA2395C0" comment="NA==" localSheetId="0" hidden="1">""</definedName>
    <definedName name="LevelA2396" comment="0" localSheetId="0" hidden="1">""</definedName>
    <definedName name="LevelA2396C0" comment="NA==" localSheetId="0" hidden="1">""</definedName>
    <definedName name="LevelA2397" comment="0" localSheetId="0" hidden="1">""</definedName>
    <definedName name="LevelA2397C0" comment="NA==" localSheetId="0" hidden="1">""</definedName>
    <definedName name="LevelA2398" comment="0" localSheetId="0" hidden="1">""</definedName>
    <definedName name="LevelA2398C0" comment="NA==" localSheetId="0" hidden="1">""</definedName>
    <definedName name="LevelA2399" comment="0" localSheetId="0" hidden="1">""</definedName>
    <definedName name="LevelA2399C0" comment="NA==" localSheetId="0" hidden="1">""</definedName>
    <definedName name="LevelA239C0" comment="NA==" localSheetId="0" hidden="1">""</definedName>
    <definedName name="LevelA23C0" comment="NA==" localSheetId="0" hidden="1">""</definedName>
    <definedName name="LevelA24" comment="0" localSheetId="0" hidden="1">""</definedName>
    <definedName name="LevelA240" comment="0" localSheetId="0" hidden="1">""</definedName>
    <definedName name="LevelA2400" comment="0" localSheetId="0" hidden="1">""</definedName>
    <definedName name="LevelA2400C0" comment="NA==" localSheetId="0" hidden="1">""</definedName>
    <definedName name="LevelA2401" comment="0" localSheetId="0" hidden="1">""</definedName>
    <definedName name="LevelA2401C0" comment="NA==" localSheetId="0" hidden="1">""</definedName>
    <definedName name="LevelA2402" comment="0" localSheetId="0" hidden="1">""</definedName>
    <definedName name="LevelA2402C0" comment="NA==" localSheetId="0" hidden="1">""</definedName>
    <definedName name="LevelA2403" comment="0" localSheetId="0" hidden="1">""</definedName>
    <definedName name="LevelA2403C0" comment="NA==" localSheetId="0" hidden="1">""</definedName>
    <definedName name="LevelA2404" comment="0" localSheetId="0" hidden="1">""</definedName>
    <definedName name="LevelA2404C0" comment="NA==" localSheetId="0" hidden="1">""</definedName>
    <definedName name="LevelA2405" comment="0" localSheetId="0" hidden="1">""</definedName>
    <definedName name="LevelA2405C0" comment="NA==" localSheetId="0" hidden="1">""</definedName>
    <definedName name="LevelA2406" comment="0" localSheetId="0" hidden="1">""</definedName>
    <definedName name="LevelA2406C0" comment="NA==" localSheetId="0" hidden="1">""</definedName>
    <definedName name="LevelA2407" comment="0" localSheetId="0" hidden="1">""</definedName>
    <definedName name="LevelA2407C0" comment="NA==" localSheetId="0" hidden="1">""</definedName>
    <definedName name="LevelA2408" comment="0" localSheetId="0" hidden="1">""</definedName>
    <definedName name="LevelA2408C0" comment="NA==" localSheetId="0" hidden="1">""</definedName>
    <definedName name="LevelA2409" comment="0" localSheetId="0" hidden="1">""</definedName>
    <definedName name="LevelA2409C0" comment="NA==" localSheetId="0" hidden="1">""</definedName>
    <definedName name="LevelA240C0" comment="NA==" localSheetId="0" hidden="1">""</definedName>
    <definedName name="LevelA241" comment="0" localSheetId="0" hidden="1">""</definedName>
    <definedName name="LevelA2410" comment="0" localSheetId="0" hidden="1">""</definedName>
    <definedName name="LevelA2410C0" comment="NA==" localSheetId="0" hidden="1">""</definedName>
    <definedName name="LevelA2411" comment="0" localSheetId="0" hidden="1">""</definedName>
    <definedName name="LevelA2411C0" comment="NA==" localSheetId="0" hidden="1">""</definedName>
    <definedName name="LevelA2412" comment="0" localSheetId="0" hidden="1">""</definedName>
    <definedName name="LevelA2412C0" comment="NA==" localSheetId="0" hidden="1">""</definedName>
    <definedName name="LevelA2413" comment="0" localSheetId="0" hidden="1">""</definedName>
    <definedName name="LevelA2413C0" comment="NA==" localSheetId="0" hidden="1">""</definedName>
    <definedName name="LevelA2414" comment="0" localSheetId="0" hidden="1">""</definedName>
    <definedName name="LevelA2414C0" comment="NA==" localSheetId="0" hidden="1">""</definedName>
    <definedName name="LevelA2415" comment="0" localSheetId="0" hidden="1">""</definedName>
    <definedName name="LevelA2415C0" comment="NA==" localSheetId="0" hidden="1">""</definedName>
    <definedName name="LevelA2416" comment="0" localSheetId="0" hidden="1">""</definedName>
    <definedName name="LevelA2416C0" comment="NA==" localSheetId="0" hidden="1">""</definedName>
    <definedName name="LevelA2417" comment="0" localSheetId="0" hidden="1">""</definedName>
    <definedName name="LevelA2417C0" comment="NA==" localSheetId="0" hidden="1">""</definedName>
    <definedName name="LevelA2418" comment="0" localSheetId="0" hidden="1">""</definedName>
    <definedName name="LevelA2418C0" comment="NA==" localSheetId="0" hidden="1">""</definedName>
    <definedName name="LevelA2419" comment="0" localSheetId="0" hidden="1">""</definedName>
    <definedName name="LevelA2419C0" comment="NA==" localSheetId="0" hidden="1">""</definedName>
    <definedName name="LevelA241C0" comment="NA==" localSheetId="0" hidden="1">""</definedName>
    <definedName name="LevelA242" comment="0" localSheetId="0" hidden="1">""</definedName>
    <definedName name="LevelA2420" comment="0" localSheetId="0" hidden="1">""</definedName>
    <definedName name="LevelA2420C0" comment="NA==" localSheetId="0" hidden="1">""</definedName>
    <definedName name="LevelA2421" comment="0" localSheetId="0" hidden="1">""</definedName>
    <definedName name="LevelA2421C0" comment="NA==" localSheetId="0" hidden="1">""</definedName>
    <definedName name="LevelA2422" comment="0" localSheetId="0" hidden="1">""</definedName>
    <definedName name="LevelA2422C0" comment="NA==" localSheetId="0" hidden="1">""</definedName>
    <definedName name="LevelA2423" comment="0" localSheetId="0" hidden="1">""</definedName>
    <definedName name="LevelA2423C0" comment="NA==" localSheetId="0" hidden="1">""</definedName>
    <definedName name="LevelA2424" comment="0" localSheetId="0" hidden="1">""</definedName>
    <definedName name="LevelA2424C0" comment="NA==" localSheetId="0" hidden="1">""</definedName>
    <definedName name="LevelA2425" comment="0" localSheetId="0" hidden="1">""</definedName>
    <definedName name="LevelA2425C0" comment="NA==" localSheetId="0" hidden="1">""</definedName>
    <definedName name="LevelA2426" comment="0" localSheetId="0" hidden="1">""</definedName>
    <definedName name="LevelA2426C0" comment="NA==" localSheetId="0" hidden="1">""</definedName>
    <definedName name="LevelA2427" comment="0" localSheetId="0" hidden="1">""</definedName>
    <definedName name="LevelA2427C0" comment="NA==" localSheetId="0" hidden="1">""</definedName>
    <definedName name="LevelA2428" comment="0" localSheetId="0" hidden="1">""</definedName>
    <definedName name="LevelA2428C0" comment="NA==" localSheetId="0" hidden="1">""</definedName>
    <definedName name="LevelA2429" comment="0" localSheetId="0" hidden="1">""</definedName>
    <definedName name="LevelA2429C0" comment="NA==" localSheetId="0" hidden="1">""</definedName>
    <definedName name="LevelA242C0" comment="NA==" localSheetId="0" hidden="1">""</definedName>
    <definedName name="LevelA243" comment="0" localSheetId="0" hidden="1">""</definedName>
    <definedName name="LevelA2430" comment="0" localSheetId="0" hidden="1">""</definedName>
    <definedName name="LevelA2430C0" comment="NA==" localSheetId="0" hidden="1">""</definedName>
    <definedName name="LevelA2431" comment="0" localSheetId="0" hidden="1">""</definedName>
    <definedName name="LevelA2431C0" comment="NA==" localSheetId="0" hidden="1">""</definedName>
    <definedName name="LevelA2432" comment="0" localSheetId="0" hidden="1">""</definedName>
    <definedName name="LevelA2432C0" comment="NA==" localSheetId="0" hidden="1">""</definedName>
    <definedName name="LevelA2433" comment="0" localSheetId="0" hidden="1">""</definedName>
    <definedName name="LevelA2433C0" comment="NA==" localSheetId="0" hidden="1">""</definedName>
    <definedName name="LevelA2434" comment="0" localSheetId="0" hidden="1">""</definedName>
    <definedName name="LevelA2434C0" comment="NA==" localSheetId="0" hidden="1">""</definedName>
    <definedName name="LevelA2435" comment="0" localSheetId="0" hidden="1">""</definedName>
    <definedName name="LevelA2435C0" comment="NA==" localSheetId="0" hidden="1">""</definedName>
    <definedName name="LevelA2436" comment="0" localSheetId="0" hidden="1">""</definedName>
    <definedName name="LevelA2436C0" comment="NA==" localSheetId="0" hidden="1">""</definedName>
    <definedName name="LevelA2437" comment="0" localSheetId="0" hidden="1">""</definedName>
    <definedName name="LevelA2437C0" comment="NA==" localSheetId="0" hidden="1">""</definedName>
    <definedName name="LevelA2438" comment="0" localSheetId="0" hidden="1">""</definedName>
    <definedName name="LevelA2438C0" comment="NA==" localSheetId="0" hidden="1">""</definedName>
    <definedName name="LevelA2439" comment="0" localSheetId="0" hidden="1">""</definedName>
    <definedName name="LevelA2439C0" comment="NA==" localSheetId="0" hidden="1">""</definedName>
    <definedName name="LevelA243C0" comment="NA==" localSheetId="0" hidden="1">""</definedName>
    <definedName name="LevelA244" comment="0" localSheetId="0" hidden="1">""</definedName>
    <definedName name="LevelA2440" comment="0" localSheetId="0" hidden="1">""</definedName>
    <definedName name="LevelA2440C0" comment="NA==" localSheetId="0" hidden="1">""</definedName>
    <definedName name="LevelA2441" comment="0" localSheetId="0" hidden="1">""</definedName>
    <definedName name="LevelA2441C0" comment="NA==" localSheetId="0" hidden="1">""</definedName>
    <definedName name="LevelA2442" comment="0" localSheetId="0" hidden="1">""</definedName>
    <definedName name="LevelA2442C0" comment="NA==" localSheetId="0" hidden="1">""</definedName>
    <definedName name="LevelA2443" comment="0" localSheetId="0" hidden="1">""</definedName>
    <definedName name="LevelA2443C0" comment="NA==" localSheetId="0" hidden="1">""</definedName>
    <definedName name="LevelA2444" comment="0" localSheetId="0" hidden="1">""</definedName>
    <definedName name="LevelA2444C0" comment="NA==" localSheetId="0" hidden="1">""</definedName>
    <definedName name="LevelA2445" comment="0" localSheetId="0" hidden="1">""</definedName>
    <definedName name="LevelA2445C0" comment="NA==" localSheetId="0" hidden="1">""</definedName>
    <definedName name="LevelA2446" comment="0" localSheetId="0" hidden="1">""</definedName>
    <definedName name="LevelA2446C0" comment="NA==" localSheetId="0" hidden="1">""</definedName>
    <definedName name="LevelA2447" comment="0" localSheetId="0" hidden="1">""</definedName>
    <definedName name="LevelA2447C0" comment="NA==" localSheetId="0" hidden="1">""</definedName>
    <definedName name="LevelA2448" comment="0" localSheetId="0" hidden="1">""</definedName>
    <definedName name="LevelA2448C0" comment="NA==" localSheetId="0" hidden="1">""</definedName>
    <definedName name="LevelA2449" comment="0" localSheetId="0" hidden="1">""</definedName>
    <definedName name="LevelA2449C0" comment="NA==" localSheetId="0" hidden="1">""</definedName>
    <definedName name="LevelA244C0" comment="NA==" localSheetId="0" hidden="1">""</definedName>
    <definedName name="LevelA245" comment="0" localSheetId="0" hidden="1">""</definedName>
    <definedName name="LevelA2450" comment="0" localSheetId="0" hidden="1">""</definedName>
    <definedName name="LevelA2450C0" comment="NA==" localSheetId="0" hidden="1">""</definedName>
    <definedName name="LevelA2451" comment="0" localSheetId="0" hidden="1">""</definedName>
    <definedName name="LevelA2451C0" comment="NA==" localSheetId="0" hidden="1">""</definedName>
    <definedName name="LevelA2452" comment="0" localSheetId="0" hidden="1">""</definedName>
    <definedName name="LevelA2452C0" comment="NA==" localSheetId="0" hidden="1">""</definedName>
    <definedName name="LevelA2453" comment="0" localSheetId="0" hidden="1">""</definedName>
    <definedName name="LevelA2453C0" comment="NA==" localSheetId="0" hidden="1">""</definedName>
    <definedName name="LevelA2454" comment="0" localSheetId="0" hidden="1">""</definedName>
    <definedName name="LevelA2454C0" comment="NA==" localSheetId="0" hidden="1">""</definedName>
    <definedName name="LevelA2455" comment="0" localSheetId="0" hidden="1">""</definedName>
    <definedName name="LevelA2455C0" comment="NA==" localSheetId="0" hidden="1">""</definedName>
    <definedName name="LevelA2456" comment="0" localSheetId="0" hidden="1">""</definedName>
    <definedName name="LevelA2456C0" comment="NA==" localSheetId="0" hidden="1">""</definedName>
    <definedName name="LevelA2457" comment="0" localSheetId="0" hidden="1">""</definedName>
    <definedName name="LevelA2457C0" comment="NA==" localSheetId="0" hidden="1">""</definedName>
    <definedName name="LevelA2458" comment="0" localSheetId="0" hidden="1">""</definedName>
    <definedName name="LevelA2458C0" comment="NA==" localSheetId="0" hidden="1">""</definedName>
    <definedName name="LevelA2459" comment="0" localSheetId="0" hidden="1">""</definedName>
    <definedName name="LevelA2459C0" comment="NA==" localSheetId="0" hidden="1">""</definedName>
    <definedName name="LevelA245C0" comment="NA==" localSheetId="0" hidden="1">""</definedName>
    <definedName name="LevelA246" comment="0" localSheetId="0" hidden="1">""</definedName>
    <definedName name="LevelA2460" comment="0" localSheetId="0" hidden="1">""</definedName>
    <definedName name="LevelA2460C0" comment="NA==" localSheetId="0" hidden="1">""</definedName>
    <definedName name="LevelA2461" comment="0" localSheetId="0" hidden="1">""</definedName>
    <definedName name="LevelA2461C0" comment="NA==" localSheetId="0" hidden="1">""</definedName>
    <definedName name="LevelA2462" comment="0" localSheetId="0" hidden="1">""</definedName>
    <definedName name="LevelA2462C0" comment="NA==" localSheetId="0" hidden="1">""</definedName>
    <definedName name="LevelA2463" comment="0" localSheetId="0" hidden="1">""</definedName>
    <definedName name="LevelA2463C0" comment="NA==" localSheetId="0" hidden="1">""</definedName>
    <definedName name="LevelA2464" comment="0" localSheetId="0" hidden="1">""</definedName>
    <definedName name="LevelA2464C0" comment="NA==" localSheetId="0" hidden="1">""</definedName>
    <definedName name="LevelA2465" comment="0" localSheetId="0" hidden="1">""</definedName>
    <definedName name="LevelA2465C0" comment="NA==" localSheetId="0" hidden="1">""</definedName>
    <definedName name="LevelA2466" comment="0" localSheetId="0" hidden="1">""</definedName>
    <definedName name="LevelA2466C0" comment="NA==" localSheetId="0" hidden="1">""</definedName>
    <definedName name="LevelA2467" comment="0" localSheetId="0" hidden="1">""</definedName>
    <definedName name="LevelA2467C0" comment="NA==" localSheetId="0" hidden="1">""</definedName>
    <definedName name="LevelA2468" comment="0" localSheetId="0" hidden="1">""</definedName>
    <definedName name="LevelA2468C0" comment="NA==" localSheetId="0" hidden="1">""</definedName>
    <definedName name="LevelA2469" comment="0" localSheetId="0" hidden="1">""</definedName>
    <definedName name="LevelA2469C0" comment="NA==" localSheetId="0" hidden="1">""</definedName>
    <definedName name="LevelA246C0" comment="NA==" localSheetId="0" hidden="1">""</definedName>
    <definedName name="LevelA247" comment="0" localSheetId="0" hidden="1">""</definedName>
    <definedName name="LevelA2470" comment="0" localSheetId="0" hidden="1">""</definedName>
    <definedName name="LevelA2470C0" comment="NA==" localSheetId="0" hidden="1">""</definedName>
    <definedName name="LevelA2471" comment="0" localSheetId="0" hidden="1">""</definedName>
    <definedName name="LevelA2471C0" comment="NA==" localSheetId="0" hidden="1">""</definedName>
    <definedName name="LevelA2472" comment="0" localSheetId="0" hidden="1">""</definedName>
    <definedName name="LevelA2472C0" comment="NA==" localSheetId="0" hidden="1">""</definedName>
    <definedName name="LevelA2473" comment="0" localSheetId="0" hidden="1">""</definedName>
    <definedName name="LevelA2473C0" comment="NA==" localSheetId="0" hidden="1">""</definedName>
    <definedName name="LevelA2474" comment="0" localSheetId="0" hidden="1">""</definedName>
    <definedName name="LevelA2474C0" comment="NA==" localSheetId="0" hidden="1">""</definedName>
    <definedName name="LevelA2475" comment="0" localSheetId="0" hidden="1">""</definedName>
    <definedName name="LevelA2475C0" comment="NA==" localSheetId="0" hidden="1">""</definedName>
    <definedName name="LevelA2476" comment="0" localSheetId="0" hidden="1">""</definedName>
    <definedName name="LevelA2476C0" comment="NA==" localSheetId="0" hidden="1">""</definedName>
    <definedName name="LevelA2477" comment="0" localSheetId="0" hidden="1">""</definedName>
    <definedName name="LevelA2477C0" comment="NA==" localSheetId="0" hidden="1">""</definedName>
    <definedName name="LevelA2478" comment="0" localSheetId="0" hidden="1">""</definedName>
    <definedName name="LevelA2478C0" comment="NA==" localSheetId="0" hidden="1">""</definedName>
    <definedName name="LevelA2479" comment="0" localSheetId="0" hidden="1">""</definedName>
    <definedName name="LevelA2479C0" comment="NA==" localSheetId="0" hidden="1">""</definedName>
    <definedName name="LevelA247C0" comment="NA==" localSheetId="0" hidden="1">""</definedName>
    <definedName name="LevelA248" comment="0" localSheetId="0" hidden="1">""</definedName>
    <definedName name="LevelA2480" comment="0" localSheetId="0" hidden="1">""</definedName>
    <definedName name="LevelA2480C0" comment="NA==" localSheetId="0" hidden="1">""</definedName>
    <definedName name="LevelA2481" comment="0" localSheetId="0" hidden="1">""</definedName>
    <definedName name="LevelA2481C0" comment="NA==" localSheetId="0" hidden="1">""</definedName>
    <definedName name="LevelA2482" comment="0" localSheetId="0" hidden="1">""</definedName>
    <definedName name="LevelA2482C0" comment="NA==" localSheetId="0" hidden="1">""</definedName>
    <definedName name="LevelA2483" comment="0" localSheetId="0" hidden="1">""</definedName>
    <definedName name="LevelA2483C0" comment="NA==" localSheetId="0" hidden="1">""</definedName>
    <definedName name="LevelA2484" comment="0" localSheetId="0" hidden="1">""</definedName>
    <definedName name="LevelA2484C0" comment="NA==" localSheetId="0" hidden="1">""</definedName>
    <definedName name="LevelA2485" comment="0" localSheetId="0" hidden="1">""</definedName>
    <definedName name="LevelA2485C0" comment="NA==" localSheetId="0" hidden="1">""</definedName>
    <definedName name="LevelA2486" comment="0" localSheetId="0" hidden="1">""</definedName>
    <definedName name="LevelA2486C0" comment="NA==" localSheetId="0" hidden="1">""</definedName>
    <definedName name="LevelA2487" comment="0" localSheetId="0" hidden="1">""</definedName>
    <definedName name="LevelA2487C0" comment="NA==" localSheetId="0" hidden="1">""</definedName>
    <definedName name="LevelA2488" comment="0" localSheetId="0" hidden="1">""</definedName>
    <definedName name="LevelA2488C0" comment="NA==" localSheetId="0" hidden="1">""</definedName>
    <definedName name="LevelA2489" comment="0" localSheetId="0" hidden="1">""</definedName>
    <definedName name="LevelA2489C0" comment="NA==" localSheetId="0" hidden="1">""</definedName>
    <definedName name="LevelA248C0" comment="NA==" localSheetId="0" hidden="1">""</definedName>
    <definedName name="LevelA249" comment="0" localSheetId="0" hidden="1">""</definedName>
    <definedName name="LevelA2490" comment="0" localSheetId="0" hidden="1">""</definedName>
    <definedName name="LevelA2490C0" comment="NA==" localSheetId="0" hidden="1">""</definedName>
    <definedName name="LevelA2491" comment="0" localSheetId="0" hidden="1">""</definedName>
    <definedName name="LevelA2491C0" comment="NA==" localSheetId="0" hidden="1">""</definedName>
    <definedName name="LevelA2492" comment="0" localSheetId="0" hidden="1">""</definedName>
    <definedName name="LevelA2492C0" comment="NA==" localSheetId="0" hidden="1">""</definedName>
    <definedName name="LevelA2493" comment="0" localSheetId="0" hidden="1">""</definedName>
    <definedName name="LevelA2493C0" comment="NA==" localSheetId="0" hidden="1">""</definedName>
    <definedName name="LevelA2494" comment="0" localSheetId="0" hidden="1">""</definedName>
    <definedName name="LevelA2494C0" comment="NA==" localSheetId="0" hidden="1">""</definedName>
    <definedName name="LevelA2495" comment="0" localSheetId="0" hidden="1">""</definedName>
    <definedName name="LevelA2495C0" comment="NA==" localSheetId="0" hidden="1">""</definedName>
    <definedName name="LevelA2496" comment="0" localSheetId="0" hidden="1">""</definedName>
    <definedName name="LevelA2496C0" comment="NA==" localSheetId="0" hidden="1">""</definedName>
    <definedName name="LevelA2497" comment="0" localSheetId="0" hidden="1">""</definedName>
    <definedName name="LevelA2497C0" comment="NA==" localSheetId="0" hidden="1">""</definedName>
    <definedName name="LevelA2498" comment="0" localSheetId="0" hidden="1">""</definedName>
    <definedName name="LevelA2498C0" comment="NA==" localSheetId="0" hidden="1">""</definedName>
    <definedName name="LevelA2499" comment="0" localSheetId="0" hidden="1">""</definedName>
    <definedName name="LevelA2499C0" comment="NA==" localSheetId="0" hidden="1">""</definedName>
    <definedName name="LevelA249C0" comment="NA==" localSheetId="0" hidden="1">""</definedName>
    <definedName name="LevelA24C0" comment="NA==" localSheetId="0" hidden="1">""</definedName>
    <definedName name="LevelA25" comment="0" localSheetId="0" hidden="1">""</definedName>
    <definedName name="LevelA250" comment="0" localSheetId="0" hidden="1">""</definedName>
    <definedName name="LevelA2500" comment="0" localSheetId="0" hidden="1">""</definedName>
    <definedName name="LevelA2500C0" comment="NA==" localSheetId="0" hidden="1">""</definedName>
    <definedName name="LevelA2501" comment="0" localSheetId="0" hidden="1">""</definedName>
    <definedName name="LevelA2501C0" comment="NA==" localSheetId="0" hidden="1">""</definedName>
    <definedName name="LevelA2502" comment="0" localSheetId="0" hidden="1">""</definedName>
    <definedName name="LevelA2502C0" comment="NA==" localSheetId="0" hidden="1">""</definedName>
    <definedName name="LevelA2503" comment="0" localSheetId="0" hidden="1">""</definedName>
    <definedName name="LevelA2503C0" comment="NA==" localSheetId="0" hidden="1">""</definedName>
    <definedName name="LevelA2504" comment="0" localSheetId="0" hidden="1">""</definedName>
    <definedName name="LevelA2504C0" comment="NA==" localSheetId="0" hidden="1">""</definedName>
    <definedName name="LevelA2505" comment="0" localSheetId="0" hidden="1">""</definedName>
    <definedName name="LevelA2505C0" comment="NA==" localSheetId="0" hidden="1">""</definedName>
    <definedName name="LevelA2506" comment="0" localSheetId="0" hidden="1">""</definedName>
    <definedName name="LevelA2506C0" comment="NA==" localSheetId="0" hidden="1">""</definedName>
    <definedName name="LevelA2507" comment="0" localSheetId="0" hidden="1">""</definedName>
    <definedName name="LevelA2507C0" comment="NA==" localSheetId="0" hidden="1">""</definedName>
    <definedName name="LevelA2508" comment="0" localSheetId="0" hidden="1">""</definedName>
    <definedName name="LevelA2508C0" comment="NA==" localSheetId="0" hidden="1">""</definedName>
    <definedName name="LevelA2509" comment="0" localSheetId="0" hidden="1">""</definedName>
    <definedName name="LevelA2509C0" comment="NA==" localSheetId="0" hidden="1">""</definedName>
    <definedName name="LevelA250C0" comment="NA==" localSheetId="0" hidden="1">""</definedName>
    <definedName name="LevelA251" comment="0" localSheetId="0" hidden="1">""</definedName>
    <definedName name="LevelA2510" comment="0" localSheetId="0" hidden="1">""</definedName>
    <definedName name="LevelA2510C0" comment="NA==" localSheetId="0" hidden="1">""</definedName>
    <definedName name="LevelA2511" comment="0" localSheetId="0" hidden="1">""</definedName>
    <definedName name="LevelA2511C0" comment="NA==" localSheetId="0" hidden="1">""</definedName>
    <definedName name="LevelA2512" comment="0" localSheetId="0" hidden="1">""</definedName>
    <definedName name="LevelA2512C0" comment="NA==" localSheetId="0" hidden="1">""</definedName>
    <definedName name="LevelA2513" comment="0" localSheetId="0" hidden="1">""</definedName>
    <definedName name="LevelA2513C0" comment="NA==" localSheetId="0" hidden="1">""</definedName>
    <definedName name="LevelA2514" comment="0" localSheetId="0" hidden="1">""</definedName>
    <definedName name="LevelA2514C0" comment="NA==" localSheetId="0" hidden="1">""</definedName>
    <definedName name="LevelA2515" comment="0" localSheetId="0" hidden="1">""</definedName>
    <definedName name="LevelA2515C0" comment="NA==" localSheetId="0" hidden="1">""</definedName>
    <definedName name="LevelA2516" comment="0" localSheetId="0" hidden="1">""</definedName>
    <definedName name="LevelA2516C0" comment="NA==" localSheetId="0" hidden="1">""</definedName>
    <definedName name="LevelA2517" comment="0" localSheetId="0" hidden="1">""</definedName>
    <definedName name="LevelA2517C0" comment="NA==" localSheetId="0" hidden="1">""</definedName>
    <definedName name="LevelA2518" comment="0" localSheetId="0" hidden="1">""</definedName>
    <definedName name="LevelA2518C0" comment="NA==" localSheetId="0" hidden="1">""</definedName>
    <definedName name="LevelA2519" comment="0" localSheetId="0" hidden="1">""</definedName>
    <definedName name="LevelA2519C0" comment="NA==" localSheetId="0" hidden="1">""</definedName>
    <definedName name="LevelA251C0" comment="NA==" localSheetId="0" hidden="1">""</definedName>
    <definedName name="LevelA252" comment="0" localSheetId="0" hidden="1">""</definedName>
    <definedName name="LevelA2520" comment="0" localSheetId="0" hidden="1">""</definedName>
    <definedName name="LevelA2520C0" comment="NA==" localSheetId="0" hidden="1">""</definedName>
    <definedName name="LevelA2521" comment="0" localSheetId="0" hidden="1">""</definedName>
    <definedName name="LevelA2521C0" comment="NA==" localSheetId="0" hidden="1">""</definedName>
    <definedName name="LevelA2522" comment="0" localSheetId="0" hidden="1">""</definedName>
    <definedName name="LevelA2522C0" comment="NA==" localSheetId="0" hidden="1">""</definedName>
    <definedName name="LevelA2523" comment="0" localSheetId="0" hidden="1">""</definedName>
    <definedName name="LevelA2523C0" comment="NA==" localSheetId="0" hidden="1">""</definedName>
    <definedName name="LevelA2524" comment="0" localSheetId="0" hidden="1">""</definedName>
    <definedName name="LevelA2524C0" comment="NA==" localSheetId="0" hidden="1">""</definedName>
    <definedName name="LevelA2525" comment="0" localSheetId="0" hidden="1">""</definedName>
    <definedName name="LevelA2525C0" comment="NA==" localSheetId="0" hidden="1">""</definedName>
    <definedName name="LevelA2526" comment="0" localSheetId="0" hidden="1">""</definedName>
    <definedName name="LevelA2526C0" comment="NA==" localSheetId="0" hidden="1">""</definedName>
    <definedName name="LevelA2527" comment="0" localSheetId="0" hidden="1">""</definedName>
    <definedName name="LevelA2527C0" comment="NA==" localSheetId="0" hidden="1">""</definedName>
    <definedName name="LevelA2528" comment="0" localSheetId="0" hidden="1">""</definedName>
    <definedName name="LevelA2528C0" comment="NA==" localSheetId="0" hidden="1">""</definedName>
    <definedName name="LevelA2529" comment="0" localSheetId="0" hidden="1">""</definedName>
    <definedName name="LevelA2529C0" comment="NA==" localSheetId="0" hidden="1">""</definedName>
    <definedName name="LevelA252C0" comment="NA==" localSheetId="0" hidden="1">""</definedName>
    <definedName name="LevelA253" comment="0" localSheetId="0" hidden="1">""</definedName>
    <definedName name="LevelA2530" comment="0" localSheetId="0" hidden="1">""</definedName>
    <definedName name="LevelA2530C0" comment="NA==" localSheetId="0" hidden="1">""</definedName>
    <definedName name="LevelA2531" comment="0" localSheetId="0" hidden="1">""</definedName>
    <definedName name="LevelA2531C0" comment="NA==" localSheetId="0" hidden="1">""</definedName>
    <definedName name="LevelA2532" comment="0" localSheetId="0" hidden="1">""</definedName>
    <definedName name="LevelA2532C0" comment="NA==" localSheetId="0" hidden="1">""</definedName>
    <definedName name="LevelA2533" comment="0" localSheetId="0" hidden="1">""</definedName>
    <definedName name="LevelA2533C0" comment="NA==" localSheetId="0" hidden="1">""</definedName>
    <definedName name="LevelA2534" comment="0" localSheetId="0" hidden="1">""</definedName>
    <definedName name="LevelA2534C0" comment="NA==" localSheetId="0" hidden="1">""</definedName>
    <definedName name="LevelA2535" comment="0" localSheetId="0" hidden="1">""</definedName>
    <definedName name="LevelA2535C0" comment="NA==" localSheetId="0" hidden="1">""</definedName>
    <definedName name="LevelA2536" comment="0" localSheetId="0" hidden="1">""</definedName>
    <definedName name="LevelA2536C0" comment="NA==" localSheetId="0" hidden="1">""</definedName>
    <definedName name="LevelA2537" comment="0" localSheetId="0" hidden="1">""</definedName>
    <definedName name="LevelA2537C0" comment="NA==" localSheetId="0" hidden="1">""</definedName>
    <definedName name="LevelA2538" comment="0" localSheetId="0" hidden="1">""</definedName>
    <definedName name="LevelA2538C0" comment="NA==" localSheetId="0" hidden="1">""</definedName>
    <definedName name="LevelA2539" comment="0" localSheetId="0" hidden="1">""</definedName>
    <definedName name="LevelA2539C0" comment="NA==" localSheetId="0" hidden="1">""</definedName>
    <definedName name="LevelA253C0" comment="NA==" localSheetId="0" hidden="1">""</definedName>
    <definedName name="LevelA254" comment="0" localSheetId="0" hidden="1">""</definedName>
    <definedName name="LevelA2540" comment="0" localSheetId="0" hidden="1">""</definedName>
    <definedName name="LevelA2540C0" comment="NA==" localSheetId="0" hidden="1">""</definedName>
    <definedName name="LevelA2541" comment="0" localSheetId="0" hidden="1">""</definedName>
    <definedName name="LevelA2541C0" comment="NA==" localSheetId="0" hidden="1">""</definedName>
    <definedName name="LevelA2542" comment="0" localSheetId="0" hidden="1">""</definedName>
    <definedName name="LevelA2542C0" comment="NA==" localSheetId="0" hidden="1">""</definedName>
    <definedName name="LevelA2543" comment="0" localSheetId="0" hidden="1">""</definedName>
    <definedName name="LevelA2543C0" comment="NA==" localSheetId="0" hidden="1">""</definedName>
    <definedName name="LevelA2544" comment="0" localSheetId="0" hidden="1">""</definedName>
    <definedName name="LevelA2544C0" comment="NA==" localSheetId="0" hidden="1">""</definedName>
    <definedName name="LevelA2545" comment="0" localSheetId="0" hidden="1">""</definedName>
    <definedName name="LevelA2545C0" comment="NA==" localSheetId="0" hidden="1">""</definedName>
    <definedName name="LevelA2546" comment="0" localSheetId="0" hidden="1">""</definedName>
    <definedName name="LevelA2546C0" comment="NA==" localSheetId="0" hidden="1">""</definedName>
    <definedName name="LevelA2547" comment="0" localSheetId="0" hidden="1">""</definedName>
    <definedName name="LevelA2547C0" comment="NA==" localSheetId="0" hidden="1">""</definedName>
    <definedName name="LevelA2548" comment="0" localSheetId="0" hidden="1">""</definedName>
    <definedName name="LevelA2548C0" comment="NA==" localSheetId="0" hidden="1">""</definedName>
    <definedName name="LevelA2549" comment="0" localSheetId="0" hidden="1">""</definedName>
    <definedName name="LevelA2549C0" comment="NA==" localSheetId="0" hidden="1">""</definedName>
    <definedName name="LevelA254C0" comment="NA==" localSheetId="0" hidden="1">""</definedName>
    <definedName name="LevelA255" comment="0" localSheetId="0" hidden="1">""</definedName>
    <definedName name="LevelA2550" comment="0" localSheetId="0" hidden="1">""</definedName>
    <definedName name="LevelA2550C0" comment="NA==" localSheetId="0" hidden="1">""</definedName>
    <definedName name="LevelA2551" comment="0" localSheetId="0" hidden="1">""</definedName>
    <definedName name="LevelA2551C0" comment="NA==" localSheetId="0" hidden="1">""</definedName>
    <definedName name="LevelA2552" comment="0" localSheetId="0" hidden="1">""</definedName>
    <definedName name="LevelA2552C0" comment="NA==" localSheetId="0" hidden="1">""</definedName>
    <definedName name="LevelA2553" comment="0" localSheetId="0" hidden="1">""</definedName>
    <definedName name="LevelA2553C0" comment="NA==" localSheetId="0" hidden="1">""</definedName>
    <definedName name="LevelA2554" comment="0" localSheetId="0" hidden="1">""</definedName>
    <definedName name="LevelA2554C0" comment="NA==" localSheetId="0" hidden="1">""</definedName>
    <definedName name="LevelA2555" comment="0" localSheetId="0" hidden="1">""</definedName>
    <definedName name="LevelA2555C0" comment="NA==" localSheetId="0" hidden="1">""</definedName>
    <definedName name="LevelA2556" comment="0" localSheetId="0" hidden="1">""</definedName>
    <definedName name="LevelA2556C0" comment="NA==" localSheetId="0" hidden="1">""</definedName>
    <definedName name="LevelA2557" comment="0" localSheetId="0" hidden="1">""</definedName>
    <definedName name="LevelA2557C0" comment="NA==" localSheetId="0" hidden="1">""</definedName>
    <definedName name="LevelA2558" comment="0" localSheetId="0" hidden="1">""</definedName>
    <definedName name="LevelA2558C0" comment="NA==" localSheetId="0" hidden="1">""</definedName>
    <definedName name="LevelA2559" comment="0" localSheetId="0" hidden="1">""</definedName>
    <definedName name="LevelA2559C0" comment="NA==" localSheetId="0" hidden="1">""</definedName>
    <definedName name="LevelA255C0" comment="NA==" localSheetId="0" hidden="1">""</definedName>
    <definedName name="LevelA256" comment="0" localSheetId="0" hidden="1">""</definedName>
    <definedName name="LevelA2560" comment="0" localSheetId="0" hidden="1">""</definedName>
    <definedName name="LevelA2560C0" comment="NA==" localSheetId="0" hidden="1">""</definedName>
    <definedName name="LevelA2561" comment="0" localSheetId="0" hidden="1">""</definedName>
    <definedName name="LevelA2561C0" comment="NA==" localSheetId="0" hidden="1">""</definedName>
    <definedName name="LevelA2562" comment="0" localSheetId="0" hidden="1">""</definedName>
    <definedName name="LevelA2562C0" comment="NA==" localSheetId="0" hidden="1">""</definedName>
    <definedName name="LevelA2563" comment="0" localSheetId="0" hidden="1">""</definedName>
    <definedName name="LevelA2563C0" comment="NA==" localSheetId="0" hidden="1">""</definedName>
    <definedName name="LevelA2564" comment="0" localSheetId="0" hidden="1">""</definedName>
    <definedName name="LevelA2564C0" comment="NA==" localSheetId="0" hidden="1">""</definedName>
    <definedName name="LevelA2565" comment="0" localSheetId="0" hidden="1">""</definedName>
    <definedName name="LevelA2565C0" comment="NA==" localSheetId="0" hidden="1">""</definedName>
    <definedName name="LevelA2566" comment="0" localSheetId="0" hidden="1">""</definedName>
    <definedName name="LevelA2566C0" comment="NA==" localSheetId="0" hidden="1">""</definedName>
    <definedName name="LevelA2567" comment="0" localSheetId="0" hidden="1">""</definedName>
    <definedName name="LevelA2567C0" comment="NA==" localSheetId="0" hidden="1">""</definedName>
    <definedName name="LevelA2568" comment="0" localSheetId="0" hidden="1">""</definedName>
    <definedName name="LevelA2568C0" comment="NA==" localSheetId="0" hidden="1">""</definedName>
    <definedName name="LevelA2569" comment="0" localSheetId="0" hidden="1">""</definedName>
    <definedName name="LevelA2569C0" comment="NA==" localSheetId="0" hidden="1">""</definedName>
    <definedName name="LevelA256C0" comment="NA==" localSheetId="0" hidden="1">""</definedName>
    <definedName name="LevelA257" comment="0" localSheetId="0" hidden="1">""</definedName>
    <definedName name="LevelA2570" comment="0" localSheetId="0" hidden="1">""</definedName>
    <definedName name="LevelA2570C0" comment="NA==" localSheetId="0" hidden="1">""</definedName>
    <definedName name="LevelA2571" comment="0" localSheetId="0" hidden="1">""</definedName>
    <definedName name="LevelA2571C0" comment="NA==" localSheetId="0" hidden="1">""</definedName>
    <definedName name="LevelA2572" comment="0" localSheetId="0" hidden="1">""</definedName>
    <definedName name="LevelA2572C0" comment="NA==" localSheetId="0" hidden="1">""</definedName>
    <definedName name="LevelA2573" comment="0" localSheetId="0" hidden="1">""</definedName>
    <definedName name="LevelA2573C0" comment="NA==" localSheetId="0" hidden="1">""</definedName>
    <definedName name="LevelA2574" comment="0" localSheetId="0" hidden="1">""</definedName>
    <definedName name="LevelA2574C0" comment="NA==" localSheetId="0" hidden="1">""</definedName>
    <definedName name="LevelA2575" comment="0" localSheetId="0" hidden="1">""</definedName>
    <definedName name="LevelA2575C0" comment="NA==" localSheetId="0" hidden="1">""</definedName>
    <definedName name="LevelA2576" comment="0" localSheetId="0" hidden="1">""</definedName>
    <definedName name="LevelA2576C0" comment="NA==" localSheetId="0" hidden="1">""</definedName>
    <definedName name="LevelA2577" comment="0" localSheetId="0" hidden="1">""</definedName>
    <definedName name="LevelA2577C0" comment="NA==" localSheetId="0" hidden="1">""</definedName>
    <definedName name="LevelA2578" comment="0" localSheetId="0" hidden="1">""</definedName>
    <definedName name="LevelA2578C0" comment="NA==" localSheetId="0" hidden="1">""</definedName>
    <definedName name="LevelA2579" comment="0" localSheetId="0" hidden="1">""</definedName>
    <definedName name="LevelA2579C0" comment="NA==" localSheetId="0" hidden="1">""</definedName>
    <definedName name="LevelA257C0" comment="NA==" localSheetId="0" hidden="1">""</definedName>
    <definedName name="LevelA258" comment="0" localSheetId="0" hidden="1">""</definedName>
    <definedName name="LevelA2580" comment="0" localSheetId="0" hidden="1">""</definedName>
    <definedName name="LevelA2580C0" comment="NA==" localSheetId="0" hidden="1">""</definedName>
    <definedName name="LevelA2581" comment="0" localSheetId="0" hidden="1">""</definedName>
    <definedName name="LevelA2581C0" comment="NA==" localSheetId="0" hidden="1">""</definedName>
    <definedName name="LevelA2582" comment="0" localSheetId="0" hidden="1">""</definedName>
    <definedName name="LevelA2582C0" comment="NA==" localSheetId="0" hidden="1">""</definedName>
    <definedName name="LevelA2583" comment="0" localSheetId="0" hidden="1">""</definedName>
    <definedName name="LevelA2583C0" comment="NA==" localSheetId="0" hidden="1">""</definedName>
    <definedName name="LevelA2584" comment="0" localSheetId="0" hidden="1">""</definedName>
    <definedName name="LevelA2584C0" comment="NA==" localSheetId="0" hidden="1">""</definedName>
    <definedName name="LevelA2585" comment="0" localSheetId="0" hidden="1">""</definedName>
    <definedName name="LevelA2585C0" comment="NA==" localSheetId="0" hidden="1">""</definedName>
    <definedName name="LevelA2586" comment="0" localSheetId="0" hidden="1">""</definedName>
    <definedName name="LevelA2586C0" comment="NA==" localSheetId="0" hidden="1">""</definedName>
    <definedName name="LevelA2587" comment="0" localSheetId="0" hidden="1">""</definedName>
    <definedName name="LevelA2587C0" comment="NA==" localSheetId="0" hidden="1">""</definedName>
    <definedName name="LevelA2588" comment="0" localSheetId="0" hidden="1">""</definedName>
    <definedName name="LevelA2588C0" comment="NA==" localSheetId="0" hidden="1">""</definedName>
    <definedName name="LevelA2589" comment="0" localSheetId="0" hidden="1">""</definedName>
    <definedName name="LevelA2589C0" comment="NA==" localSheetId="0" hidden="1">""</definedName>
    <definedName name="LevelA258C0" comment="NA==" localSheetId="0" hidden="1">""</definedName>
    <definedName name="LevelA259" comment="0" localSheetId="0" hidden="1">""</definedName>
    <definedName name="LevelA2590" comment="0" localSheetId="0" hidden="1">""</definedName>
    <definedName name="LevelA2590C0" comment="NA==" localSheetId="0" hidden="1">""</definedName>
    <definedName name="LevelA2591" comment="0" localSheetId="0" hidden="1">""</definedName>
    <definedName name="LevelA2591C0" comment="NA==" localSheetId="0" hidden="1">""</definedName>
    <definedName name="LevelA2592" comment="0" localSheetId="0" hidden="1">""</definedName>
    <definedName name="LevelA2592C0" comment="NA==" localSheetId="0" hidden="1">""</definedName>
    <definedName name="LevelA2593" comment="0" localSheetId="0" hidden="1">""</definedName>
    <definedName name="LevelA2593C0" comment="NA==" localSheetId="0" hidden="1">""</definedName>
    <definedName name="LevelA2594" comment="0" localSheetId="0" hidden="1">""</definedName>
    <definedName name="LevelA2594C0" comment="NA==" localSheetId="0" hidden="1">""</definedName>
    <definedName name="LevelA2595" comment="0" localSheetId="0" hidden="1">""</definedName>
    <definedName name="LevelA2595C0" comment="NA==" localSheetId="0" hidden="1">""</definedName>
    <definedName name="LevelA2596" comment="0" localSheetId="0" hidden="1">""</definedName>
    <definedName name="LevelA2596C0" comment="NA==" localSheetId="0" hidden="1">""</definedName>
    <definedName name="LevelA2597" comment="0" localSheetId="0" hidden="1">""</definedName>
    <definedName name="LevelA2597C0" comment="NA==" localSheetId="0" hidden="1">""</definedName>
    <definedName name="LevelA2598" comment="0" localSheetId="0" hidden="1">""</definedName>
    <definedName name="LevelA2598C0" comment="NA==" localSheetId="0" hidden="1">""</definedName>
    <definedName name="LevelA2599" comment="0" localSheetId="0" hidden="1">""</definedName>
    <definedName name="LevelA2599C0" comment="NA==" localSheetId="0" hidden="1">""</definedName>
    <definedName name="LevelA259C0" comment="NA==" localSheetId="0" hidden="1">""</definedName>
    <definedName name="LevelA25C0" comment="NA==" localSheetId="0" hidden="1">""</definedName>
    <definedName name="LevelA26" comment="0" localSheetId="0" hidden="1">""</definedName>
    <definedName name="LevelA260" comment="0" localSheetId="0" hidden="1">""</definedName>
    <definedName name="LevelA2600" comment="0" localSheetId="0" hidden="1">""</definedName>
    <definedName name="LevelA2600C0" comment="NA==" localSheetId="0" hidden="1">""</definedName>
    <definedName name="LevelA2601" comment="0" localSheetId="0" hidden="1">""</definedName>
    <definedName name="LevelA2601C0" comment="NA==" localSheetId="0" hidden="1">""</definedName>
    <definedName name="LevelA2602" comment="0" localSheetId="0" hidden="1">""</definedName>
    <definedName name="LevelA2602C0" comment="NA==" localSheetId="0" hidden="1">""</definedName>
    <definedName name="LevelA2603" comment="0" localSheetId="0" hidden="1">""</definedName>
    <definedName name="LevelA2603C0" comment="NA==" localSheetId="0" hidden="1">""</definedName>
    <definedName name="LevelA2604" comment="0" localSheetId="0" hidden="1">""</definedName>
    <definedName name="LevelA2604C0" comment="NA==" localSheetId="0" hidden="1">""</definedName>
    <definedName name="LevelA2605" comment="0" localSheetId="0" hidden="1">""</definedName>
    <definedName name="LevelA2605C0" comment="NA==" localSheetId="0" hidden="1">""</definedName>
    <definedName name="LevelA2606" comment="0" localSheetId="0" hidden="1">""</definedName>
    <definedName name="LevelA2606C0" comment="NA==" localSheetId="0" hidden="1">""</definedName>
    <definedName name="LevelA2607" comment="0" localSheetId="0" hidden="1">""</definedName>
    <definedName name="LevelA2607C0" comment="NA==" localSheetId="0" hidden="1">""</definedName>
    <definedName name="LevelA2608" comment="0" localSheetId="0" hidden="1">""</definedName>
    <definedName name="LevelA2608C0" comment="NA==" localSheetId="0" hidden="1">""</definedName>
    <definedName name="LevelA2609" comment="0" localSheetId="0" hidden="1">""</definedName>
    <definedName name="LevelA2609C0" comment="NA==" localSheetId="0" hidden="1">""</definedName>
    <definedName name="LevelA260C0" comment="NA==" localSheetId="0" hidden="1">""</definedName>
    <definedName name="LevelA261" comment="0" localSheetId="0" hidden="1">""</definedName>
    <definedName name="LevelA2610" comment="0" localSheetId="0" hidden="1">""</definedName>
    <definedName name="LevelA2610C0" comment="NA==" localSheetId="0" hidden="1">""</definedName>
    <definedName name="LevelA2611" comment="0" localSheetId="0" hidden="1">""</definedName>
    <definedName name="LevelA2611C0" comment="NA==" localSheetId="0" hidden="1">""</definedName>
    <definedName name="LevelA2612" comment="0" localSheetId="0" hidden="1">""</definedName>
    <definedName name="LevelA2612C0" comment="NA==" localSheetId="0" hidden="1">""</definedName>
    <definedName name="LevelA2613" comment="0" localSheetId="0" hidden="1">""</definedName>
    <definedName name="LevelA2613C0" comment="NA==" localSheetId="0" hidden="1">""</definedName>
    <definedName name="LevelA2614" comment="0" localSheetId="0" hidden="1">""</definedName>
    <definedName name="LevelA2614C0" comment="NA==" localSheetId="0" hidden="1">""</definedName>
    <definedName name="LevelA2615" comment="0" localSheetId="0" hidden="1">""</definedName>
    <definedName name="LevelA2615C0" comment="NA==" localSheetId="0" hidden="1">""</definedName>
    <definedName name="LevelA2616" comment="0" localSheetId="0" hidden="1">""</definedName>
    <definedName name="LevelA2616C0" comment="NA==" localSheetId="0" hidden="1">""</definedName>
    <definedName name="LevelA2617" comment="0" localSheetId="0" hidden="1">""</definedName>
    <definedName name="LevelA2617C0" comment="NA==" localSheetId="0" hidden="1">""</definedName>
    <definedName name="LevelA2618" comment="0" localSheetId="0" hidden="1">""</definedName>
    <definedName name="LevelA2618C0" comment="NA==" localSheetId="0" hidden="1">""</definedName>
    <definedName name="LevelA2619" comment="0" localSheetId="0" hidden="1">""</definedName>
    <definedName name="LevelA2619C0" comment="NA==" localSheetId="0" hidden="1">""</definedName>
    <definedName name="LevelA261C0" comment="NA==" localSheetId="0" hidden="1">""</definedName>
    <definedName name="LevelA262" comment="0" localSheetId="0" hidden="1">""</definedName>
    <definedName name="LevelA2620" comment="0" localSheetId="0" hidden="1">""</definedName>
    <definedName name="LevelA2620C0" comment="NA==" localSheetId="0" hidden="1">""</definedName>
    <definedName name="LevelA2621" comment="0" localSheetId="0" hidden="1">""</definedName>
    <definedName name="LevelA2621C0" comment="NA==" localSheetId="0" hidden="1">""</definedName>
    <definedName name="LevelA2622" comment="0" localSheetId="0" hidden="1">""</definedName>
    <definedName name="LevelA2622C0" comment="NA==" localSheetId="0" hidden="1">""</definedName>
    <definedName name="LevelA2623" comment="0" localSheetId="0" hidden="1">""</definedName>
    <definedName name="LevelA2623C0" comment="NA==" localSheetId="0" hidden="1">""</definedName>
    <definedName name="LevelA2624" comment="0" localSheetId="0" hidden="1">""</definedName>
    <definedName name="LevelA2624C0" comment="NA==" localSheetId="0" hidden="1">""</definedName>
    <definedName name="LevelA2625" comment="0" localSheetId="0" hidden="1">""</definedName>
    <definedName name="LevelA2625C0" comment="NA==" localSheetId="0" hidden="1">""</definedName>
    <definedName name="LevelA2626" comment="0" localSheetId="0" hidden="1">""</definedName>
    <definedName name="LevelA2626C0" comment="NA==" localSheetId="0" hidden="1">""</definedName>
    <definedName name="LevelA2627" comment="0" localSheetId="0" hidden="1">""</definedName>
    <definedName name="LevelA2627C0" comment="NA==" localSheetId="0" hidden="1">""</definedName>
    <definedName name="LevelA2628" comment="0" localSheetId="0" hidden="1">""</definedName>
    <definedName name="LevelA2628C0" comment="NA==" localSheetId="0" hidden="1">""</definedName>
    <definedName name="LevelA2629" comment="0" localSheetId="0" hidden="1">""</definedName>
    <definedName name="LevelA2629C0" comment="NA==" localSheetId="0" hidden="1">""</definedName>
    <definedName name="LevelA262C0" comment="NA==" localSheetId="0" hidden="1">""</definedName>
    <definedName name="LevelA263" comment="0" localSheetId="0" hidden="1">""</definedName>
    <definedName name="LevelA2630" comment="0" localSheetId="0" hidden="1">""</definedName>
    <definedName name="LevelA2630C0" comment="NA==" localSheetId="0" hidden="1">""</definedName>
    <definedName name="LevelA2631" comment="0" localSheetId="0" hidden="1">""</definedName>
    <definedName name="LevelA2631C0" comment="NA==" localSheetId="0" hidden="1">""</definedName>
    <definedName name="LevelA2632" comment="0" localSheetId="0" hidden="1">""</definedName>
    <definedName name="LevelA2632C0" comment="NA==" localSheetId="0" hidden="1">""</definedName>
    <definedName name="LevelA2633" comment="0" localSheetId="0" hidden="1">""</definedName>
    <definedName name="LevelA2633C0" comment="NA==" localSheetId="0" hidden="1">""</definedName>
    <definedName name="LevelA2634" comment="0" localSheetId="0" hidden="1">""</definedName>
    <definedName name="LevelA2634C0" comment="NA==" localSheetId="0" hidden="1">""</definedName>
    <definedName name="LevelA2635" comment="0" localSheetId="0" hidden="1">""</definedName>
    <definedName name="LevelA2635C0" comment="NA==" localSheetId="0" hidden="1">""</definedName>
    <definedName name="LevelA2636" comment="0" localSheetId="0" hidden="1">""</definedName>
    <definedName name="LevelA2636C0" comment="NA==" localSheetId="0" hidden="1">""</definedName>
    <definedName name="LevelA2637" comment="0" localSheetId="0" hidden="1">""</definedName>
    <definedName name="LevelA2637C0" comment="NA==" localSheetId="0" hidden="1">""</definedName>
    <definedName name="LevelA2638" comment="0" localSheetId="0" hidden="1">""</definedName>
    <definedName name="LevelA2638C0" comment="NA==" localSheetId="0" hidden="1">""</definedName>
    <definedName name="LevelA2639" comment="0" localSheetId="0" hidden="1">""</definedName>
    <definedName name="LevelA2639C0" comment="NA==" localSheetId="0" hidden="1">""</definedName>
    <definedName name="LevelA263C0" comment="NA==" localSheetId="0" hidden="1">""</definedName>
    <definedName name="LevelA264" comment="0" localSheetId="0" hidden="1">""</definedName>
    <definedName name="LevelA2640" comment="0" localSheetId="0" hidden="1">""</definedName>
    <definedName name="LevelA2640C0" comment="NA==" localSheetId="0" hidden="1">""</definedName>
    <definedName name="LevelA2641" comment="0" localSheetId="0" hidden="1">""</definedName>
    <definedName name="LevelA2641C0" comment="NA==" localSheetId="0" hidden="1">""</definedName>
    <definedName name="LevelA2642" comment="0" localSheetId="0" hidden="1">""</definedName>
    <definedName name="LevelA2642C0" comment="NA==" localSheetId="0" hidden="1">""</definedName>
    <definedName name="LevelA2643" comment="0" localSheetId="0" hidden="1">""</definedName>
    <definedName name="LevelA2643C0" comment="NA==" localSheetId="0" hidden="1">""</definedName>
    <definedName name="LevelA2644" comment="0" localSheetId="0" hidden="1">""</definedName>
    <definedName name="LevelA2644C0" comment="NA==" localSheetId="0" hidden="1">""</definedName>
    <definedName name="LevelA2645" comment="0" localSheetId="0" hidden="1">""</definedName>
    <definedName name="LevelA2645C0" comment="NA==" localSheetId="0" hidden="1">""</definedName>
    <definedName name="LevelA2646" comment="0" localSheetId="0" hidden="1">""</definedName>
    <definedName name="LevelA2646C0" comment="NA==" localSheetId="0" hidden="1">""</definedName>
    <definedName name="LevelA2647" comment="0" localSheetId="0" hidden="1">""</definedName>
    <definedName name="LevelA2647C0" comment="NA==" localSheetId="0" hidden="1">""</definedName>
    <definedName name="LevelA2648" comment="0" localSheetId="0" hidden="1">""</definedName>
    <definedName name="LevelA2648C0" comment="NA==" localSheetId="0" hidden="1">""</definedName>
    <definedName name="LevelA2649" comment="0" localSheetId="0" hidden="1">""</definedName>
    <definedName name="LevelA2649C0" comment="NA==" localSheetId="0" hidden="1">""</definedName>
    <definedName name="LevelA264C0" comment="NA==" localSheetId="0" hidden="1">""</definedName>
    <definedName name="LevelA265" comment="0" localSheetId="0" hidden="1">""</definedName>
    <definedName name="LevelA2650" comment="0" localSheetId="0" hidden="1">""</definedName>
    <definedName name="LevelA2650C0" comment="NA==" localSheetId="0" hidden="1">""</definedName>
    <definedName name="LevelA2651" comment="0" localSheetId="0" hidden="1">""</definedName>
    <definedName name="LevelA2651C0" comment="NA==" localSheetId="0" hidden="1">""</definedName>
    <definedName name="LevelA2652" comment="0" localSheetId="0" hidden="1">""</definedName>
    <definedName name="LevelA2652C0" comment="NA==" localSheetId="0" hidden="1">""</definedName>
    <definedName name="LevelA2653" comment="0" localSheetId="0" hidden="1">""</definedName>
    <definedName name="LevelA2653C0" comment="NA==" localSheetId="0" hidden="1">""</definedName>
    <definedName name="LevelA2654" comment="0" localSheetId="0" hidden="1">""</definedName>
    <definedName name="LevelA2654C0" comment="NA==" localSheetId="0" hidden="1">""</definedName>
    <definedName name="LevelA2655" comment="0" localSheetId="0" hidden="1">""</definedName>
    <definedName name="LevelA2655C0" comment="NA==" localSheetId="0" hidden="1">""</definedName>
    <definedName name="LevelA2656" comment="0" localSheetId="0" hidden="1">""</definedName>
    <definedName name="LevelA2656C0" comment="NA==" localSheetId="0" hidden="1">""</definedName>
    <definedName name="LevelA2657" comment="0" localSheetId="0" hidden="1">""</definedName>
    <definedName name="LevelA2657C0" comment="NA==" localSheetId="0" hidden="1">""</definedName>
    <definedName name="LevelA2658" comment="0" localSheetId="0" hidden="1">""</definedName>
    <definedName name="LevelA2658C0" comment="NA==" localSheetId="0" hidden="1">""</definedName>
    <definedName name="LevelA2659" comment="0" localSheetId="0" hidden="1">""</definedName>
    <definedName name="LevelA2659C0" comment="NA==" localSheetId="0" hidden="1">""</definedName>
    <definedName name="LevelA265C0" comment="NA==" localSheetId="0" hidden="1">""</definedName>
    <definedName name="LevelA266" comment="0" localSheetId="0" hidden="1">""</definedName>
    <definedName name="LevelA2660" comment="0" localSheetId="0" hidden="1">""</definedName>
    <definedName name="LevelA2660C0" comment="NA==" localSheetId="0" hidden="1">""</definedName>
    <definedName name="LevelA2661" comment="0" localSheetId="0" hidden="1">""</definedName>
    <definedName name="LevelA2661C0" comment="NA==" localSheetId="0" hidden="1">""</definedName>
    <definedName name="LevelA2662" comment="0" localSheetId="0" hidden="1">""</definedName>
    <definedName name="LevelA2662C0" comment="NA==" localSheetId="0" hidden="1">""</definedName>
    <definedName name="LevelA2663" comment="0" localSheetId="0" hidden="1">""</definedName>
    <definedName name="LevelA2663C0" comment="NA==" localSheetId="0" hidden="1">""</definedName>
    <definedName name="LevelA2664" comment="0" localSheetId="0" hidden="1">""</definedName>
    <definedName name="LevelA2664C0" comment="NA==" localSheetId="0" hidden="1">""</definedName>
    <definedName name="LevelA2665" comment="0" localSheetId="0" hidden="1">""</definedName>
    <definedName name="LevelA2665C0" comment="NA==" localSheetId="0" hidden="1">""</definedName>
    <definedName name="LevelA2666" comment="0" localSheetId="0" hidden="1">""</definedName>
    <definedName name="LevelA2666C0" comment="NA==" localSheetId="0" hidden="1">""</definedName>
    <definedName name="LevelA2667" comment="0" localSheetId="0" hidden="1">""</definedName>
    <definedName name="LevelA2667C0" comment="NA==" localSheetId="0" hidden="1">""</definedName>
    <definedName name="LevelA2668" comment="0" localSheetId="0" hidden="1">""</definedName>
    <definedName name="LevelA2668C0" comment="NA==" localSheetId="0" hidden="1">""</definedName>
    <definedName name="LevelA2669" comment="0" localSheetId="0" hidden="1">""</definedName>
    <definedName name="LevelA2669C0" comment="NA==" localSheetId="0" hidden="1">""</definedName>
    <definedName name="LevelA266C0" comment="NA==" localSheetId="0" hidden="1">""</definedName>
    <definedName name="LevelA267" comment="0" localSheetId="0" hidden="1">""</definedName>
    <definedName name="LevelA2670" comment="0" localSheetId="0" hidden="1">""</definedName>
    <definedName name="LevelA2670C0" comment="NA==" localSheetId="0" hidden="1">""</definedName>
    <definedName name="LevelA2671" comment="0" localSheetId="0" hidden="1">""</definedName>
    <definedName name="LevelA2671C0" comment="NA==" localSheetId="0" hidden="1">""</definedName>
    <definedName name="LevelA2672" comment="0" localSheetId="0" hidden="1">""</definedName>
    <definedName name="LevelA2672C0" comment="NA==" localSheetId="0" hidden="1">""</definedName>
    <definedName name="LevelA2673" comment="0" localSheetId="0" hidden="1">""</definedName>
    <definedName name="LevelA2673C0" comment="NA==" localSheetId="0" hidden="1">""</definedName>
    <definedName name="LevelA2674" comment="0" localSheetId="0" hidden="1">""</definedName>
    <definedName name="LevelA2674C0" comment="NA==" localSheetId="0" hidden="1">""</definedName>
    <definedName name="LevelA2675" comment="0" localSheetId="0" hidden="1">""</definedName>
    <definedName name="LevelA2675C0" comment="NA==" localSheetId="0" hidden="1">""</definedName>
    <definedName name="LevelA2676" comment="0" localSheetId="0" hidden="1">""</definedName>
    <definedName name="LevelA2676C0" comment="NA==" localSheetId="0" hidden="1">""</definedName>
    <definedName name="LevelA2677" comment="0" localSheetId="0" hidden="1">""</definedName>
    <definedName name="LevelA2677C0" comment="NA==" localSheetId="0" hidden="1">""</definedName>
    <definedName name="LevelA2678" comment="0" localSheetId="0" hidden="1">""</definedName>
    <definedName name="LevelA2678C0" comment="NA==" localSheetId="0" hidden="1">""</definedName>
    <definedName name="LevelA2679" comment="0" localSheetId="0" hidden="1">""</definedName>
    <definedName name="LevelA2679C0" comment="NA==" localSheetId="0" hidden="1">""</definedName>
    <definedName name="LevelA267C0" comment="NA==" localSheetId="0" hidden="1">""</definedName>
    <definedName name="LevelA268" comment="0" localSheetId="0" hidden="1">""</definedName>
    <definedName name="LevelA2680" comment="0" localSheetId="0" hidden="1">""</definedName>
    <definedName name="LevelA2680C0" comment="NA==" localSheetId="0" hidden="1">""</definedName>
    <definedName name="LevelA2681" comment="0" localSheetId="0" hidden="1">""</definedName>
    <definedName name="LevelA2681C0" comment="NA==" localSheetId="0" hidden="1">""</definedName>
    <definedName name="LevelA2682" comment="0" localSheetId="0" hidden="1">""</definedName>
    <definedName name="LevelA2682C0" comment="NA==" localSheetId="0" hidden="1">""</definedName>
    <definedName name="LevelA2683" comment="0" localSheetId="0" hidden="1">""</definedName>
    <definedName name="LevelA2683C0" comment="NA==" localSheetId="0" hidden="1">""</definedName>
    <definedName name="LevelA2684" comment="0" localSheetId="0" hidden="1">""</definedName>
    <definedName name="LevelA2684C0" comment="NA==" localSheetId="0" hidden="1">""</definedName>
    <definedName name="LevelA2685" comment="0" localSheetId="0" hidden="1">""</definedName>
    <definedName name="LevelA2685C0" comment="NA==" localSheetId="0" hidden="1">""</definedName>
    <definedName name="LevelA2686" comment="0" localSheetId="0" hidden="1">""</definedName>
    <definedName name="LevelA2686C0" comment="NA==" localSheetId="0" hidden="1">""</definedName>
    <definedName name="LevelA2687" comment="0" localSheetId="0" hidden="1">""</definedName>
    <definedName name="LevelA2687C0" comment="NA==" localSheetId="0" hidden="1">""</definedName>
    <definedName name="LevelA2688" comment="0" localSheetId="0" hidden="1">""</definedName>
    <definedName name="LevelA2688C0" comment="NA==" localSheetId="0" hidden="1">""</definedName>
    <definedName name="LevelA2689" comment="0" localSheetId="0" hidden="1">""</definedName>
    <definedName name="LevelA2689C0" comment="NA==" localSheetId="0" hidden="1">""</definedName>
    <definedName name="LevelA268C0" comment="NA==" localSheetId="0" hidden="1">""</definedName>
    <definedName name="LevelA269" comment="0" localSheetId="0" hidden="1">""</definedName>
    <definedName name="LevelA2690" comment="0" localSheetId="0" hidden="1">""</definedName>
    <definedName name="LevelA2690C0" comment="NA==" localSheetId="0" hidden="1">""</definedName>
    <definedName name="LevelA2691" comment="0" localSheetId="0" hidden="1">""</definedName>
    <definedName name="LevelA2691C0" comment="NA==" localSheetId="0" hidden="1">""</definedName>
    <definedName name="LevelA2692" comment="0" localSheetId="0" hidden="1">""</definedName>
    <definedName name="LevelA2692C0" comment="NA==" localSheetId="0" hidden="1">""</definedName>
    <definedName name="LevelA2693" comment="0" localSheetId="0" hidden="1">""</definedName>
    <definedName name="LevelA2693C0" comment="NA==" localSheetId="0" hidden="1">""</definedName>
    <definedName name="LevelA2694" comment="0" localSheetId="0" hidden="1">""</definedName>
    <definedName name="LevelA2694C0" comment="NA==" localSheetId="0" hidden="1">""</definedName>
    <definedName name="LevelA2695" comment="0" localSheetId="0" hidden="1">""</definedName>
    <definedName name="LevelA2695C0" comment="NA==" localSheetId="0" hidden="1">""</definedName>
    <definedName name="LevelA2696" comment="0" localSheetId="0" hidden="1">""</definedName>
    <definedName name="LevelA2696C0" comment="NA==" localSheetId="0" hidden="1">""</definedName>
    <definedName name="LevelA2697" comment="0" localSheetId="0" hidden="1">""</definedName>
    <definedName name="LevelA2697C0" comment="NA==" localSheetId="0" hidden="1">""</definedName>
    <definedName name="LevelA2698" comment="0" localSheetId="0" hidden="1">""</definedName>
    <definedName name="LevelA2698C0" comment="NA==" localSheetId="0" hidden="1">""</definedName>
    <definedName name="LevelA2699" comment="0" localSheetId="0" hidden="1">""</definedName>
    <definedName name="LevelA2699C0" comment="NA==" localSheetId="0" hidden="1">""</definedName>
    <definedName name="LevelA269C0" comment="NA==" localSheetId="0" hidden="1">""</definedName>
    <definedName name="LevelA26C0" comment="NA==" localSheetId="0" hidden="1">""</definedName>
    <definedName name="LevelA27" comment="0" localSheetId="0" hidden="1">""</definedName>
    <definedName name="LevelA270" comment="0" localSheetId="0" hidden="1">""</definedName>
    <definedName name="LevelA2700" comment="0" localSheetId="0" hidden="1">""</definedName>
    <definedName name="LevelA2700C0" comment="NA==" localSheetId="0" hidden="1">""</definedName>
    <definedName name="LevelA2701" comment="0" localSheetId="0" hidden="1">""</definedName>
    <definedName name="LevelA2701C0" comment="NA==" localSheetId="0" hidden="1">""</definedName>
    <definedName name="LevelA2702" comment="0" localSheetId="0" hidden="1">""</definedName>
    <definedName name="LevelA2702C0" comment="NA==" localSheetId="0" hidden="1">""</definedName>
    <definedName name="LevelA2703" comment="0" localSheetId="0" hidden="1">""</definedName>
    <definedName name="LevelA2703C0" comment="NA==" localSheetId="0" hidden="1">""</definedName>
    <definedName name="LevelA2704" comment="0" localSheetId="0" hidden="1">""</definedName>
    <definedName name="LevelA2704C0" comment="NA==" localSheetId="0" hidden="1">""</definedName>
    <definedName name="LevelA2705" comment="0" localSheetId="0" hidden="1">""</definedName>
    <definedName name="LevelA2705C0" comment="NA==" localSheetId="0" hidden="1">""</definedName>
    <definedName name="LevelA2706" comment="0" localSheetId="0" hidden="1">""</definedName>
    <definedName name="LevelA2706C0" comment="NA==" localSheetId="0" hidden="1">""</definedName>
    <definedName name="LevelA2707" comment="0" localSheetId="0" hidden="1">""</definedName>
    <definedName name="LevelA2707C0" comment="NA==" localSheetId="0" hidden="1">""</definedName>
    <definedName name="LevelA2708" comment="0" localSheetId="0" hidden="1">""</definedName>
    <definedName name="LevelA2708C0" comment="NA==" localSheetId="0" hidden="1">""</definedName>
    <definedName name="LevelA2709" comment="0" localSheetId="0" hidden="1">""</definedName>
    <definedName name="LevelA2709C0" comment="NA==" localSheetId="0" hidden="1">""</definedName>
    <definedName name="LevelA270C0" comment="NA==" localSheetId="0" hidden="1">""</definedName>
    <definedName name="LevelA271" comment="0" localSheetId="0" hidden="1">""</definedName>
    <definedName name="LevelA2710" comment="0" localSheetId="0" hidden="1">""</definedName>
    <definedName name="LevelA2710C0" comment="NA==" localSheetId="0" hidden="1">""</definedName>
    <definedName name="LevelA2711" comment="0" localSheetId="0" hidden="1">""</definedName>
    <definedName name="LevelA2711C0" comment="NA==" localSheetId="0" hidden="1">""</definedName>
    <definedName name="LevelA2712" comment="0" localSheetId="0" hidden="1">""</definedName>
    <definedName name="LevelA2712C0" comment="NA==" localSheetId="0" hidden="1">""</definedName>
    <definedName name="LevelA2713" comment="0" localSheetId="0" hidden="1">""</definedName>
    <definedName name="LevelA2713C0" comment="NA==" localSheetId="0" hidden="1">""</definedName>
    <definedName name="LevelA2714" comment="0" localSheetId="0" hidden="1">""</definedName>
    <definedName name="LevelA2714C0" comment="NA==" localSheetId="0" hidden="1">""</definedName>
    <definedName name="LevelA2715" comment="0" localSheetId="0" hidden="1">""</definedName>
    <definedName name="LevelA2715C0" comment="NA==" localSheetId="0" hidden="1">""</definedName>
    <definedName name="LevelA2716" comment="0" localSheetId="0" hidden="1">""</definedName>
    <definedName name="LevelA2716C0" comment="NA==" localSheetId="0" hidden="1">""</definedName>
    <definedName name="LevelA2717" comment="0" localSheetId="0" hidden="1">""</definedName>
    <definedName name="LevelA2717C0" comment="NA==" localSheetId="0" hidden="1">""</definedName>
    <definedName name="LevelA2718" comment="0" localSheetId="0" hidden="1">""</definedName>
    <definedName name="LevelA2718C0" comment="NA==" localSheetId="0" hidden="1">""</definedName>
    <definedName name="LevelA2719" comment="0" localSheetId="0" hidden="1">""</definedName>
    <definedName name="LevelA2719C0" comment="NA==" localSheetId="0" hidden="1">""</definedName>
    <definedName name="LevelA271C0" comment="NA==" localSheetId="0" hidden="1">""</definedName>
    <definedName name="LevelA272" comment="0" localSheetId="0" hidden="1">""</definedName>
    <definedName name="LevelA2720" comment="0" localSheetId="0" hidden="1">""</definedName>
    <definedName name="LevelA2720C0" comment="NA==" localSheetId="0" hidden="1">""</definedName>
    <definedName name="LevelA2721" comment="0" localSheetId="0" hidden="1">""</definedName>
    <definedName name="LevelA2721C0" comment="NA==" localSheetId="0" hidden="1">""</definedName>
    <definedName name="LevelA2722" comment="0" localSheetId="0" hidden="1">""</definedName>
    <definedName name="LevelA2722C0" comment="NA==" localSheetId="0" hidden="1">""</definedName>
    <definedName name="LevelA2723" comment="0" localSheetId="0" hidden="1">""</definedName>
    <definedName name="LevelA2723C0" comment="NA==" localSheetId="0" hidden="1">""</definedName>
    <definedName name="LevelA2724" comment="0" localSheetId="0" hidden="1">""</definedName>
    <definedName name="LevelA2724C0" comment="NA==" localSheetId="0" hidden="1">""</definedName>
    <definedName name="LevelA2725" comment="0" localSheetId="0" hidden="1">""</definedName>
    <definedName name="LevelA2725C0" comment="NA==" localSheetId="0" hidden="1">""</definedName>
    <definedName name="LevelA2726" comment="0" localSheetId="0" hidden="1">""</definedName>
    <definedName name="LevelA2726C0" comment="NA==" localSheetId="0" hidden="1">""</definedName>
    <definedName name="LevelA2727" comment="0" localSheetId="0" hidden="1">""</definedName>
    <definedName name="LevelA2727C0" comment="NA==" localSheetId="0" hidden="1">""</definedName>
    <definedName name="LevelA2728" comment="0" localSheetId="0" hidden="1">""</definedName>
    <definedName name="LevelA2728C0" comment="NA==" localSheetId="0" hidden="1">""</definedName>
    <definedName name="LevelA2729" comment="0" localSheetId="0" hidden="1">""</definedName>
    <definedName name="LevelA2729C0" comment="NA==" localSheetId="0" hidden="1">""</definedName>
    <definedName name="LevelA272C0" comment="NA==" localSheetId="0" hidden="1">""</definedName>
    <definedName name="LevelA273" comment="0" localSheetId="0" hidden="1">""</definedName>
    <definedName name="LevelA2730" comment="0" localSheetId="0" hidden="1">""</definedName>
    <definedName name="LevelA2730C0" comment="NA==" localSheetId="0" hidden="1">""</definedName>
    <definedName name="LevelA2731" comment="0" localSheetId="0" hidden="1">""</definedName>
    <definedName name="LevelA2731C0" comment="NA==" localSheetId="0" hidden="1">""</definedName>
    <definedName name="LevelA2732" comment="0" localSheetId="0" hidden="1">""</definedName>
    <definedName name="LevelA2732C0" comment="NA==" localSheetId="0" hidden="1">""</definedName>
    <definedName name="LevelA2733" comment="0" localSheetId="0" hidden="1">""</definedName>
    <definedName name="LevelA2733C0" comment="NA==" localSheetId="0" hidden="1">""</definedName>
    <definedName name="LevelA2734" comment="0" localSheetId="0" hidden="1">""</definedName>
    <definedName name="LevelA2734C0" comment="NA==" localSheetId="0" hidden="1">""</definedName>
    <definedName name="LevelA2735" comment="0" localSheetId="0" hidden="1">""</definedName>
    <definedName name="LevelA2735C0" comment="NA==" localSheetId="0" hidden="1">""</definedName>
    <definedName name="LevelA2736" comment="0" localSheetId="0" hidden="1">""</definedName>
    <definedName name="LevelA2736C0" comment="NA==" localSheetId="0" hidden="1">""</definedName>
    <definedName name="LevelA2737" comment="0" localSheetId="0" hidden="1">""</definedName>
    <definedName name="LevelA2737C0" comment="NA==" localSheetId="0" hidden="1">""</definedName>
    <definedName name="LevelA2738" comment="0" localSheetId="0" hidden="1">""</definedName>
    <definedName name="LevelA2738C0" comment="NA==" localSheetId="0" hidden="1">""</definedName>
    <definedName name="LevelA2739" comment="0" localSheetId="0" hidden="1">""</definedName>
    <definedName name="LevelA2739C0" comment="NA==" localSheetId="0" hidden="1">""</definedName>
    <definedName name="LevelA273C0" comment="NA==" localSheetId="0" hidden="1">""</definedName>
    <definedName name="LevelA274" comment="0" localSheetId="0" hidden="1">""</definedName>
    <definedName name="LevelA2740" comment="0" localSheetId="0" hidden="1">""</definedName>
    <definedName name="LevelA2740C0" comment="NA==" localSheetId="0" hidden="1">""</definedName>
    <definedName name="LevelA2741" comment="0" localSheetId="0" hidden="1">""</definedName>
    <definedName name="LevelA2741C0" comment="NA==" localSheetId="0" hidden="1">""</definedName>
    <definedName name="LevelA2742" comment="0" localSheetId="0" hidden="1">""</definedName>
    <definedName name="LevelA2742C0" comment="NA==" localSheetId="0" hidden="1">""</definedName>
    <definedName name="LevelA2743" comment="0" localSheetId="0" hidden="1">""</definedName>
    <definedName name="LevelA2743C0" comment="NA==" localSheetId="0" hidden="1">""</definedName>
    <definedName name="LevelA2744" comment="0" localSheetId="0" hidden="1">""</definedName>
    <definedName name="LevelA2744C0" comment="NA==" localSheetId="0" hidden="1">""</definedName>
    <definedName name="LevelA2745" comment="0" localSheetId="0" hidden="1">""</definedName>
    <definedName name="LevelA2745C0" comment="NA==" localSheetId="0" hidden="1">""</definedName>
    <definedName name="LevelA2746" comment="0" localSheetId="0" hidden="1">""</definedName>
    <definedName name="LevelA2746C0" comment="NA==" localSheetId="0" hidden="1">""</definedName>
    <definedName name="LevelA2747" comment="0" localSheetId="0" hidden="1">""</definedName>
    <definedName name="LevelA2747C0" comment="NA==" localSheetId="0" hidden="1">""</definedName>
    <definedName name="LevelA2748" comment="0" localSheetId="0" hidden="1">""</definedName>
    <definedName name="LevelA2748C0" comment="NA==" localSheetId="0" hidden="1">""</definedName>
    <definedName name="LevelA2749" comment="0" localSheetId="0" hidden="1">""</definedName>
    <definedName name="LevelA2749C0" comment="NA==" localSheetId="0" hidden="1">""</definedName>
    <definedName name="LevelA274C0" comment="NA==" localSheetId="0" hidden="1">""</definedName>
    <definedName name="LevelA275" comment="0" localSheetId="0" hidden="1">""</definedName>
    <definedName name="LevelA2750" comment="0" localSheetId="0" hidden="1">""</definedName>
    <definedName name="LevelA2750C0" comment="NA==" localSheetId="0" hidden="1">""</definedName>
    <definedName name="LevelA2751" comment="0" localSheetId="0" hidden="1">""</definedName>
    <definedName name="LevelA2751C0" comment="NA==" localSheetId="0" hidden="1">""</definedName>
    <definedName name="LevelA2752" comment="0" localSheetId="0" hidden="1">""</definedName>
    <definedName name="LevelA2752C0" comment="NA==" localSheetId="0" hidden="1">""</definedName>
    <definedName name="LevelA2753" comment="0" localSheetId="0" hidden="1">""</definedName>
    <definedName name="LevelA2753C0" comment="NA==" localSheetId="0" hidden="1">""</definedName>
    <definedName name="LevelA2754" comment="0" localSheetId="0" hidden="1">""</definedName>
    <definedName name="LevelA2754C0" comment="NA==" localSheetId="0" hidden="1">""</definedName>
    <definedName name="LevelA2755" comment="0" localSheetId="0" hidden="1">""</definedName>
    <definedName name="LevelA2755C0" comment="NA==" localSheetId="0" hidden="1">""</definedName>
    <definedName name="LevelA2756" comment="0" localSheetId="0" hidden="1">""</definedName>
    <definedName name="LevelA2756C0" comment="NA==" localSheetId="0" hidden="1">""</definedName>
    <definedName name="LevelA2757" comment="0" localSheetId="0" hidden="1">""</definedName>
    <definedName name="LevelA2757C0" comment="NA==" localSheetId="0" hidden="1">""</definedName>
    <definedName name="LevelA2758" comment="0" localSheetId="0" hidden="1">""</definedName>
    <definedName name="LevelA2758C0" comment="NA==" localSheetId="0" hidden="1">""</definedName>
    <definedName name="LevelA2759" comment="0" localSheetId="0" hidden="1">""</definedName>
    <definedName name="LevelA2759C0" comment="NA==" localSheetId="0" hidden="1">""</definedName>
    <definedName name="LevelA275C0" comment="NA==" localSheetId="0" hidden="1">""</definedName>
    <definedName name="LevelA276" comment="0" localSheetId="0" hidden="1">""</definedName>
    <definedName name="LevelA2760" comment="0" localSheetId="0" hidden="1">""</definedName>
    <definedName name="LevelA2760C0" comment="NA==" localSheetId="0" hidden="1">""</definedName>
    <definedName name="LevelA2761" comment="0" localSheetId="0" hidden="1">""</definedName>
    <definedName name="LevelA2761C0" comment="NA==" localSheetId="0" hidden="1">""</definedName>
    <definedName name="LevelA2762" comment="0" localSheetId="0" hidden="1">""</definedName>
    <definedName name="LevelA2762C0" comment="NA==" localSheetId="0" hidden="1">""</definedName>
    <definedName name="LevelA2763" comment="0" localSheetId="0" hidden="1">""</definedName>
    <definedName name="LevelA2763C0" comment="NA==" localSheetId="0" hidden="1">""</definedName>
    <definedName name="LevelA2764" comment="0" localSheetId="0" hidden="1">""</definedName>
    <definedName name="LevelA2764C0" comment="NA==" localSheetId="0" hidden="1">""</definedName>
    <definedName name="LevelA2765" comment="0" localSheetId="0" hidden="1">""</definedName>
    <definedName name="LevelA2765C0" comment="NA==" localSheetId="0" hidden="1">""</definedName>
    <definedName name="LevelA2766" comment="0" localSheetId="0" hidden="1">""</definedName>
    <definedName name="LevelA2766C0" comment="NA==" localSheetId="0" hidden="1">""</definedName>
    <definedName name="LevelA2767" comment="0" localSheetId="0" hidden="1">""</definedName>
    <definedName name="LevelA2767C0" comment="NA==" localSheetId="0" hidden="1">""</definedName>
    <definedName name="LevelA2768" comment="0" localSheetId="0" hidden="1">""</definedName>
    <definedName name="LevelA2768C0" comment="NA==" localSheetId="0" hidden="1">""</definedName>
    <definedName name="LevelA2769" comment="0" localSheetId="0" hidden="1">""</definedName>
    <definedName name="LevelA2769C0" comment="NA==" localSheetId="0" hidden="1">""</definedName>
    <definedName name="LevelA276C0" comment="NA==" localSheetId="0" hidden="1">""</definedName>
    <definedName name="LevelA277" comment="0" localSheetId="0" hidden="1">""</definedName>
    <definedName name="LevelA2770" comment="0" localSheetId="0" hidden="1">""</definedName>
    <definedName name="LevelA2770C0" comment="NA==" localSheetId="0" hidden="1">""</definedName>
    <definedName name="LevelA2771" comment="0" localSheetId="0" hidden="1">""</definedName>
    <definedName name="LevelA2771C0" comment="NA==" localSheetId="0" hidden="1">""</definedName>
    <definedName name="LevelA2772" comment="0" localSheetId="0" hidden="1">""</definedName>
    <definedName name="LevelA2772C0" comment="NA==" localSheetId="0" hidden="1">""</definedName>
    <definedName name="LevelA2773" comment="0" localSheetId="0" hidden="1">""</definedName>
    <definedName name="LevelA2773C0" comment="NA==" localSheetId="0" hidden="1">""</definedName>
    <definedName name="LevelA2774" comment="0" localSheetId="0" hidden="1">""</definedName>
    <definedName name="LevelA2774C0" comment="NA==" localSheetId="0" hidden="1">""</definedName>
    <definedName name="LevelA2775" comment="0" localSheetId="0" hidden="1">""</definedName>
    <definedName name="LevelA2775C0" comment="NA==" localSheetId="0" hidden="1">""</definedName>
    <definedName name="LevelA2776" comment="0" localSheetId="0" hidden="1">""</definedName>
    <definedName name="LevelA2776C0" comment="NA==" localSheetId="0" hidden="1">""</definedName>
    <definedName name="LevelA2777" comment="0" localSheetId="0" hidden="1">""</definedName>
    <definedName name="LevelA2777C0" comment="NA==" localSheetId="0" hidden="1">""</definedName>
    <definedName name="LevelA2778" comment="0" localSheetId="0" hidden="1">""</definedName>
    <definedName name="LevelA2778C0" comment="NA==" localSheetId="0" hidden="1">""</definedName>
    <definedName name="LevelA2779" comment="0" localSheetId="0" hidden="1">""</definedName>
    <definedName name="LevelA2779C0" comment="NA==" localSheetId="0" hidden="1">""</definedName>
    <definedName name="LevelA277C0" comment="NA==" localSheetId="0" hidden="1">""</definedName>
    <definedName name="LevelA278" comment="0" localSheetId="0" hidden="1">""</definedName>
    <definedName name="LevelA2780" comment="0" localSheetId="0" hidden="1">""</definedName>
    <definedName name="LevelA2780C0" comment="NA==" localSheetId="0" hidden="1">""</definedName>
    <definedName name="LevelA2781" comment="0" localSheetId="0" hidden="1">""</definedName>
    <definedName name="LevelA2781C0" comment="NA==" localSheetId="0" hidden="1">""</definedName>
    <definedName name="LevelA2782" comment="0" localSheetId="0" hidden="1">""</definedName>
    <definedName name="LevelA2782C0" comment="NA==" localSheetId="0" hidden="1">""</definedName>
    <definedName name="LevelA2783" comment="0" localSheetId="0" hidden="1">""</definedName>
    <definedName name="LevelA2783C0" comment="NA==" localSheetId="0" hidden="1">""</definedName>
    <definedName name="LevelA2784" comment="0" localSheetId="0" hidden="1">""</definedName>
    <definedName name="LevelA2784C0" comment="NA==" localSheetId="0" hidden="1">""</definedName>
    <definedName name="LevelA2785" comment="0" localSheetId="0" hidden="1">""</definedName>
    <definedName name="LevelA2785C0" comment="NA==" localSheetId="0" hidden="1">""</definedName>
    <definedName name="LevelA2786" comment="0" localSheetId="0" hidden="1">""</definedName>
    <definedName name="LevelA2786C0" comment="NA==" localSheetId="0" hidden="1">""</definedName>
    <definedName name="LevelA2787" comment="0" localSheetId="0" hidden="1">""</definedName>
    <definedName name="LevelA2787C0" comment="NA==" localSheetId="0" hidden="1">""</definedName>
    <definedName name="LevelA2788" comment="0" localSheetId="0" hidden="1">""</definedName>
    <definedName name="LevelA2788C0" comment="NA==" localSheetId="0" hidden="1">""</definedName>
    <definedName name="LevelA2789" comment="0" localSheetId="0" hidden="1">""</definedName>
    <definedName name="LevelA2789C0" comment="NA==" localSheetId="0" hidden="1">""</definedName>
    <definedName name="LevelA278C0" comment="NA==" localSheetId="0" hidden="1">""</definedName>
    <definedName name="LevelA279" comment="0" localSheetId="0" hidden="1">""</definedName>
    <definedName name="LevelA2790" comment="0" localSheetId="0" hidden="1">""</definedName>
    <definedName name="LevelA2790C0" comment="NA==" localSheetId="0" hidden="1">""</definedName>
    <definedName name="LevelA2791" comment="0" localSheetId="0" hidden="1">""</definedName>
    <definedName name="LevelA2791C0" comment="NA==" localSheetId="0" hidden="1">""</definedName>
    <definedName name="LevelA2792" comment="0" localSheetId="0" hidden="1">""</definedName>
    <definedName name="LevelA2792C0" comment="NA==" localSheetId="0" hidden="1">""</definedName>
    <definedName name="LevelA2793" comment="0" localSheetId="0" hidden="1">""</definedName>
    <definedName name="LevelA2793C0" comment="NA==" localSheetId="0" hidden="1">""</definedName>
    <definedName name="LevelA2794" comment="0" localSheetId="0" hidden="1">""</definedName>
    <definedName name="LevelA2794C0" comment="NA==" localSheetId="0" hidden="1">""</definedName>
    <definedName name="LevelA2795" comment="0" localSheetId="0" hidden="1">""</definedName>
    <definedName name="LevelA2795C0" comment="NA==" localSheetId="0" hidden="1">""</definedName>
    <definedName name="LevelA2796" comment="0" localSheetId="0" hidden="1">""</definedName>
    <definedName name="LevelA2796C0" comment="NA==" localSheetId="0" hidden="1">""</definedName>
    <definedName name="LevelA2797" comment="0" localSheetId="0" hidden="1">""</definedName>
    <definedName name="LevelA2797C0" comment="NA==" localSheetId="0" hidden="1">""</definedName>
    <definedName name="LevelA2798" comment="0" localSheetId="0" hidden="1">""</definedName>
    <definedName name="LevelA2798C0" comment="NA==" localSheetId="0" hidden="1">""</definedName>
    <definedName name="LevelA2799" comment="0" localSheetId="0" hidden="1">""</definedName>
    <definedName name="LevelA2799C0" comment="NA==" localSheetId="0" hidden="1">""</definedName>
    <definedName name="LevelA279C0" comment="NA==" localSheetId="0" hidden="1">""</definedName>
    <definedName name="LevelA27C0" comment="NA==" localSheetId="0" hidden="1">""</definedName>
    <definedName name="LevelA28" comment="0" localSheetId="0" hidden="1">""</definedName>
    <definedName name="LevelA280" comment="0" localSheetId="0" hidden="1">""</definedName>
    <definedName name="LevelA2800" comment="0" localSheetId="0" hidden="1">""</definedName>
    <definedName name="LevelA2800C0" comment="NA==" localSheetId="0" hidden="1">""</definedName>
    <definedName name="LevelA2801" comment="0" localSheetId="0" hidden="1">""</definedName>
    <definedName name="LevelA2801C0" comment="NA==" localSheetId="0" hidden="1">""</definedName>
    <definedName name="LevelA2802" comment="0" localSheetId="0" hidden="1">""</definedName>
    <definedName name="LevelA2802C0" comment="NA==" localSheetId="0" hidden="1">""</definedName>
    <definedName name="LevelA2803" comment="0" localSheetId="0" hidden="1">""</definedName>
    <definedName name="LevelA2803C0" comment="NA==" localSheetId="0" hidden="1">""</definedName>
    <definedName name="LevelA2804" comment="0" localSheetId="0" hidden="1">""</definedName>
    <definedName name="LevelA2804C0" comment="NA==" localSheetId="0" hidden="1">""</definedName>
    <definedName name="LevelA2805" comment="0" localSheetId="0" hidden="1">""</definedName>
    <definedName name="LevelA2805C0" comment="NA==" localSheetId="0" hidden="1">""</definedName>
    <definedName name="LevelA2806" comment="0" localSheetId="0" hidden="1">""</definedName>
    <definedName name="LevelA2806C0" comment="NA==" localSheetId="0" hidden="1">""</definedName>
    <definedName name="LevelA2807" comment="0" localSheetId="0" hidden="1">""</definedName>
    <definedName name="LevelA2807C0" comment="NA==" localSheetId="0" hidden="1">""</definedName>
    <definedName name="LevelA2808" comment="0" localSheetId="0" hidden="1">""</definedName>
    <definedName name="LevelA2808C0" comment="NA==" localSheetId="0" hidden="1">""</definedName>
    <definedName name="LevelA2809" comment="0" localSheetId="0" hidden="1">""</definedName>
    <definedName name="LevelA2809C0" comment="NA==" localSheetId="0" hidden="1">""</definedName>
    <definedName name="LevelA280C0" comment="NA==" localSheetId="0" hidden="1">""</definedName>
    <definedName name="LevelA281" comment="0" localSheetId="0" hidden="1">""</definedName>
    <definedName name="LevelA2810" comment="0" localSheetId="0" hidden="1">""</definedName>
    <definedName name="LevelA2810C0" comment="NA==" localSheetId="0" hidden="1">""</definedName>
    <definedName name="LevelA2811" comment="0" localSheetId="0" hidden="1">""</definedName>
    <definedName name="LevelA2811C0" comment="NA==" localSheetId="0" hidden="1">""</definedName>
    <definedName name="LevelA2812" comment="0" localSheetId="0" hidden="1">""</definedName>
    <definedName name="LevelA2812C0" comment="NA==" localSheetId="0" hidden="1">""</definedName>
    <definedName name="LevelA2813" comment="0" localSheetId="0" hidden="1">""</definedName>
    <definedName name="LevelA2813C0" comment="NA==" localSheetId="0" hidden="1">""</definedName>
    <definedName name="LevelA2814" comment="0" localSheetId="0" hidden="1">""</definedName>
    <definedName name="LevelA2814C0" comment="NA==" localSheetId="0" hidden="1">""</definedName>
    <definedName name="LevelA2815" comment="0" localSheetId="0" hidden="1">""</definedName>
    <definedName name="LevelA2815C0" comment="NA==" localSheetId="0" hidden="1">""</definedName>
    <definedName name="LevelA2816" comment="0" localSheetId="0" hidden="1">""</definedName>
    <definedName name="LevelA2816C0" comment="NA==" localSheetId="0" hidden="1">""</definedName>
    <definedName name="LevelA2817" comment="0" localSheetId="0" hidden="1">""</definedName>
    <definedName name="LevelA2817C0" comment="NA==" localSheetId="0" hidden="1">""</definedName>
    <definedName name="LevelA2818" comment="0" localSheetId="0" hidden="1">""</definedName>
    <definedName name="LevelA2818C0" comment="NA==" localSheetId="0" hidden="1">""</definedName>
    <definedName name="LevelA2819" comment="0" localSheetId="0" hidden="1">""</definedName>
    <definedName name="LevelA2819C0" comment="NA==" localSheetId="0" hidden="1">""</definedName>
    <definedName name="LevelA281C0" comment="NA==" localSheetId="0" hidden="1">""</definedName>
    <definedName name="LevelA282" comment="0" localSheetId="0" hidden="1">""</definedName>
    <definedName name="LevelA2820" comment="0" localSheetId="0" hidden="1">""</definedName>
    <definedName name="LevelA2820C0" comment="NA==" localSheetId="0" hidden="1">""</definedName>
    <definedName name="LevelA2821" comment="0" localSheetId="0" hidden="1">""</definedName>
    <definedName name="LevelA2821C0" comment="NA==" localSheetId="0" hidden="1">""</definedName>
    <definedName name="LevelA2822" comment="0" localSheetId="0" hidden="1">""</definedName>
    <definedName name="LevelA2822C0" comment="NA==" localSheetId="0" hidden="1">""</definedName>
    <definedName name="LevelA2823" comment="0" localSheetId="0" hidden="1">""</definedName>
    <definedName name="LevelA2823C0" comment="NA==" localSheetId="0" hidden="1">""</definedName>
    <definedName name="LevelA2824" comment="0" localSheetId="0" hidden="1">""</definedName>
    <definedName name="LevelA2824C0" comment="NA==" localSheetId="0" hidden="1">""</definedName>
    <definedName name="LevelA2825" comment="0" localSheetId="0" hidden="1">""</definedName>
    <definedName name="LevelA2825C0" comment="NA==" localSheetId="0" hidden="1">""</definedName>
    <definedName name="LevelA2826" comment="0" localSheetId="0" hidden="1">""</definedName>
    <definedName name="LevelA2826C0" comment="NA==" localSheetId="0" hidden="1">""</definedName>
    <definedName name="LevelA2827" comment="0" localSheetId="0" hidden="1">""</definedName>
    <definedName name="LevelA2827C0" comment="NA==" localSheetId="0" hidden="1">""</definedName>
    <definedName name="LevelA2828" comment="0" localSheetId="0" hidden="1">""</definedName>
    <definedName name="LevelA2828C0" comment="NA==" localSheetId="0" hidden="1">""</definedName>
    <definedName name="LevelA2829" comment="0" localSheetId="0" hidden="1">""</definedName>
    <definedName name="LevelA2829C0" comment="NA==" localSheetId="0" hidden="1">""</definedName>
    <definedName name="LevelA282C0" comment="NA==" localSheetId="0" hidden="1">""</definedName>
    <definedName name="LevelA283" comment="0" localSheetId="0" hidden="1">""</definedName>
    <definedName name="LevelA2830" comment="0" localSheetId="0" hidden="1">""</definedName>
    <definedName name="LevelA2830C0" comment="NA==" localSheetId="0" hidden="1">""</definedName>
    <definedName name="LevelA2831" comment="0" localSheetId="0" hidden="1">""</definedName>
    <definedName name="LevelA2831C0" comment="NA==" localSheetId="0" hidden="1">""</definedName>
    <definedName name="LevelA2832" comment="0" localSheetId="0" hidden="1">""</definedName>
    <definedName name="LevelA2832C0" comment="NA==" localSheetId="0" hidden="1">""</definedName>
    <definedName name="LevelA2833" comment="0" localSheetId="0" hidden="1">""</definedName>
    <definedName name="LevelA2833C0" comment="NA==" localSheetId="0" hidden="1">""</definedName>
    <definedName name="LevelA2834" comment="0" localSheetId="0" hidden="1">""</definedName>
    <definedName name="LevelA2834C0" comment="NA==" localSheetId="0" hidden="1">""</definedName>
    <definedName name="LevelA2835" comment="0" localSheetId="0" hidden="1">""</definedName>
    <definedName name="LevelA2835C0" comment="NA==" localSheetId="0" hidden="1">""</definedName>
    <definedName name="LevelA2836" comment="0" localSheetId="0" hidden="1">""</definedName>
    <definedName name="LevelA2836C0" comment="NA==" localSheetId="0" hidden="1">""</definedName>
    <definedName name="LevelA2837" comment="0" localSheetId="0" hidden="1">""</definedName>
    <definedName name="LevelA2837C0" comment="NA==" localSheetId="0" hidden="1">""</definedName>
    <definedName name="LevelA2838" comment="0" localSheetId="0" hidden="1">""</definedName>
    <definedName name="LevelA2838C0" comment="NA==" localSheetId="0" hidden="1">""</definedName>
    <definedName name="LevelA2839" comment="0" localSheetId="0" hidden="1">""</definedName>
    <definedName name="LevelA2839C0" comment="NA==" localSheetId="0" hidden="1">""</definedName>
    <definedName name="LevelA283C0" comment="NA==" localSheetId="0" hidden="1">""</definedName>
    <definedName name="LevelA284" comment="0" localSheetId="0" hidden="1">""</definedName>
    <definedName name="LevelA2840" comment="0" localSheetId="0" hidden="1">""</definedName>
    <definedName name="LevelA2840C0" comment="NA==" localSheetId="0" hidden="1">""</definedName>
    <definedName name="LevelA2841" comment="0" localSheetId="0" hidden="1">""</definedName>
    <definedName name="LevelA2841C0" comment="NA==" localSheetId="0" hidden="1">""</definedName>
    <definedName name="LevelA2842" comment="0" localSheetId="0" hidden="1">""</definedName>
    <definedName name="LevelA2842C0" comment="NA==" localSheetId="0" hidden="1">""</definedName>
    <definedName name="LevelA2843" comment="0" localSheetId="0" hidden="1">""</definedName>
    <definedName name="LevelA2843C0" comment="NA==" localSheetId="0" hidden="1">""</definedName>
    <definedName name="LevelA2844" comment="0" localSheetId="0" hidden="1">""</definedName>
    <definedName name="LevelA2844C0" comment="NA==" localSheetId="0" hidden="1">""</definedName>
    <definedName name="LevelA2845" comment="0" localSheetId="0" hidden="1">""</definedName>
    <definedName name="LevelA2845C0" comment="NA==" localSheetId="0" hidden="1">""</definedName>
    <definedName name="LevelA2846" comment="0" localSheetId="0" hidden="1">""</definedName>
    <definedName name="LevelA2846C0" comment="NA==" localSheetId="0" hidden="1">""</definedName>
    <definedName name="LevelA2847" comment="0" localSheetId="0" hidden="1">""</definedName>
    <definedName name="LevelA2847C0" comment="NA==" localSheetId="0" hidden="1">""</definedName>
    <definedName name="LevelA2848" comment="0" localSheetId="0" hidden="1">""</definedName>
    <definedName name="LevelA2848C0" comment="NA==" localSheetId="0" hidden="1">""</definedName>
    <definedName name="LevelA2849" comment="0" localSheetId="0" hidden="1">""</definedName>
    <definedName name="LevelA2849C0" comment="NA==" localSheetId="0" hidden="1">""</definedName>
    <definedName name="LevelA284C0" comment="NA==" localSheetId="0" hidden="1">""</definedName>
    <definedName name="LevelA285" comment="0" localSheetId="0" hidden="1">""</definedName>
    <definedName name="LevelA2850" comment="0" localSheetId="0" hidden="1">""</definedName>
    <definedName name="LevelA2850C0" comment="NA==" localSheetId="0" hidden="1">""</definedName>
    <definedName name="LevelA2851" comment="0" localSheetId="0" hidden="1">""</definedName>
    <definedName name="LevelA2851C0" comment="NA==" localSheetId="0" hidden="1">""</definedName>
    <definedName name="LevelA2852" comment="0" localSheetId="0" hidden="1">""</definedName>
    <definedName name="LevelA2852C0" comment="NA==" localSheetId="0" hidden="1">""</definedName>
    <definedName name="LevelA2853" comment="0" localSheetId="0" hidden="1">""</definedName>
    <definedName name="LevelA2853C0" comment="NA==" localSheetId="0" hidden="1">""</definedName>
    <definedName name="LevelA2854" comment="0" localSheetId="0" hidden="1">""</definedName>
    <definedName name="LevelA2854C0" comment="NA==" localSheetId="0" hidden="1">""</definedName>
    <definedName name="LevelA2855" comment="0" localSheetId="0" hidden="1">""</definedName>
    <definedName name="LevelA2855C0" comment="NA==" localSheetId="0" hidden="1">""</definedName>
    <definedName name="LevelA2856" comment="0" localSheetId="0" hidden="1">""</definedName>
    <definedName name="LevelA2856C0" comment="NA==" localSheetId="0" hidden="1">""</definedName>
    <definedName name="LevelA2857" comment="0" localSheetId="0" hidden="1">""</definedName>
    <definedName name="LevelA2857C0" comment="NA==" localSheetId="0" hidden="1">""</definedName>
    <definedName name="LevelA2858" comment="0" localSheetId="0" hidden="1">""</definedName>
    <definedName name="LevelA2858C0" comment="NA==" localSheetId="0" hidden="1">""</definedName>
    <definedName name="LevelA2859" comment="0" localSheetId="0" hidden="1">""</definedName>
    <definedName name="LevelA2859C0" comment="NA==" localSheetId="0" hidden="1">""</definedName>
    <definedName name="LevelA285C0" comment="NA==" localSheetId="0" hidden="1">""</definedName>
    <definedName name="LevelA286" comment="0" localSheetId="0" hidden="1">""</definedName>
    <definedName name="LevelA2860" comment="0" localSheetId="0" hidden="1">""</definedName>
    <definedName name="LevelA2860C0" comment="NA==" localSheetId="0" hidden="1">""</definedName>
    <definedName name="LevelA2861" comment="0" localSheetId="0" hidden="1">""</definedName>
    <definedName name="LevelA2861C0" comment="NA==" localSheetId="0" hidden="1">""</definedName>
    <definedName name="LevelA2862" comment="0" localSheetId="0" hidden="1">""</definedName>
    <definedName name="LevelA2862C0" comment="NA==" localSheetId="0" hidden="1">""</definedName>
    <definedName name="LevelA2863" comment="0" localSheetId="0" hidden="1">""</definedName>
    <definedName name="LevelA2863C0" comment="NA==" localSheetId="0" hidden="1">""</definedName>
    <definedName name="LevelA2864" comment="0" localSheetId="0" hidden="1">""</definedName>
    <definedName name="LevelA2864C0" comment="NA==" localSheetId="0" hidden="1">""</definedName>
    <definedName name="LevelA2865" comment="0" localSheetId="0" hidden="1">""</definedName>
    <definedName name="LevelA2865C0" comment="NA==" localSheetId="0" hidden="1">""</definedName>
    <definedName name="LevelA2866" comment="0" localSheetId="0" hidden="1">""</definedName>
    <definedName name="LevelA2866C0" comment="NA==" localSheetId="0" hidden="1">""</definedName>
    <definedName name="LevelA2867" comment="0" localSheetId="0" hidden="1">""</definedName>
    <definedName name="LevelA2867C0" comment="NA==" localSheetId="0" hidden="1">""</definedName>
    <definedName name="LevelA2868" comment="0" localSheetId="0" hidden="1">""</definedName>
    <definedName name="LevelA2868C0" comment="NA==" localSheetId="0" hidden="1">""</definedName>
    <definedName name="LevelA2869" comment="0" localSheetId="0" hidden="1">""</definedName>
    <definedName name="LevelA2869C0" comment="NA==" localSheetId="0" hidden="1">""</definedName>
    <definedName name="LevelA286C0" comment="NA==" localSheetId="0" hidden="1">""</definedName>
    <definedName name="LevelA287" comment="0" localSheetId="0" hidden="1">""</definedName>
    <definedName name="LevelA2870" comment="0" localSheetId="0" hidden="1">""</definedName>
    <definedName name="LevelA2870C0" comment="NA==" localSheetId="0" hidden="1">""</definedName>
    <definedName name="LevelA2871" comment="0" localSheetId="0" hidden="1">""</definedName>
    <definedName name="LevelA2871C0" comment="NA==" localSheetId="0" hidden="1">""</definedName>
    <definedName name="LevelA2872" comment="0" localSheetId="0" hidden="1">""</definedName>
    <definedName name="LevelA2872C0" comment="NA==" localSheetId="0" hidden="1">""</definedName>
    <definedName name="LevelA2873" comment="0" localSheetId="0" hidden="1">""</definedName>
    <definedName name="LevelA2873C0" comment="NA==" localSheetId="0" hidden="1">""</definedName>
    <definedName name="LevelA2874" comment="0" localSheetId="0" hidden="1">""</definedName>
    <definedName name="LevelA2874C0" comment="NA==" localSheetId="0" hidden="1">""</definedName>
    <definedName name="LevelA2875" comment="0" localSheetId="0" hidden="1">""</definedName>
    <definedName name="LevelA2875C0" comment="NA==" localSheetId="0" hidden="1">""</definedName>
    <definedName name="LevelA2876" comment="0" localSheetId="0" hidden="1">""</definedName>
    <definedName name="LevelA2876C0" comment="NA==" localSheetId="0" hidden="1">""</definedName>
    <definedName name="LevelA2877" comment="0" localSheetId="0" hidden="1">""</definedName>
    <definedName name="LevelA2877C0" comment="NA==" localSheetId="0" hidden="1">""</definedName>
    <definedName name="LevelA2878" comment="0" localSheetId="0" hidden="1">""</definedName>
    <definedName name="LevelA2878C0" comment="NA==" localSheetId="0" hidden="1">""</definedName>
    <definedName name="LevelA2879" comment="0" localSheetId="0" hidden="1">""</definedName>
    <definedName name="LevelA2879C0" comment="NA==" localSheetId="0" hidden="1">""</definedName>
    <definedName name="LevelA287C0" comment="NA==" localSheetId="0" hidden="1">""</definedName>
    <definedName name="LevelA288" comment="0" localSheetId="0" hidden="1">""</definedName>
    <definedName name="LevelA2880" comment="0" localSheetId="0" hidden="1">""</definedName>
    <definedName name="LevelA2880C0" comment="NA==" localSheetId="0" hidden="1">""</definedName>
    <definedName name="LevelA2881" comment="0" localSheetId="0" hidden="1">""</definedName>
    <definedName name="LevelA2881C0" comment="NA==" localSheetId="0" hidden="1">""</definedName>
    <definedName name="LevelA2882" comment="0" localSheetId="0" hidden="1">""</definedName>
    <definedName name="LevelA2882C0" comment="NA==" localSheetId="0" hidden="1">""</definedName>
    <definedName name="LevelA2883" comment="0" localSheetId="0" hidden="1">""</definedName>
    <definedName name="LevelA2883C0" comment="NA==" localSheetId="0" hidden="1">""</definedName>
    <definedName name="LevelA2884" comment="0" localSheetId="0" hidden="1">""</definedName>
    <definedName name="LevelA2884C0" comment="NA==" localSheetId="0" hidden="1">""</definedName>
    <definedName name="LevelA2885" comment="0" localSheetId="0" hidden="1">""</definedName>
    <definedName name="LevelA2885C0" comment="NA==" localSheetId="0" hidden="1">""</definedName>
    <definedName name="LevelA2886" comment="0" localSheetId="0" hidden="1">""</definedName>
    <definedName name="LevelA2886C0" comment="NA==" localSheetId="0" hidden="1">""</definedName>
    <definedName name="LevelA2887" comment="0" localSheetId="0" hidden="1">""</definedName>
    <definedName name="LevelA2887C0" comment="NA==" localSheetId="0" hidden="1">""</definedName>
    <definedName name="LevelA2888" comment="0" localSheetId="0" hidden="1">""</definedName>
    <definedName name="LevelA2888C0" comment="NA==" localSheetId="0" hidden="1">""</definedName>
    <definedName name="LevelA2889" comment="0" localSheetId="0" hidden="1">""</definedName>
    <definedName name="LevelA2889C0" comment="NA==" localSheetId="0" hidden="1">""</definedName>
    <definedName name="LevelA288C0" comment="NA==" localSheetId="0" hidden="1">""</definedName>
    <definedName name="LevelA289" comment="0" localSheetId="0" hidden="1">""</definedName>
    <definedName name="LevelA2890" comment="0" localSheetId="0" hidden="1">""</definedName>
    <definedName name="LevelA2890C0" comment="NA==" localSheetId="0" hidden="1">""</definedName>
    <definedName name="LevelA2891" comment="0" localSheetId="0" hidden="1">""</definedName>
    <definedName name="LevelA2891C0" comment="NA==" localSheetId="0" hidden="1">""</definedName>
    <definedName name="LevelA2892" comment="0" localSheetId="0" hidden="1">""</definedName>
    <definedName name="LevelA2892C0" comment="NA==" localSheetId="0" hidden="1">""</definedName>
    <definedName name="LevelA2893" comment="0" localSheetId="0" hidden="1">""</definedName>
    <definedName name="LevelA2893C0" comment="NA==" localSheetId="0" hidden="1">""</definedName>
    <definedName name="LevelA2894" comment="0" localSheetId="0" hidden="1">""</definedName>
    <definedName name="LevelA2894C0" comment="NA==" localSheetId="0" hidden="1">""</definedName>
    <definedName name="LevelA2895" comment="0" localSheetId="0" hidden="1">""</definedName>
    <definedName name="LevelA2895C0" comment="NA==" localSheetId="0" hidden="1">""</definedName>
    <definedName name="LevelA2896" comment="0" localSheetId="0" hidden="1">""</definedName>
    <definedName name="LevelA2896C0" comment="NA==" localSheetId="0" hidden="1">""</definedName>
    <definedName name="LevelA2897" comment="0" localSheetId="0" hidden="1">""</definedName>
    <definedName name="LevelA2897C0" comment="NA==" localSheetId="0" hidden="1">""</definedName>
    <definedName name="LevelA2898" comment="0" localSheetId="0" hidden="1">""</definedName>
    <definedName name="LevelA2898C0" comment="NA==" localSheetId="0" hidden="1">""</definedName>
    <definedName name="LevelA2899" comment="0" localSheetId="0" hidden="1">""</definedName>
    <definedName name="LevelA2899C0" comment="NA==" localSheetId="0" hidden="1">""</definedName>
    <definedName name="LevelA289C0" comment="NA==" localSheetId="0" hidden="1">""</definedName>
    <definedName name="LevelA28C0" comment="NA==" localSheetId="0" hidden="1">""</definedName>
    <definedName name="LevelA29" comment="0" localSheetId="0" hidden="1">""</definedName>
    <definedName name="LevelA290" comment="0" localSheetId="0" hidden="1">""</definedName>
    <definedName name="LevelA2900" comment="0" localSheetId="0" hidden="1">""</definedName>
    <definedName name="LevelA2900C0" comment="NA==" localSheetId="0" hidden="1">""</definedName>
    <definedName name="LevelA2901" comment="0" localSheetId="0" hidden="1">""</definedName>
    <definedName name="LevelA2901C0" comment="NA==" localSheetId="0" hidden="1">""</definedName>
    <definedName name="LevelA2902" comment="0" localSheetId="0" hidden="1">""</definedName>
    <definedName name="LevelA2902C0" comment="NA==" localSheetId="0" hidden="1">""</definedName>
    <definedName name="LevelA2903" comment="0" localSheetId="0" hidden="1">""</definedName>
    <definedName name="LevelA2903C0" comment="NA==" localSheetId="0" hidden="1">""</definedName>
    <definedName name="LevelA2904" comment="0" localSheetId="0" hidden="1">""</definedName>
    <definedName name="LevelA2904C0" comment="NA==" localSheetId="0" hidden="1">""</definedName>
    <definedName name="LevelA2905" comment="0" localSheetId="0" hidden="1">""</definedName>
    <definedName name="LevelA2905C0" comment="NA==" localSheetId="0" hidden="1">""</definedName>
    <definedName name="LevelA2906" comment="0" localSheetId="0" hidden="1">""</definedName>
    <definedName name="LevelA2906C0" comment="NA==" localSheetId="0" hidden="1">""</definedName>
    <definedName name="LevelA2907" comment="0" localSheetId="0" hidden="1">""</definedName>
    <definedName name="LevelA2907C0" comment="NA==" localSheetId="0" hidden="1">""</definedName>
    <definedName name="LevelA2908" comment="0" localSheetId="0" hidden="1">""</definedName>
    <definedName name="LevelA2908C0" comment="NA==" localSheetId="0" hidden="1">""</definedName>
    <definedName name="LevelA2909" comment="0" localSheetId="0" hidden="1">""</definedName>
    <definedName name="LevelA2909C0" comment="NA==" localSheetId="0" hidden="1">""</definedName>
    <definedName name="LevelA290C0" comment="NA==" localSheetId="0" hidden="1">""</definedName>
    <definedName name="LevelA291" comment="0" localSheetId="0" hidden="1">""</definedName>
    <definedName name="LevelA2910" comment="0" localSheetId="0" hidden="1">""</definedName>
    <definedName name="LevelA2910C0" comment="NA==" localSheetId="0" hidden="1">""</definedName>
    <definedName name="LevelA2911" comment="0" localSheetId="0" hidden="1">""</definedName>
    <definedName name="LevelA2911C0" comment="NA==" localSheetId="0" hidden="1">""</definedName>
    <definedName name="LevelA2912" comment="0" localSheetId="0" hidden="1">""</definedName>
    <definedName name="LevelA2912C0" comment="NA==" localSheetId="0" hidden="1">""</definedName>
    <definedName name="LevelA2913" comment="0" localSheetId="0" hidden="1">""</definedName>
    <definedName name="LevelA2913C0" comment="NA==" localSheetId="0" hidden="1">""</definedName>
    <definedName name="LevelA2914" comment="0" localSheetId="0" hidden="1">""</definedName>
    <definedName name="LevelA2914C0" comment="NA==" localSheetId="0" hidden="1">""</definedName>
    <definedName name="LevelA2915" comment="0" localSheetId="0" hidden="1">""</definedName>
    <definedName name="LevelA2915C0" comment="NA==" localSheetId="0" hidden="1">""</definedName>
    <definedName name="LevelA2916" comment="0" localSheetId="0" hidden="1">""</definedName>
    <definedName name="LevelA2916C0" comment="NA==" localSheetId="0" hidden="1">""</definedName>
    <definedName name="LevelA2917" comment="0" localSheetId="0" hidden="1">""</definedName>
    <definedName name="LevelA2917C0" comment="NA==" localSheetId="0" hidden="1">""</definedName>
    <definedName name="LevelA2918" comment="0" localSheetId="0" hidden="1">""</definedName>
    <definedName name="LevelA2918C0" comment="NA==" localSheetId="0" hidden="1">""</definedName>
    <definedName name="LevelA2919" comment="0" localSheetId="0" hidden="1">""</definedName>
    <definedName name="LevelA2919C0" comment="NA==" localSheetId="0" hidden="1">""</definedName>
    <definedName name="LevelA291C0" comment="NA==" localSheetId="0" hidden="1">""</definedName>
    <definedName name="LevelA292" comment="0" localSheetId="0" hidden="1">""</definedName>
    <definedName name="LevelA2920" comment="0" localSheetId="0" hidden="1">""</definedName>
    <definedName name="LevelA2920C0" comment="NA==" localSheetId="0" hidden="1">""</definedName>
    <definedName name="LevelA2921" comment="0" localSheetId="0" hidden="1">""</definedName>
    <definedName name="LevelA2921C0" comment="NA==" localSheetId="0" hidden="1">""</definedName>
    <definedName name="LevelA2922" comment="0" localSheetId="0" hidden="1">""</definedName>
    <definedName name="LevelA2922C0" comment="NA==" localSheetId="0" hidden="1">""</definedName>
    <definedName name="LevelA2923" comment="0" localSheetId="0" hidden="1">""</definedName>
    <definedName name="LevelA2923C0" comment="NA==" localSheetId="0" hidden="1">""</definedName>
    <definedName name="LevelA2924" comment="0" localSheetId="0" hidden="1">""</definedName>
    <definedName name="LevelA2924C0" comment="NA==" localSheetId="0" hidden="1">""</definedName>
    <definedName name="LevelA2925" comment="0" localSheetId="0" hidden="1">""</definedName>
    <definedName name="LevelA2925C0" comment="NA==" localSheetId="0" hidden="1">""</definedName>
    <definedName name="LevelA2926" comment="0" localSheetId="0" hidden="1">""</definedName>
    <definedName name="LevelA2926C0" comment="NA==" localSheetId="0" hidden="1">""</definedName>
    <definedName name="LevelA2927" comment="0" localSheetId="0" hidden="1">""</definedName>
    <definedName name="LevelA2927C0" comment="NA==" localSheetId="0" hidden="1">""</definedName>
    <definedName name="LevelA2928" comment="0" localSheetId="0" hidden="1">""</definedName>
    <definedName name="LevelA2928C0" comment="NA==" localSheetId="0" hidden="1">""</definedName>
    <definedName name="LevelA2929" comment="0" localSheetId="0" hidden="1">""</definedName>
    <definedName name="LevelA2929C0" comment="NA==" localSheetId="0" hidden="1">""</definedName>
    <definedName name="LevelA292C0" comment="NA==" localSheetId="0" hidden="1">""</definedName>
    <definedName name="LevelA293" comment="0" localSheetId="0" hidden="1">""</definedName>
    <definedName name="LevelA2930" comment="0" localSheetId="0" hidden="1">""</definedName>
    <definedName name="LevelA2930C0" comment="NA==" localSheetId="0" hidden="1">""</definedName>
    <definedName name="LevelA2931" comment="0" localSheetId="0" hidden="1">""</definedName>
    <definedName name="LevelA2931C0" comment="NA==" localSheetId="0" hidden="1">""</definedName>
    <definedName name="LevelA2932" comment="0" localSheetId="0" hidden="1">""</definedName>
    <definedName name="LevelA2932C0" comment="NA==" localSheetId="0" hidden="1">""</definedName>
    <definedName name="LevelA2933" comment="0" localSheetId="0" hidden="1">""</definedName>
    <definedName name="LevelA2933C0" comment="NA==" localSheetId="0" hidden="1">""</definedName>
    <definedName name="LevelA2934" comment="0" localSheetId="0" hidden="1">""</definedName>
    <definedName name="LevelA2934C0" comment="NA==" localSheetId="0" hidden="1">""</definedName>
    <definedName name="LevelA2935" comment="0" localSheetId="0" hidden="1">""</definedName>
    <definedName name="LevelA2935C0" comment="NA==" localSheetId="0" hidden="1">""</definedName>
    <definedName name="LevelA2936" comment="0" localSheetId="0" hidden="1">""</definedName>
    <definedName name="LevelA2936C0" comment="NA==" localSheetId="0" hidden="1">""</definedName>
    <definedName name="LevelA2937" comment="0" localSheetId="0" hidden="1">""</definedName>
    <definedName name="LevelA2937C0" comment="NA==" localSheetId="0" hidden="1">""</definedName>
    <definedName name="LevelA2938" comment="0" localSheetId="0" hidden="1">""</definedName>
    <definedName name="LevelA2938C0" comment="NA==" localSheetId="0" hidden="1">""</definedName>
    <definedName name="LevelA2939" comment="0" localSheetId="0" hidden="1">""</definedName>
    <definedName name="LevelA2939C0" comment="NA==" localSheetId="0" hidden="1">""</definedName>
    <definedName name="LevelA293C0" comment="NA==" localSheetId="0" hidden="1">""</definedName>
    <definedName name="LevelA294" comment="0" localSheetId="0" hidden="1">""</definedName>
    <definedName name="LevelA2940" comment="0" localSheetId="0" hidden="1">""</definedName>
    <definedName name="LevelA2940C0" comment="NA==" localSheetId="0" hidden="1">""</definedName>
    <definedName name="LevelA2941" comment="0" localSheetId="0" hidden="1">""</definedName>
    <definedName name="LevelA2941C0" comment="NA==" localSheetId="0" hidden="1">""</definedName>
    <definedName name="LevelA2942" comment="0" localSheetId="0" hidden="1">""</definedName>
    <definedName name="LevelA2942C0" comment="NA==" localSheetId="0" hidden="1">""</definedName>
    <definedName name="LevelA2943" comment="0" localSheetId="0" hidden="1">""</definedName>
    <definedName name="LevelA2943C0" comment="NA==" localSheetId="0" hidden="1">""</definedName>
    <definedName name="LevelA2944" comment="0" localSheetId="0" hidden="1">""</definedName>
    <definedName name="LevelA2944C0" comment="NA==" localSheetId="0" hidden="1">""</definedName>
    <definedName name="LevelA2945" comment="0" localSheetId="0" hidden="1">""</definedName>
    <definedName name="LevelA2945C0" comment="NA==" localSheetId="0" hidden="1">""</definedName>
    <definedName name="LevelA2946" comment="0" localSheetId="0" hidden="1">""</definedName>
    <definedName name="LevelA2946C0" comment="NA==" localSheetId="0" hidden="1">""</definedName>
    <definedName name="LevelA2947" comment="0" localSheetId="0" hidden="1">""</definedName>
    <definedName name="LevelA2947C0" comment="NA==" localSheetId="0" hidden="1">""</definedName>
    <definedName name="LevelA2948" comment="0" localSheetId="0" hidden="1">""</definedName>
    <definedName name="LevelA2948C0" comment="NA==" localSheetId="0" hidden="1">""</definedName>
    <definedName name="LevelA2949" comment="0" localSheetId="0" hidden="1">""</definedName>
    <definedName name="LevelA2949C0" comment="NA==" localSheetId="0" hidden="1">""</definedName>
    <definedName name="LevelA294C0" comment="NA==" localSheetId="0" hidden="1">""</definedName>
    <definedName name="LevelA295" comment="0" localSheetId="0" hidden="1">""</definedName>
    <definedName name="LevelA2950" comment="0" localSheetId="0" hidden="1">""</definedName>
    <definedName name="LevelA2950C0" comment="NA==" localSheetId="0" hidden="1">""</definedName>
    <definedName name="LevelA2951" comment="0" localSheetId="0" hidden="1">""</definedName>
    <definedName name="LevelA2951C0" comment="NA==" localSheetId="0" hidden="1">""</definedName>
    <definedName name="LevelA2952" comment="0" localSheetId="0" hidden="1">""</definedName>
    <definedName name="LevelA2952C0" comment="NA==" localSheetId="0" hidden="1">""</definedName>
    <definedName name="LevelA2953" comment="0" localSheetId="0" hidden="1">""</definedName>
    <definedName name="LevelA2953C0" comment="NA==" localSheetId="0" hidden="1">""</definedName>
    <definedName name="LevelA2954" comment="0" localSheetId="0" hidden="1">""</definedName>
    <definedName name="LevelA2954C0" comment="NA==" localSheetId="0" hidden="1">""</definedName>
    <definedName name="LevelA2955" comment="0" localSheetId="0" hidden="1">""</definedName>
    <definedName name="LevelA2955C0" comment="NA==" localSheetId="0" hidden="1">""</definedName>
    <definedName name="LevelA2956" comment="0" localSheetId="0" hidden="1">""</definedName>
    <definedName name="LevelA2956C0" comment="NA==" localSheetId="0" hidden="1">""</definedName>
    <definedName name="LevelA2957" comment="0" localSheetId="0" hidden="1">""</definedName>
    <definedName name="LevelA2957C0" comment="NA==" localSheetId="0" hidden="1">""</definedName>
    <definedName name="LevelA2958" comment="0" localSheetId="0" hidden="1">""</definedName>
    <definedName name="LevelA2958C0" comment="NA==" localSheetId="0" hidden="1">""</definedName>
    <definedName name="LevelA2959" comment="0" localSheetId="0" hidden="1">""</definedName>
    <definedName name="LevelA2959C0" comment="NA==" localSheetId="0" hidden="1">""</definedName>
    <definedName name="LevelA295C0" comment="NA==" localSheetId="0" hidden="1">""</definedName>
    <definedName name="LevelA296" comment="0" localSheetId="0" hidden="1">""</definedName>
    <definedName name="LevelA2960" comment="0" localSheetId="0" hidden="1">""</definedName>
    <definedName name="LevelA2960C0" comment="NA==" localSheetId="0" hidden="1">""</definedName>
    <definedName name="LevelA2961" comment="0" localSheetId="0" hidden="1">""</definedName>
    <definedName name="LevelA2961C0" comment="NA==" localSheetId="0" hidden="1">""</definedName>
    <definedName name="LevelA2962" comment="0" localSheetId="0" hidden="1">""</definedName>
    <definedName name="LevelA2962C0" comment="NA==" localSheetId="0" hidden="1">""</definedName>
    <definedName name="LevelA2963" comment="0" localSheetId="0" hidden="1">""</definedName>
    <definedName name="LevelA2963C0" comment="NA==" localSheetId="0" hidden="1">""</definedName>
    <definedName name="LevelA2964" comment="0" localSheetId="0" hidden="1">""</definedName>
    <definedName name="LevelA2964C0" comment="NA==" localSheetId="0" hidden="1">""</definedName>
    <definedName name="LevelA2965" comment="0" localSheetId="0" hidden="1">""</definedName>
    <definedName name="LevelA2965C0" comment="NA==" localSheetId="0" hidden="1">""</definedName>
    <definedName name="LevelA2966" comment="0" localSheetId="0" hidden="1">""</definedName>
    <definedName name="LevelA2966C0" comment="NA==" localSheetId="0" hidden="1">""</definedName>
    <definedName name="LevelA2967" comment="0" localSheetId="0" hidden="1">""</definedName>
    <definedName name="LevelA2967C0" comment="NA==" localSheetId="0" hidden="1">""</definedName>
    <definedName name="LevelA2968" comment="0" localSheetId="0" hidden="1">""</definedName>
    <definedName name="LevelA2968C0" comment="NA==" localSheetId="0" hidden="1">""</definedName>
    <definedName name="LevelA2969" comment="0" localSheetId="0" hidden="1">""</definedName>
    <definedName name="LevelA2969C0" comment="NA==" localSheetId="0" hidden="1">""</definedName>
    <definedName name="LevelA296C0" comment="NA==" localSheetId="0" hidden="1">""</definedName>
    <definedName name="LevelA297" comment="0" localSheetId="0" hidden="1">""</definedName>
    <definedName name="LevelA2970" comment="0" localSheetId="0" hidden="1">""</definedName>
    <definedName name="LevelA2970C0" comment="NA==" localSheetId="0" hidden="1">""</definedName>
    <definedName name="LevelA2971" comment="0" localSheetId="0" hidden="1">""</definedName>
    <definedName name="LevelA2971C0" comment="NA==" localSheetId="0" hidden="1">""</definedName>
    <definedName name="LevelA2972" comment="0" localSheetId="0" hidden="1">""</definedName>
    <definedName name="LevelA2972C0" comment="NA==" localSheetId="0" hidden="1">""</definedName>
    <definedName name="LevelA2973" comment="0" localSheetId="0" hidden="1">""</definedName>
    <definedName name="LevelA2973C0" comment="NA==" localSheetId="0" hidden="1">""</definedName>
    <definedName name="LevelA2974" comment="0" localSheetId="0" hidden="1">""</definedName>
    <definedName name="LevelA2974C0" comment="NA==" localSheetId="0" hidden="1">""</definedName>
    <definedName name="LevelA2975" comment="0" localSheetId="0" hidden="1">""</definedName>
    <definedName name="LevelA2975C0" comment="NA==" localSheetId="0" hidden="1">""</definedName>
    <definedName name="LevelA2976" comment="0" localSheetId="0" hidden="1">""</definedName>
    <definedName name="LevelA2976C0" comment="NA==" localSheetId="0" hidden="1">""</definedName>
    <definedName name="LevelA2977" comment="0" localSheetId="0" hidden="1">""</definedName>
    <definedName name="LevelA2977C0" comment="NA==" localSheetId="0" hidden="1">""</definedName>
    <definedName name="LevelA2978" comment="0" localSheetId="0" hidden="1">""</definedName>
    <definedName name="LevelA2978C0" comment="NA==" localSheetId="0" hidden="1">""</definedName>
    <definedName name="LevelA2979" comment="0" localSheetId="0" hidden="1">""</definedName>
    <definedName name="LevelA2979C0" comment="NA==" localSheetId="0" hidden="1">""</definedName>
    <definedName name="LevelA297C0" comment="NA==" localSheetId="0" hidden="1">""</definedName>
    <definedName name="LevelA298" comment="0" localSheetId="0" hidden="1">""</definedName>
    <definedName name="LevelA2980" comment="0" localSheetId="0" hidden="1">""</definedName>
    <definedName name="LevelA2980C0" comment="NA==" localSheetId="0" hidden="1">""</definedName>
    <definedName name="LevelA2981" comment="0" localSheetId="0" hidden="1">""</definedName>
    <definedName name="LevelA2981C0" comment="NA==" localSheetId="0" hidden="1">""</definedName>
    <definedName name="LevelA2982" comment="0" localSheetId="0" hidden="1">""</definedName>
    <definedName name="LevelA2982C0" comment="NA==" localSheetId="0" hidden="1">""</definedName>
    <definedName name="LevelA2983" comment="0" localSheetId="0" hidden="1">""</definedName>
    <definedName name="LevelA2983C0" comment="NA==" localSheetId="0" hidden="1">""</definedName>
    <definedName name="LevelA2984" comment="0" localSheetId="0" hidden="1">""</definedName>
    <definedName name="LevelA2984C0" comment="NA==" localSheetId="0" hidden="1">""</definedName>
    <definedName name="LevelA2985" comment="0" localSheetId="0" hidden="1">""</definedName>
    <definedName name="LevelA2985C0" comment="NA==" localSheetId="0" hidden="1">""</definedName>
    <definedName name="LevelA2986" comment="0" localSheetId="0" hidden="1">""</definedName>
    <definedName name="LevelA2986C0" comment="NA==" localSheetId="0" hidden="1">""</definedName>
    <definedName name="LevelA2987" comment="0" localSheetId="0" hidden="1">""</definedName>
    <definedName name="LevelA2987C0" comment="NA==" localSheetId="0" hidden="1">""</definedName>
    <definedName name="LevelA2988" comment="0" localSheetId="0" hidden="1">""</definedName>
    <definedName name="LevelA2988C0" comment="NA==" localSheetId="0" hidden="1">""</definedName>
    <definedName name="LevelA2989" comment="0" localSheetId="0" hidden="1">""</definedName>
    <definedName name="LevelA2989C0" comment="NA==" localSheetId="0" hidden="1">""</definedName>
    <definedName name="LevelA298C0" comment="NA==" localSheetId="0" hidden="1">""</definedName>
    <definedName name="LevelA299" comment="0" localSheetId="0" hidden="1">""</definedName>
    <definedName name="LevelA2990" comment="0" localSheetId="0" hidden="1">""</definedName>
    <definedName name="LevelA2990C0" comment="NA==" localSheetId="0" hidden="1">""</definedName>
    <definedName name="LevelA2991" comment="0" localSheetId="0" hidden="1">""</definedName>
    <definedName name="LevelA2991C0" comment="NA==" localSheetId="0" hidden="1">""</definedName>
    <definedName name="LevelA2992" comment="0" localSheetId="0" hidden="1">""</definedName>
    <definedName name="LevelA2992C0" comment="NA==" localSheetId="0" hidden="1">""</definedName>
    <definedName name="LevelA2993" comment="0" localSheetId="0" hidden="1">""</definedName>
    <definedName name="LevelA2993C0" comment="NA==" localSheetId="0" hidden="1">""</definedName>
    <definedName name="LevelA2994" comment="0" localSheetId="0" hidden="1">""</definedName>
    <definedName name="LevelA2994C0" comment="NA==" localSheetId="0" hidden="1">""</definedName>
    <definedName name="LevelA2995" comment="0" localSheetId="0" hidden="1">""</definedName>
    <definedName name="LevelA2995C0" comment="NA==" localSheetId="0" hidden="1">""</definedName>
    <definedName name="LevelA2996" comment="0" localSheetId="0" hidden="1">""</definedName>
    <definedName name="LevelA2996C0" comment="NA==" localSheetId="0" hidden="1">""</definedName>
    <definedName name="LevelA2997" comment="0" localSheetId="0" hidden="1">""</definedName>
    <definedName name="LevelA2997C0" comment="NA==" localSheetId="0" hidden="1">""</definedName>
    <definedName name="LevelA2998" comment="0" localSheetId="0" hidden="1">""</definedName>
    <definedName name="LevelA2998C0" comment="NA==" localSheetId="0" hidden="1">""</definedName>
    <definedName name="LevelA2999" comment="0" localSheetId="0" hidden="1">""</definedName>
    <definedName name="LevelA2999C0" comment="NA==" localSheetId="0" hidden="1">""</definedName>
    <definedName name="LevelA299C0" comment="NA==" localSheetId="0" hidden="1">""</definedName>
    <definedName name="LevelA29C0" comment="NA==" localSheetId="0" hidden="1">""</definedName>
    <definedName name="LevelA2C0" comment="NA==" localSheetId="0" hidden="1">""</definedName>
    <definedName name="LevelA3" comment="0" localSheetId="0" hidden="1">""</definedName>
    <definedName name="LevelA30" comment="0" localSheetId="0" hidden="1">""</definedName>
    <definedName name="LevelA300" comment="0" localSheetId="0" hidden="1">""</definedName>
    <definedName name="LevelA3000" comment="0" localSheetId="0" hidden="1">""</definedName>
    <definedName name="LevelA3000C0" comment="NA==" localSheetId="0" hidden="1">""</definedName>
    <definedName name="LevelA3001" comment="0" localSheetId="0" hidden="1">""</definedName>
    <definedName name="LevelA3001C0" comment="NA==" localSheetId="0" hidden="1">""</definedName>
    <definedName name="LevelA3002" comment="0" localSheetId="0" hidden="1">""</definedName>
    <definedName name="LevelA3002C0" comment="NA==" localSheetId="0" hidden="1">""</definedName>
    <definedName name="LevelA3003" comment="0" localSheetId="0" hidden="1">""</definedName>
    <definedName name="LevelA3003C0" comment="NA==" localSheetId="0" hidden="1">""</definedName>
    <definedName name="LevelA3004" comment="0" localSheetId="0" hidden="1">""</definedName>
    <definedName name="LevelA3004C0" comment="NA==" localSheetId="0" hidden="1">""</definedName>
    <definedName name="LevelA3005" comment="0" localSheetId="0" hidden="1">""</definedName>
    <definedName name="LevelA3005C0" comment="NA==" localSheetId="0" hidden="1">""</definedName>
    <definedName name="LevelA3006" comment="0" localSheetId="0" hidden="1">""</definedName>
    <definedName name="LevelA3006C0" comment="NA==" localSheetId="0" hidden="1">""</definedName>
    <definedName name="LevelA3007" comment="0" localSheetId="0" hidden="1">""</definedName>
    <definedName name="LevelA3007C0" comment="NA==" localSheetId="0" hidden="1">""</definedName>
    <definedName name="LevelA3008" comment="0" localSheetId="0" hidden="1">""</definedName>
    <definedName name="LevelA3008C0" comment="NA==" localSheetId="0" hidden="1">""</definedName>
    <definedName name="LevelA3009" comment="0" localSheetId="0" hidden="1">""</definedName>
    <definedName name="LevelA3009C0" comment="NA==" localSheetId="0" hidden="1">""</definedName>
    <definedName name="LevelA300C0" comment="NA==" localSheetId="0" hidden="1">""</definedName>
    <definedName name="LevelA301" comment="0" localSheetId="0" hidden="1">""</definedName>
    <definedName name="LevelA3010" comment="0" localSheetId="0" hidden="1">""</definedName>
    <definedName name="LevelA3010C0" comment="NA==" localSheetId="0" hidden="1">""</definedName>
    <definedName name="LevelA3011" comment="0" localSheetId="0" hidden="1">""</definedName>
    <definedName name="LevelA3011C0" comment="NA==" localSheetId="0" hidden="1">""</definedName>
    <definedName name="LevelA3012" comment="0" localSheetId="0" hidden="1">""</definedName>
    <definedName name="LevelA3012C0" comment="NA==" localSheetId="0" hidden="1">""</definedName>
    <definedName name="LevelA3013" comment="0" localSheetId="0" hidden="1">""</definedName>
    <definedName name="LevelA3013C0" comment="NA==" localSheetId="0" hidden="1">""</definedName>
    <definedName name="LevelA3014" comment="0" localSheetId="0" hidden="1">""</definedName>
    <definedName name="LevelA3014C0" comment="NA==" localSheetId="0" hidden="1">""</definedName>
    <definedName name="LevelA3015" comment="0" localSheetId="0" hidden="1">""</definedName>
    <definedName name="LevelA3015C0" comment="NA==" localSheetId="0" hidden="1">""</definedName>
    <definedName name="LevelA3016" comment="0" localSheetId="0" hidden="1">""</definedName>
    <definedName name="LevelA3016C0" comment="NA==" localSheetId="0" hidden="1">""</definedName>
    <definedName name="LevelA3017" comment="0" localSheetId="0" hidden="1">""</definedName>
    <definedName name="LevelA3017C0" comment="NA==" localSheetId="0" hidden="1">""</definedName>
    <definedName name="LevelA3018" comment="0" localSheetId="0" hidden="1">""</definedName>
    <definedName name="LevelA3018C0" comment="NA==" localSheetId="0" hidden="1">""</definedName>
    <definedName name="LevelA3019" comment="0" localSheetId="0" hidden="1">""</definedName>
    <definedName name="LevelA3019C0" comment="NA==" localSheetId="0" hidden="1">""</definedName>
    <definedName name="LevelA301C0" comment="NA==" localSheetId="0" hidden="1">""</definedName>
    <definedName name="LevelA302" comment="0" localSheetId="0" hidden="1">""</definedName>
    <definedName name="LevelA3020" comment="0" localSheetId="0" hidden="1">""</definedName>
    <definedName name="LevelA3020C0" comment="NA==" localSheetId="0" hidden="1">""</definedName>
    <definedName name="LevelA3021" comment="0" localSheetId="0" hidden="1">""</definedName>
    <definedName name="LevelA3021C0" comment="NA==" localSheetId="0" hidden="1">""</definedName>
    <definedName name="LevelA3022" comment="0" localSheetId="0" hidden="1">""</definedName>
    <definedName name="LevelA3022C0" comment="NA==" localSheetId="0" hidden="1">""</definedName>
    <definedName name="LevelA3023" comment="0" localSheetId="0" hidden="1">""</definedName>
    <definedName name="LevelA3023C0" comment="NA==" localSheetId="0" hidden="1">""</definedName>
    <definedName name="LevelA3024" comment="0" localSheetId="0" hidden="1">""</definedName>
    <definedName name="LevelA3024C0" comment="NA==" localSheetId="0" hidden="1">""</definedName>
    <definedName name="LevelA3025" comment="0" localSheetId="0" hidden="1">""</definedName>
    <definedName name="LevelA3025C0" comment="NA==" localSheetId="0" hidden="1">""</definedName>
    <definedName name="LevelA3026" comment="0" localSheetId="0" hidden="1">""</definedName>
    <definedName name="LevelA3026C0" comment="NA==" localSheetId="0" hidden="1">""</definedName>
    <definedName name="LevelA3027" comment="0" localSheetId="0" hidden="1">""</definedName>
    <definedName name="LevelA3027C0" comment="NA==" localSheetId="0" hidden="1">""</definedName>
    <definedName name="LevelA3028" comment="0" localSheetId="0" hidden="1">""</definedName>
    <definedName name="LevelA3028C0" comment="NA==" localSheetId="0" hidden="1">""</definedName>
    <definedName name="LevelA3029" comment="0" localSheetId="0" hidden="1">""</definedName>
    <definedName name="LevelA3029C0" comment="NA==" localSheetId="0" hidden="1">""</definedName>
    <definedName name="LevelA302C0" comment="NA==" localSheetId="0" hidden="1">""</definedName>
    <definedName name="LevelA303" comment="0" localSheetId="0" hidden="1">""</definedName>
    <definedName name="LevelA3030" comment="0" localSheetId="0" hidden="1">""</definedName>
    <definedName name="LevelA3030C0" comment="NA==" localSheetId="0" hidden="1">""</definedName>
    <definedName name="LevelA3031" comment="0" localSheetId="0" hidden="1">""</definedName>
    <definedName name="LevelA3031C0" comment="NA==" localSheetId="0" hidden="1">""</definedName>
    <definedName name="LevelA3032" comment="0" localSheetId="0" hidden="1">""</definedName>
    <definedName name="LevelA3032C0" comment="NA==" localSheetId="0" hidden="1">""</definedName>
    <definedName name="LevelA3033" comment="0" localSheetId="0" hidden="1">""</definedName>
    <definedName name="LevelA3033C0" comment="NA==" localSheetId="0" hidden="1">""</definedName>
    <definedName name="LevelA3034" comment="0" localSheetId="0" hidden="1">""</definedName>
    <definedName name="LevelA3034C0" comment="NA==" localSheetId="0" hidden="1">""</definedName>
    <definedName name="LevelA3035" comment="0" localSheetId="0" hidden="1">""</definedName>
    <definedName name="LevelA3035C0" comment="NA==" localSheetId="0" hidden="1">""</definedName>
    <definedName name="LevelA3036" comment="0" localSheetId="0" hidden="1">""</definedName>
    <definedName name="LevelA3036C0" comment="NA==" localSheetId="0" hidden="1">""</definedName>
    <definedName name="LevelA3037" comment="0" localSheetId="0" hidden="1">""</definedName>
    <definedName name="LevelA3037C0" comment="NA==" localSheetId="0" hidden="1">""</definedName>
    <definedName name="LevelA3038" comment="0" localSheetId="0" hidden="1">""</definedName>
    <definedName name="LevelA3038C0" comment="NA==" localSheetId="0" hidden="1">""</definedName>
    <definedName name="LevelA3039" comment="0" localSheetId="0" hidden="1">""</definedName>
    <definedName name="LevelA3039C0" comment="NA==" localSheetId="0" hidden="1">""</definedName>
    <definedName name="LevelA303C0" comment="NA==" localSheetId="0" hidden="1">""</definedName>
    <definedName name="LevelA304" comment="0" localSheetId="0" hidden="1">""</definedName>
    <definedName name="LevelA3040" comment="0" localSheetId="0" hidden="1">""</definedName>
    <definedName name="LevelA3040C0" comment="NA==" localSheetId="0" hidden="1">""</definedName>
    <definedName name="LevelA3041" comment="0" localSheetId="0" hidden="1">""</definedName>
    <definedName name="LevelA3041C0" comment="NA==" localSheetId="0" hidden="1">""</definedName>
    <definedName name="LevelA3042" comment="0" localSheetId="0" hidden="1">""</definedName>
    <definedName name="LevelA3042C0" comment="NA==" localSheetId="0" hidden="1">""</definedName>
    <definedName name="LevelA3043" comment="0" localSheetId="0" hidden="1">""</definedName>
    <definedName name="LevelA3043C0" comment="NA==" localSheetId="0" hidden="1">""</definedName>
    <definedName name="LevelA3044" comment="0" localSheetId="0" hidden="1">""</definedName>
    <definedName name="LevelA3044C0" comment="NA==" localSheetId="0" hidden="1">""</definedName>
    <definedName name="LevelA3045" comment="0" localSheetId="0" hidden="1">""</definedName>
    <definedName name="LevelA3045C0" comment="NA==" localSheetId="0" hidden="1">""</definedName>
    <definedName name="LevelA3046" comment="0" localSheetId="0" hidden="1">""</definedName>
    <definedName name="LevelA3046C0" comment="NA==" localSheetId="0" hidden="1">""</definedName>
    <definedName name="LevelA3047" comment="0" localSheetId="0" hidden="1">""</definedName>
    <definedName name="LevelA3047C0" comment="NA==" localSheetId="0" hidden="1">""</definedName>
    <definedName name="LevelA3048" comment="0" localSheetId="0" hidden="1">""</definedName>
    <definedName name="LevelA3048C0" comment="NA==" localSheetId="0" hidden="1">""</definedName>
    <definedName name="LevelA3049" comment="0" localSheetId="0" hidden="1">""</definedName>
    <definedName name="LevelA3049C0" comment="NA==" localSheetId="0" hidden="1">""</definedName>
    <definedName name="LevelA304C0" comment="NA==" localSheetId="0" hidden="1">""</definedName>
    <definedName name="LevelA305" comment="0" localSheetId="0" hidden="1">""</definedName>
    <definedName name="LevelA3050" comment="0" localSheetId="0" hidden="1">""</definedName>
    <definedName name="LevelA3050C0" comment="NA==" localSheetId="0" hidden="1">""</definedName>
    <definedName name="LevelA3051" comment="0" localSheetId="0" hidden="1">""</definedName>
    <definedName name="LevelA3051C0" comment="NA==" localSheetId="0" hidden="1">""</definedName>
    <definedName name="LevelA3052" comment="0" localSheetId="0" hidden="1">""</definedName>
    <definedName name="LevelA3052C0" comment="NA==" localSheetId="0" hidden="1">""</definedName>
    <definedName name="LevelA3053" comment="0" localSheetId="0" hidden="1">""</definedName>
    <definedName name="LevelA3053C0" comment="NA==" localSheetId="0" hidden="1">""</definedName>
    <definedName name="LevelA3054" comment="0" localSheetId="0" hidden="1">""</definedName>
    <definedName name="LevelA3054C0" comment="NA==" localSheetId="0" hidden="1">""</definedName>
    <definedName name="LevelA3055" comment="0" localSheetId="0" hidden="1">""</definedName>
    <definedName name="LevelA3055C0" comment="NA==" localSheetId="0" hidden="1">""</definedName>
    <definedName name="LevelA3056" comment="0" localSheetId="0" hidden="1">""</definedName>
    <definedName name="LevelA3056C0" comment="NA==" localSheetId="0" hidden="1">""</definedName>
    <definedName name="LevelA3057" comment="0" localSheetId="0" hidden="1">""</definedName>
    <definedName name="LevelA3057C0" comment="NA==" localSheetId="0" hidden="1">""</definedName>
    <definedName name="LevelA3058" comment="0" localSheetId="0" hidden="1">""</definedName>
    <definedName name="LevelA3058C0" comment="NA==" localSheetId="0" hidden="1">""</definedName>
    <definedName name="LevelA3059" comment="0" localSheetId="0" hidden="1">""</definedName>
    <definedName name="LevelA3059C0" comment="NA==" localSheetId="0" hidden="1">""</definedName>
    <definedName name="LevelA305C0" comment="NA==" localSheetId="0" hidden="1">""</definedName>
    <definedName name="LevelA306" comment="0" localSheetId="0" hidden="1">""</definedName>
    <definedName name="LevelA3060" comment="0" localSheetId="0" hidden="1">""</definedName>
    <definedName name="LevelA3060C0" comment="NA==" localSheetId="0" hidden="1">""</definedName>
    <definedName name="LevelA3061" comment="0" localSheetId="0" hidden="1">""</definedName>
    <definedName name="LevelA3061C0" comment="NA==" localSheetId="0" hidden="1">""</definedName>
    <definedName name="LevelA3062" comment="0" localSheetId="0" hidden="1">""</definedName>
    <definedName name="LevelA3062C0" comment="NA==" localSheetId="0" hidden="1">""</definedName>
    <definedName name="LevelA3063" comment="0" localSheetId="0" hidden="1">""</definedName>
    <definedName name="LevelA3063C0" comment="NA==" localSheetId="0" hidden="1">""</definedName>
    <definedName name="LevelA3064" comment="0" localSheetId="0" hidden="1">""</definedName>
    <definedName name="LevelA3064C0" comment="NA==" localSheetId="0" hidden="1">""</definedName>
    <definedName name="LevelA3065" comment="0" localSheetId="0" hidden="1">""</definedName>
    <definedName name="LevelA3065C0" comment="NA==" localSheetId="0" hidden="1">""</definedName>
    <definedName name="LevelA3066" comment="0" localSheetId="0" hidden="1">""</definedName>
    <definedName name="LevelA3066C0" comment="NA==" localSheetId="0" hidden="1">""</definedName>
    <definedName name="LevelA3067" comment="0" localSheetId="0" hidden="1">""</definedName>
    <definedName name="LevelA3067C0" comment="NA==" localSheetId="0" hidden="1">""</definedName>
    <definedName name="LevelA3068" comment="0" localSheetId="0" hidden="1">""</definedName>
    <definedName name="LevelA3068C0" comment="NA==" localSheetId="0" hidden="1">""</definedName>
    <definedName name="LevelA3069" comment="0" localSheetId="0" hidden="1">""</definedName>
    <definedName name="LevelA3069C0" comment="NA==" localSheetId="0" hidden="1">""</definedName>
    <definedName name="LevelA306C0" comment="NA==" localSheetId="0" hidden="1">""</definedName>
    <definedName name="LevelA307" comment="0" localSheetId="0" hidden="1">""</definedName>
    <definedName name="LevelA3070" comment="0" localSheetId="0" hidden="1">""</definedName>
    <definedName name="LevelA3070C0" comment="NA==" localSheetId="0" hidden="1">""</definedName>
    <definedName name="LevelA3071" comment="0" localSheetId="0" hidden="1">""</definedName>
    <definedName name="LevelA3071C0" comment="NA==" localSheetId="0" hidden="1">""</definedName>
    <definedName name="LevelA3072" comment="0" localSheetId="0" hidden="1">""</definedName>
    <definedName name="LevelA3072C0" comment="NA==" localSheetId="0" hidden="1">""</definedName>
    <definedName name="LevelA3073" comment="0" localSheetId="0" hidden="1">""</definedName>
    <definedName name="LevelA3073C0" comment="NA==" localSheetId="0" hidden="1">""</definedName>
    <definedName name="LevelA3074" comment="0" localSheetId="0" hidden="1">""</definedName>
    <definedName name="LevelA3074C0" comment="NA==" localSheetId="0" hidden="1">""</definedName>
    <definedName name="LevelA3075" comment="0" localSheetId="0" hidden="1">""</definedName>
    <definedName name="LevelA3075C0" comment="NA==" localSheetId="0" hidden="1">""</definedName>
    <definedName name="LevelA3076" comment="0" localSheetId="0" hidden="1">""</definedName>
    <definedName name="LevelA3076C0" comment="NA==" localSheetId="0" hidden="1">""</definedName>
    <definedName name="LevelA3077" comment="0" localSheetId="0" hidden="1">""</definedName>
    <definedName name="LevelA3077C0" comment="NA==" localSheetId="0" hidden="1">""</definedName>
    <definedName name="LevelA3078" comment="0" localSheetId="0" hidden="1">""</definedName>
    <definedName name="LevelA3078C0" comment="NA==" localSheetId="0" hidden="1">""</definedName>
    <definedName name="LevelA3079" comment="0" localSheetId="0" hidden="1">""</definedName>
    <definedName name="LevelA3079C0" comment="NA==" localSheetId="0" hidden="1">""</definedName>
    <definedName name="LevelA307C0" comment="NA==" localSheetId="0" hidden="1">""</definedName>
    <definedName name="LevelA308" comment="0" localSheetId="0" hidden="1">""</definedName>
    <definedName name="LevelA3080" comment="0" localSheetId="0" hidden="1">""</definedName>
    <definedName name="LevelA3080C0" comment="NA==" localSheetId="0" hidden="1">""</definedName>
    <definedName name="LevelA3081" comment="0" localSheetId="0" hidden="1">""</definedName>
    <definedName name="LevelA3081C0" comment="NA==" localSheetId="0" hidden="1">""</definedName>
    <definedName name="LevelA3082" comment="0" localSheetId="0" hidden="1">""</definedName>
    <definedName name="LevelA3082C0" comment="NA==" localSheetId="0" hidden="1">""</definedName>
    <definedName name="LevelA3083" comment="0" localSheetId="0" hidden="1">""</definedName>
    <definedName name="LevelA3083C0" comment="NA==" localSheetId="0" hidden="1">""</definedName>
    <definedName name="LevelA3084" comment="0" localSheetId="0" hidden="1">""</definedName>
    <definedName name="LevelA3084C0" comment="NA==" localSheetId="0" hidden="1">""</definedName>
    <definedName name="LevelA3085" comment="0" localSheetId="0" hidden="1">""</definedName>
    <definedName name="LevelA3085C0" comment="NA==" localSheetId="0" hidden="1">""</definedName>
    <definedName name="LevelA3086" comment="0" localSheetId="0" hidden="1">""</definedName>
    <definedName name="LevelA3086C0" comment="NA==" localSheetId="0" hidden="1">""</definedName>
    <definedName name="LevelA3087" comment="0" localSheetId="0" hidden="1">""</definedName>
    <definedName name="LevelA3087C0" comment="NA==" localSheetId="0" hidden="1">""</definedName>
    <definedName name="LevelA3088" comment="0" localSheetId="0" hidden="1">""</definedName>
    <definedName name="LevelA3088C0" comment="NA==" localSheetId="0" hidden="1">""</definedName>
    <definedName name="LevelA3089" comment="0" localSheetId="0" hidden="1">""</definedName>
    <definedName name="LevelA3089C0" comment="NA==" localSheetId="0" hidden="1">""</definedName>
    <definedName name="LevelA308C0" comment="NA==" localSheetId="0" hidden="1">""</definedName>
    <definedName name="LevelA309" comment="0" localSheetId="0" hidden="1">""</definedName>
    <definedName name="LevelA3090" comment="0" localSheetId="0" hidden="1">""</definedName>
    <definedName name="LevelA3090C0" comment="NA==" localSheetId="0" hidden="1">""</definedName>
    <definedName name="LevelA3091" comment="0" localSheetId="0" hidden="1">""</definedName>
    <definedName name="LevelA3091C0" comment="NA==" localSheetId="0" hidden="1">""</definedName>
    <definedName name="LevelA3092" comment="0" localSheetId="0" hidden="1">""</definedName>
    <definedName name="LevelA3092C0" comment="NA==" localSheetId="0" hidden="1">""</definedName>
    <definedName name="LevelA3093" comment="0" localSheetId="0" hidden="1">""</definedName>
    <definedName name="LevelA3093C0" comment="NA==" localSheetId="0" hidden="1">""</definedName>
    <definedName name="LevelA3094" comment="0" localSheetId="0" hidden="1">""</definedName>
    <definedName name="LevelA3094C0" comment="NA==" localSheetId="0" hidden="1">""</definedName>
    <definedName name="LevelA3095" comment="0" localSheetId="0" hidden="1">""</definedName>
    <definedName name="LevelA3095C0" comment="NA==" localSheetId="0" hidden="1">""</definedName>
    <definedName name="LevelA3096" comment="0" localSheetId="0" hidden="1">""</definedName>
    <definedName name="LevelA3096C0" comment="NA==" localSheetId="0" hidden="1">""</definedName>
    <definedName name="LevelA3097" comment="0" localSheetId="0" hidden="1">""</definedName>
    <definedName name="LevelA3097C0" comment="NA==" localSheetId="0" hidden="1">""</definedName>
    <definedName name="LevelA3098" comment="0" localSheetId="0" hidden="1">""</definedName>
    <definedName name="LevelA3098C0" comment="NA==" localSheetId="0" hidden="1">""</definedName>
    <definedName name="LevelA3099" comment="0" localSheetId="0" hidden="1">""</definedName>
    <definedName name="LevelA3099C0" comment="NA==" localSheetId="0" hidden="1">""</definedName>
    <definedName name="LevelA309C0" comment="NA==" localSheetId="0" hidden="1">""</definedName>
    <definedName name="LevelA30C0" comment="NA==" localSheetId="0" hidden="1">""</definedName>
    <definedName name="LevelA31" comment="0" localSheetId="0" hidden="1">""</definedName>
    <definedName name="LevelA310" comment="0" localSheetId="0" hidden="1">""</definedName>
    <definedName name="LevelA3100" comment="0" localSheetId="0" hidden="1">""</definedName>
    <definedName name="LevelA3100C0" comment="NA==" localSheetId="0" hidden="1">""</definedName>
    <definedName name="LevelA3101" comment="0" localSheetId="0" hidden="1">""</definedName>
    <definedName name="LevelA3101C0" comment="NA==" localSheetId="0" hidden="1">""</definedName>
    <definedName name="LevelA3102" comment="0" localSheetId="0" hidden="1">""</definedName>
    <definedName name="LevelA3102C0" comment="NA==" localSheetId="0" hidden="1">""</definedName>
    <definedName name="LevelA3103" comment="0" localSheetId="0" hidden="1">""</definedName>
    <definedName name="LevelA3103C0" comment="NA==" localSheetId="0" hidden="1">""</definedName>
    <definedName name="LevelA3104" comment="0" localSheetId="0" hidden="1">""</definedName>
    <definedName name="LevelA3104C0" comment="NA==" localSheetId="0" hidden="1">""</definedName>
    <definedName name="LevelA3105" comment="0" localSheetId="0" hidden="1">""</definedName>
    <definedName name="LevelA3105C0" comment="NA==" localSheetId="0" hidden="1">""</definedName>
    <definedName name="LevelA3106" comment="0" localSheetId="0" hidden="1">""</definedName>
    <definedName name="LevelA3106C0" comment="NA==" localSheetId="0" hidden="1">""</definedName>
    <definedName name="LevelA3107" comment="0" localSheetId="0" hidden="1">""</definedName>
    <definedName name="LevelA3107C0" comment="NA==" localSheetId="0" hidden="1">""</definedName>
    <definedName name="LevelA3108" comment="0" localSheetId="0" hidden="1">""</definedName>
    <definedName name="LevelA3108C0" comment="NA==" localSheetId="0" hidden="1">""</definedName>
    <definedName name="LevelA3109" comment="0" localSheetId="0" hidden="1">""</definedName>
    <definedName name="LevelA3109C0" comment="NA==" localSheetId="0" hidden="1">""</definedName>
    <definedName name="LevelA310C0" comment="NA==" localSheetId="0" hidden="1">""</definedName>
    <definedName name="LevelA311" comment="0" localSheetId="0" hidden="1">""</definedName>
    <definedName name="LevelA3110" comment="0" localSheetId="0" hidden="1">""</definedName>
    <definedName name="LevelA3110C0" comment="NA==" localSheetId="0" hidden="1">""</definedName>
    <definedName name="LevelA3111" comment="0" localSheetId="0" hidden="1">""</definedName>
    <definedName name="LevelA3111C0" comment="NA==" localSheetId="0" hidden="1">""</definedName>
    <definedName name="LevelA3112" comment="0" localSheetId="0" hidden="1">""</definedName>
    <definedName name="LevelA3112C0" comment="NA==" localSheetId="0" hidden="1">""</definedName>
    <definedName name="LevelA3113" comment="0" localSheetId="0" hidden="1">""</definedName>
    <definedName name="LevelA3113C0" comment="NA==" localSheetId="0" hidden="1">""</definedName>
    <definedName name="LevelA3114" comment="0" localSheetId="0" hidden="1">""</definedName>
    <definedName name="LevelA3114C0" comment="NA==" localSheetId="0" hidden="1">""</definedName>
    <definedName name="LevelA3115" comment="0" localSheetId="0" hidden="1">""</definedName>
    <definedName name="LevelA3115C0" comment="NA==" localSheetId="0" hidden="1">""</definedName>
    <definedName name="LevelA3116" comment="0" localSheetId="0" hidden="1">""</definedName>
    <definedName name="LevelA3116C0" comment="NA==" localSheetId="0" hidden="1">""</definedName>
    <definedName name="LevelA3117" comment="0" localSheetId="0" hidden="1">""</definedName>
    <definedName name="LevelA3117C0" comment="NA==" localSheetId="0" hidden="1">""</definedName>
    <definedName name="LevelA3118" comment="0" localSheetId="0" hidden="1">""</definedName>
    <definedName name="LevelA3118C0" comment="NA==" localSheetId="0" hidden="1">""</definedName>
    <definedName name="LevelA3119" comment="0" localSheetId="0" hidden="1">""</definedName>
    <definedName name="LevelA3119C0" comment="NA==" localSheetId="0" hidden="1">""</definedName>
    <definedName name="LevelA311C0" comment="NA==" localSheetId="0" hidden="1">""</definedName>
    <definedName name="LevelA312" comment="0" localSheetId="0" hidden="1">""</definedName>
    <definedName name="LevelA3120" comment="0" localSheetId="0" hidden="1">""</definedName>
    <definedName name="LevelA3120C0" comment="NA==" localSheetId="0" hidden="1">""</definedName>
    <definedName name="LevelA3121" comment="0" localSheetId="0" hidden="1">""</definedName>
    <definedName name="LevelA3121C0" comment="NA==" localSheetId="0" hidden="1">""</definedName>
    <definedName name="LevelA3122" comment="0" localSheetId="0" hidden="1">""</definedName>
    <definedName name="LevelA3122C0" comment="NA==" localSheetId="0" hidden="1">""</definedName>
    <definedName name="LevelA3123" comment="0" localSheetId="0" hidden="1">""</definedName>
    <definedName name="LevelA3123C0" comment="NA==" localSheetId="0" hidden="1">""</definedName>
    <definedName name="LevelA3124" comment="0" localSheetId="0" hidden="1">""</definedName>
    <definedName name="LevelA3124C0" comment="NA==" localSheetId="0" hidden="1">""</definedName>
    <definedName name="LevelA3125" comment="0" localSheetId="0" hidden="1">""</definedName>
    <definedName name="LevelA3125C0" comment="NA==" localSheetId="0" hidden="1">""</definedName>
    <definedName name="LevelA3126" comment="0" localSheetId="0" hidden="1">""</definedName>
    <definedName name="LevelA3126C0" comment="NA==" localSheetId="0" hidden="1">""</definedName>
    <definedName name="LevelA3127" comment="0" localSheetId="0" hidden="1">""</definedName>
    <definedName name="LevelA3127C0" comment="NA==" localSheetId="0" hidden="1">""</definedName>
    <definedName name="LevelA3128" comment="0" localSheetId="0" hidden="1">""</definedName>
    <definedName name="LevelA3128C0" comment="NA==" localSheetId="0" hidden="1">""</definedName>
    <definedName name="LevelA3129" comment="0" localSheetId="0" hidden="1">""</definedName>
    <definedName name="LevelA3129C0" comment="NA==" localSheetId="0" hidden="1">""</definedName>
    <definedName name="LevelA312C0" comment="NA==" localSheetId="0" hidden="1">""</definedName>
    <definedName name="LevelA313" comment="0" localSheetId="0" hidden="1">""</definedName>
    <definedName name="LevelA3130" comment="0" localSheetId="0" hidden="1">""</definedName>
    <definedName name="LevelA3130C0" comment="NA==" localSheetId="0" hidden="1">""</definedName>
    <definedName name="LevelA3131" comment="0" localSheetId="0" hidden="1">""</definedName>
    <definedName name="LevelA3131C0" comment="NA==" localSheetId="0" hidden="1">""</definedName>
    <definedName name="LevelA3132" comment="0" localSheetId="0" hidden="1">""</definedName>
    <definedName name="LevelA3132C0" comment="NA==" localSheetId="0" hidden="1">""</definedName>
    <definedName name="LevelA3133" comment="0" localSheetId="0" hidden="1">""</definedName>
    <definedName name="LevelA3133C0" comment="NA==" localSheetId="0" hidden="1">""</definedName>
    <definedName name="LevelA3134" comment="0" localSheetId="0" hidden="1">""</definedName>
    <definedName name="LevelA3134C0" comment="NA==" localSheetId="0" hidden="1">""</definedName>
    <definedName name="LevelA3135" comment="0" localSheetId="0" hidden="1">""</definedName>
    <definedName name="LevelA3135C0" comment="NA==" localSheetId="0" hidden="1">""</definedName>
    <definedName name="LevelA3136" comment="0" localSheetId="0" hidden="1">""</definedName>
    <definedName name="LevelA3136C0" comment="NA==" localSheetId="0" hidden="1">""</definedName>
    <definedName name="LevelA3137" comment="0" localSheetId="0" hidden="1">""</definedName>
    <definedName name="LevelA3137C0" comment="NA==" localSheetId="0" hidden="1">""</definedName>
    <definedName name="LevelA3138" comment="0" localSheetId="0" hidden="1">""</definedName>
    <definedName name="LevelA3138C0" comment="NA==" localSheetId="0" hidden="1">""</definedName>
    <definedName name="LevelA3139" comment="0" localSheetId="0" hidden="1">""</definedName>
    <definedName name="LevelA3139C0" comment="NA==" localSheetId="0" hidden="1">""</definedName>
    <definedName name="LevelA313C0" comment="NA==" localSheetId="0" hidden="1">""</definedName>
    <definedName name="LevelA314" comment="0" localSheetId="0" hidden="1">""</definedName>
    <definedName name="LevelA3140" comment="0" localSheetId="0" hidden="1">""</definedName>
    <definedName name="LevelA3140C0" comment="NA==" localSheetId="0" hidden="1">""</definedName>
    <definedName name="LevelA3141" comment="0" localSheetId="0" hidden="1">""</definedName>
    <definedName name="LevelA3141C0" comment="NA==" localSheetId="0" hidden="1">""</definedName>
    <definedName name="LevelA3142" comment="0" localSheetId="0" hidden="1">""</definedName>
    <definedName name="LevelA3142C0" comment="NA==" localSheetId="0" hidden="1">""</definedName>
    <definedName name="LevelA3143" comment="0" localSheetId="0" hidden="1">""</definedName>
    <definedName name="LevelA3143C0" comment="NA==" localSheetId="0" hidden="1">""</definedName>
    <definedName name="LevelA3144" comment="0" localSheetId="0" hidden="1">""</definedName>
    <definedName name="LevelA3144C0" comment="NA==" localSheetId="0" hidden="1">""</definedName>
    <definedName name="LevelA3145" comment="0" localSheetId="0" hidden="1">""</definedName>
    <definedName name="LevelA3145C0" comment="NA==" localSheetId="0" hidden="1">""</definedName>
    <definedName name="LevelA3146" comment="0" localSheetId="0" hidden="1">""</definedName>
    <definedName name="LevelA3146C0" comment="NA==" localSheetId="0" hidden="1">""</definedName>
    <definedName name="LevelA3147" comment="0" localSheetId="0" hidden="1">""</definedName>
    <definedName name="LevelA3147C0" comment="NA==" localSheetId="0" hidden="1">""</definedName>
    <definedName name="LevelA3148" comment="0" localSheetId="0" hidden="1">""</definedName>
    <definedName name="LevelA3148C0" comment="NA==" localSheetId="0" hidden="1">""</definedName>
    <definedName name="LevelA3149" comment="0" localSheetId="0" hidden="1">""</definedName>
    <definedName name="LevelA3149C0" comment="NA==" localSheetId="0" hidden="1">""</definedName>
    <definedName name="LevelA314C0" comment="NA==" localSheetId="0" hidden="1">""</definedName>
    <definedName name="LevelA315" comment="0" localSheetId="0" hidden="1">""</definedName>
    <definedName name="LevelA3150" comment="0" localSheetId="0" hidden="1">""</definedName>
    <definedName name="LevelA3150C0" comment="NA==" localSheetId="0" hidden="1">""</definedName>
    <definedName name="LevelA3151" comment="0" localSheetId="0" hidden="1">""</definedName>
    <definedName name="LevelA3151C0" comment="NA==" localSheetId="0" hidden="1">""</definedName>
    <definedName name="LevelA3152" comment="0" localSheetId="0" hidden="1">""</definedName>
    <definedName name="LevelA3152C0" comment="NA==" localSheetId="0" hidden="1">""</definedName>
    <definedName name="LevelA3153" comment="0" localSheetId="0" hidden="1">""</definedName>
    <definedName name="LevelA3153C0" comment="NA==" localSheetId="0" hidden="1">""</definedName>
    <definedName name="LevelA3154" comment="0" localSheetId="0" hidden="1">""</definedName>
    <definedName name="LevelA3154C0" comment="NA==" localSheetId="0" hidden="1">""</definedName>
    <definedName name="LevelA3155" comment="0" localSheetId="0" hidden="1">""</definedName>
    <definedName name="LevelA3155C0" comment="NA==" localSheetId="0" hidden="1">""</definedName>
    <definedName name="LevelA3156" comment="0" localSheetId="0" hidden="1">""</definedName>
    <definedName name="LevelA3156C0" comment="NA==" localSheetId="0" hidden="1">""</definedName>
    <definedName name="LevelA3157" comment="0" localSheetId="0" hidden="1">""</definedName>
    <definedName name="LevelA3157C0" comment="NA==" localSheetId="0" hidden="1">""</definedName>
    <definedName name="LevelA3158" comment="0" localSheetId="0" hidden="1">""</definedName>
    <definedName name="LevelA3158C0" comment="NA==" localSheetId="0" hidden="1">""</definedName>
    <definedName name="LevelA3159" comment="0" localSheetId="0" hidden="1">""</definedName>
    <definedName name="LevelA3159C0" comment="NA==" localSheetId="0" hidden="1">""</definedName>
    <definedName name="LevelA315C0" comment="NA==" localSheetId="0" hidden="1">""</definedName>
    <definedName name="LevelA316" comment="0" localSheetId="0" hidden="1">""</definedName>
    <definedName name="LevelA3160" comment="0" localSheetId="0" hidden="1">""</definedName>
    <definedName name="LevelA3160C0" comment="NA==" localSheetId="0" hidden="1">""</definedName>
    <definedName name="LevelA3161" comment="0" localSheetId="0" hidden="1">""</definedName>
    <definedName name="LevelA3161C0" comment="NA==" localSheetId="0" hidden="1">""</definedName>
    <definedName name="LevelA3162" comment="0" localSheetId="0" hidden="1">""</definedName>
    <definedName name="LevelA3162C0" comment="NA==" localSheetId="0" hidden="1">""</definedName>
    <definedName name="LevelA3163" comment="0" localSheetId="0" hidden="1">""</definedName>
    <definedName name="LevelA3163C0" comment="NA==" localSheetId="0" hidden="1">""</definedName>
    <definedName name="LevelA3164" comment="0" localSheetId="0" hidden="1">""</definedName>
    <definedName name="LevelA3164C0" comment="NA==" localSheetId="0" hidden="1">""</definedName>
    <definedName name="LevelA3165" comment="0" localSheetId="0" hidden="1">""</definedName>
    <definedName name="LevelA3165C0" comment="NA==" localSheetId="0" hidden="1">""</definedName>
    <definedName name="LevelA3166" comment="0" localSheetId="0" hidden="1">""</definedName>
    <definedName name="LevelA3166C0" comment="NA==" localSheetId="0" hidden="1">""</definedName>
    <definedName name="LevelA3167" comment="0" localSheetId="0" hidden="1">""</definedName>
    <definedName name="LevelA3167C0" comment="NA==" localSheetId="0" hidden="1">""</definedName>
    <definedName name="LevelA3168" comment="0" localSheetId="0" hidden="1">""</definedName>
    <definedName name="LevelA3168C0" comment="NA==" localSheetId="0" hidden="1">""</definedName>
    <definedName name="LevelA3169" comment="0" localSheetId="0" hidden="1">""</definedName>
    <definedName name="LevelA3169C0" comment="NA==" localSheetId="0" hidden="1">""</definedName>
    <definedName name="LevelA316C0" comment="NA==" localSheetId="0" hidden="1">""</definedName>
    <definedName name="LevelA317" comment="0" localSheetId="0" hidden="1">""</definedName>
    <definedName name="LevelA3170" comment="0" localSheetId="0" hidden="1">""</definedName>
    <definedName name="LevelA3170C0" comment="NA==" localSheetId="0" hidden="1">""</definedName>
    <definedName name="LevelA3171" comment="0" localSheetId="0" hidden="1">""</definedName>
    <definedName name="LevelA3171C0" comment="NA==" localSheetId="0" hidden="1">""</definedName>
    <definedName name="LevelA3172" comment="0" localSheetId="0" hidden="1">""</definedName>
    <definedName name="LevelA3172C0" comment="NA==" localSheetId="0" hidden="1">""</definedName>
    <definedName name="LevelA3173" comment="0" localSheetId="0" hidden="1">""</definedName>
    <definedName name="LevelA3173C0" comment="NA==" localSheetId="0" hidden="1">""</definedName>
    <definedName name="LevelA3174" comment="0" localSheetId="0" hidden="1">""</definedName>
    <definedName name="LevelA3174C0" comment="NA==" localSheetId="0" hidden="1">""</definedName>
    <definedName name="LevelA3175" comment="0" localSheetId="0" hidden="1">""</definedName>
    <definedName name="LevelA3175C0" comment="NA==" localSheetId="0" hidden="1">""</definedName>
    <definedName name="LevelA3176" comment="0" localSheetId="0" hidden="1">""</definedName>
    <definedName name="LevelA3176C0" comment="NA==" localSheetId="0" hidden="1">""</definedName>
    <definedName name="LevelA3177" comment="0" localSheetId="0" hidden="1">""</definedName>
    <definedName name="LevelA3177C0" comment="NA==" localSheetId="0" hidden="1">""</definedName>
    <definedName name="LevelA3178" comment="0" localSheetId="0" hidden="1">""</definedName>
    <definedName name="LevelA3178C0" comment="NA==" localSheetId="0" hidden="1">""</definedName>
    <definedName name="LevelA3179" comment="0" localSheetId="0" hidden="1">""</definedName>
    <definedName name="LevelA3179C0" comment="NA==" localSheetId="0" hidden="1">""</definedName>
    <definedName name="LevelA317C0" comment="NA==" localSheetId="0" hidden="1">""</definedName>
    <definedName name="LevelA318" comment="0" localSheetId="0" hidden="1">""</definedName>
    <definedName name="LevelA3180" comment="0" localSheetId="0" hidden="1">""</definedName>
    <definedName name="LevelA3180C0" comment="NA==" localSheetId="0" hidden="1">""</definedName>
    <definedName name="LevelA3181" comment="0" localSheetId="0" hidden="1">""</definedName>
    <definedName name="LevelA3181C0" comment="NA==" localSheetId="0" hidden="1">""</definedName>
    <definedName name="LevelA3182" comment="0" localSheetId="0" hidden="1">""</definedName>
    <definedName name="LevelA3182C0" comment="NA==" localSheetId="0" hidden="1">""</definedName>
    <definedName name="LevelA3183" comment="0" localSheetId="0" hidden="1">""</definedName>
    <definedName name="LevelA3183C0" comment="NA==" localSheetId="0" hidden="1">""</definedName>
    <definedName name="LevelA3184" comment="0" localSheetId="0" hidden="1">""</definedName>
    <definedName name="LevelA3184C0" comment="NA==" localSheetId="0" hidden="1">""</definedName>
    <definedName name="LevelA3185" comment="0" localSheetId="0" hidden="1">""</definedName>
    <definedName name="LevelA3185C0" comment="NA==" localSheetId="0" hidden="1">""</definedName>
    <definedName name="LevelA3186" comment="0" localSheetId="0" hidden="1">""</definedName>
    <definedName name="LevelA3186C0" comment="NA==" localSheetId="0" hidden="1">""</definedName>
    <definedName name="LevelA3187" comment="0" localSheetId="0" hidden="1">""</definedName>
    <definedName name="LevelA3187C0" comment="NA==" localSheetId="0" hidden="1">""</definedName>
    <definedName name="LevelA3188" comment="0" localSheetId="0" hidden="1">""</definedName>
    <definedName name="LevelA3188C0" comment="NA==" localSheetId="0" hidden="1">""</definedName>
    <definedName name="LevelA3189" comment="0" localSheetId="0" hidden="1">""</definedName>
    <definedName name="LevelA3189C0" comment="NA==" localSheetId="0" hidden="1">""</definedName>
    <definedName name="LevelA318C0" comment="NA==" localSheetId="0" hidden="1">""</definedName>
    <definedName name="LevelA319" comment="0" localSheetId="0" hidden="1">""</definedName>
    <definedName name="LevelA3190" comment="0" localSheetId="0" hidden="1">""</definedName>
    <definedName name="LevelA3190C0" comment="NA==" localSheetId="0" hidden="1">""</definedName>
    <definedName name="LevelA3191" comment="0" localSheetId="0" hidden="1">""</definedName>
    <definedName name="LevelA3191C0" comment="NA==" localSheetId="0" hidden="1">""</definedName>
    <definedName name="LevelA3192" comment="0" localSheetId="0" hidden="1">""</definedName>
    <definedName name="LevelA3192C0" comment="NA==" localSheetId="0" hidden="1">""</definedName>
    <definedName name="LevelA3193" comment="0" localSheetId="0" hidden="1">""</definedName>
    <definedName name="LevelA3193C0" comment="NA==" localSheetId="0" hidden="1">""</definedName>
    <definedName name="LevelA3194" comment="0" localSheetId="0" hidden="1">""</definedName>
    <definedName name="LevelA3194C0" comment="NA==" localSheetId="0" hidden="1">""</definedName>
    <definedName name="LevelA3195" comment="0" localSheetId="0" hidden="1">""</definedName>
    <definedName name="LevelA3195C0" comment="NA==" localSheetId="0" hidden="1">""</definedName>
    <definedName name="LevelA3196" comment="0" localSheetId="0" hidden="1">""</definedName>
    <definedName name="LevelA3196C0" comment="NA==" localSheetId="0" hidden="1">""</definedName>
    <definedName name="LevelA3197" comment="0" localSheetId="0" hidden="1">""</definedName>
    <definedName name="LevelA3197C0" comment="NA==" localSheetId="0" hidden="1">""</definedName>
    <definedName name="LevelA3198" comment="0" localSheetId="0" hidden="1">""</definedName>
    <definedName name="LevelA3198C0" comment="NA==" localSheetId="0" hidden="1">""</definedName>
    <definedName name="LevelA3199" comment="0" localSheetId="0" hidden="1">""</definedName>
    <definedName name="LevelA3199C0" comment="NA==" localSheetId="0" hidden="1">""</definedName>
    <definedName name="LevelA319C0" comment="NA==" localSheetId="0" hidden="1">""</definedName>
    <definedName name="LevelA31C0" comment="NA==" localSheetId="0" hidden="1">""</definedName>
    <definedName name="LevelA32" comment="0" localSheetId="0" hidden="1">""</definedName>
    <definedName name="LevelA320" comment="0" localSheetId="0" hidden="1">""</definedName>
    <definedName name="LevelA3200" comment="0" localSheetId="0" hidden="1">""</definedName>
    <definedName name="LevelA3200C0" comment="NA==" localSheetId="0" hidden="1">""</definedName>
    <definedName name="LevelA3201" comment="0" localSheetId="0" hidden="1">""</definedName>
    <definedName name="LevelA3201C0" comment="NA==" localSheetId="0" hidden="1">""</definedName>
    <definedName name="LevelA3202" comment="0" localSheetId="0" hidden="1">""</definedName>
    <definedName name="LevelA3202C0" comment="NA==" localSheetId="0" hidden="1">""</definedName>
    <definedName name="LevelA3203" comment="0" localSheetId="0" hidden="1">""</definedName>
    <definedName name="LevelA3203C0" comment="NA==" localSheetId="0" hidden="1">""</definedName>
    <definedName name="LevelA3204" comment="0" localSheetId="0" hidden="1">""</definedName>
    <definedName name="LevelA3204C0" comment="NA==" localSheetId="0" hidden="1">""</definedName>
    <definedName name="LevelA3205" comment="0" localSheetId="0" hidden="1">""</definedName>
    <definedName name="LevelA3205C0" comment="NA==" localSheetId="0" hidden="1">""</definedName>
    <definedName name="LevelA3206" comment="0" localSheetId="0" hidden="1">""</definedName>
    <definedName name="LevelA3206C0" comment="NA==" localSheetId="0" hidden="1">""</definedName>
    <definedName name="LevelA3207" comment="0" localSheetId="0" hidden="1">""</definedName>
    <definedName name="LevelA3207C0" comment="NA==" localSheetId="0" hidden="1">""</definedName>
    <definedName name="LevelA3208" comment="0" localSheetId="0" hidden="1">""</definedName>
    <definedName name="LevelA3208C0" comment="NA==" localSheetId="0" hidden="1">""</definedName>
    <definedName name="LevelA3209" comment="0" localSheetId="0" hidden="1">""</definedName>
    <definedName name="LevelA3209C0" comment="NA==" localSheetId="0" hidden="1">""</definedName>
    <definedName name="LevelA320C0" comment="NA==" localSheetId="0" hidden="1">""</definedName>
    <definedName name="LevelA321" comment="0" localSheetId="0" hidden="1">""</definedName>
    <definedName name="LevelA3210" comment="0" localSheetId="0" hidden="1">""</definedName>
    <definedName name="LevelA3210C0" comment="NA==" localSheetId="0" hidden="1">""</definedName>
    <definedName name="LevelA3211" comment="0" localSheetId="0" hidden="1">""</definedName>
    <definedName name="LevelA3211C0" comment="NA==" localSheetId="0" hidden="1">""</definedName>
    <definedName name="LevelA3212" comment="0" localSheetId="0" hidden="1">""</definedName>
    <definedName name="LevelA3212C0" comment="NA==" localSheetId="0" hidden="1">""</definedName>
    <definedName name="LevelA3213" comment="0" localSheetId="0" hidden="1">""</definedName>
    <definedName name="LevelA3213C0" comment="NA==" localSheetId="0" hidden="1">""</definedName>
    <definedName name="LevelA3214" comment="0" localSheetId="0" hidden="1">""</definedName>
    <definedName name="LevelA3214C0" comment="NA==" localSheetId="0" hidden="1">""</definedName>
    <definedName name="LevelA3215" comment="0" localSheetId="0" hidden="1">""</definedName>
    <definedName name="LevelA3215C0" comment="NA==" localSheetId="0" hidden="1">""</definedName>
    <definedName name="LevelA3216" comment="0" localSheetId="0" hidden="1">""</definedName>
    <definedName name="LevelA3216C0" comment="NA==" localSheetId="0" hidden="1">""</definedName>
    <definedName name="LevelA3217" comment="0" localSheetId="0" hidden="1">""</definedName>
    <definedName name="LevelA3217C0" comment="NA==" localSheetId="0" hidden="1">""</definedName>
    <definedName name="LevelA3218" comment="0" localSheetId="0" hidden="1">""</definedName>
    <definedName name="LevelA3218C0" comment="NA==" localSheetId="0" hidden="1">""</definedName>
    <definedName name="LevelA3219" comment="0" localSheetId="0" hidden="1">""</definedName>
    <definedName name="LevelA3219C0" comment="NA==" localSheetId="0" hidden="1">""</definedName>
    <definedName name="LevelA321C0" comment="NA==" localSheetId="0" hidden="1">""</definedName>
    <definedName name="LevelA322" comment="0" localSheetId="0" hidden="1">""</definedName>
    <definedName name="LevelA3220" comment="0" localSheetId="0" hidden="1">""</definedName>
    <definedName name="LevelA3220C0" comment="NA==" localSheetId="0" hidden="1">""</definedName>
    <definedName name="LevelA3221" comment="0" localSheetId="0" hidden="1">""</definedName>
    <definedName name="LevelA3221C0" comment="NA==" localSheetId="0" hidden="1">""</definedName>
    <definedName name="LevelA3222" comment="0" localSheetId="0" hidden="1">""</definedName>
    <definedName name="LevelA3222C0" comment="NA==" localSheetId="0" hidden="1">""</definedName>
    <definedName name="LevelA3223" comment="0" localSheetId="0" hidden="1">""</definedName>
    <definedName name="LevelA3223C0" comment="NA==" localSheetId="0" hidden="1">""</definedName>
    <definedName name="LevelA3224" comment="0" localSheetId="0" hidden="1">""</definedName>
    <definedName name="LevelA3224C0" comment="NA==" localSheetId="0" hidden="1">""</definedName>
    <definedName name="LevelA3225" comment="0" localSheetId="0" hidden="1">""</definedName>
    <definedName name="LevelA3225C0" comment="NA==" localSheetId="0" hidden="1">""</definedName>
    <definedName name="LevelA3226" comment="0" localSheetId="0" hidden="1">""</definedName>
    <definedName name="LevelA3226C0" comment="NA==" localSheetId="0" hidden="1">""</definedName>
    <definedName name="LevelA3227" comment="0" localSheetId="0" hidden="1">""</definedName>
    <definedName name="LevelA3227C0" comment="NA==" localSheetId="0" hidden="1">""</definedName>
    <definedName name="LevelA3228" comment="0" localSheetId="0" hidden="1">""</definedName>
    <definedName name="LevelA3228C0" comment="NA==" localSheetId="0" hidden="1">""</definedName>
    <definedName name="LevelA3229" comment="0" localSheetId="0" hidden="1">""</definedName>
    <definedName name="LevelA3229C0" comment="NA==" localSheetId="0" hidden="1">""</definedName>
    <definedName name="LevelA322C0" comment="NA==" localSheetId="0" hidden="1">""</definedName>
    <definedName name="LevelA323" comment="0" localSheetId="0" hidden="1">""</definedName>
    <definedName name="LevelA3230" comment="0" localSheetId="0" hidden="1">""</definedName>
    <definedName name="LevelA3230C0" comment="NA==" localSheetId="0" hidden="1">""</definedName>
    <definedName name="LevelA3231" comment="0" localSheetId="0" hidden="1">""</definedName>
    <definedName name="LevelA3231C0" comment="NA==" localSheetId="0" hidden="1">""</definedName>
    <definedName name="LevelA3232" comment="0" localSheetId="0" hidden="1">""</definedName>
    <definedName name="LevelA3232C0" comment="NA==" localSheetId="0" hidden="1">""</definedName>
    <definedName name="LevelA3233" comment="0" localSheetId="0" hidden="1">""</definedName>
    <definedName name="LevelA3233C0" comment="NA==" localSheetId="0" hidden="1">""</definedName>
    <definedName name="LevelA3234" comment="0" localSheetId="0" hidden="1">""</definedName>
    <definedName name="LevelA3234C0" comment="NA==" localSheetId="0" hidden="1">""</definedName>
    <definedName name="LevelA3235" comment="0" localSheetId="0" hidden="1">""</definedName>
    <definedName name="LevelA3235C0" comment="NA==" localSheetId="0" hidden="1">""</definedName>
    <definedName name="LevelA3236" comment="0" localSheetId="0" hidden="1">""</definedName>
    <definedName name="LevelA3236C0" comment="NA==" localSheetId="0" hidden="1">""</definedName>
    <definedName name="LevelA3237" comment="0" localSheetId="0" hidden="1">""</definedName>
    <definedName name="LevelA3237C0" comment="NA==" localSheetId="0" hidden="1">""</definedName>
    <definedName name="LevelA3238" comment="0" localSheetId="0" hidden="1">""</definedName>
    <definedName name="LevelA3238C0" comment="NA==" localSheetId="0" hidden="1">""</definedName>
    <definedName name="LevelA3239" comment="0" localSheetId="0" hidden="1">""</definedName>
    <definedName name="LevelA3239C0" comment="NA==" localSheetId="0" hidden="1">""</definedName>
    <definedName name="LevelA323C0" comment="NA==" localSheetId="0" hidden="1">""</definedName>
    <definedName name="LevelA324" comment="0" localSheetId="0" hidden="1">""</definedName>
    <definedName name="LevelA3240" comment="0" localSheetId="0" hidden="1">""</definedName>
    <definedName name="LevelA3240C0" comment="NA==" localSheetId="0" hidden="1">""</definedName>
    <definedName name="LevelA3241" comment="0" localSheetId="0" hidden="1">""</definedName>
    <definedName name="LevelA3241C0" comment="NA==" localSheetId="0" hidden="1">""</definedName>
    <definedName name="LevelA3242" comment="0" localSheetId="0" hidden="1">""</definedName>
    <definedName name="LevelA3242C0" comment="NA==" localSheetId="0" hidden="1">""</definedName>
    <definedName name="LevelA3243" comment="0" localSheetId="0" hidden="1">""</definedName>
    <definedName name="LevelA3243C0" comment="NA==" localSheetId="0" hidden="1">""</definedName>
    <definedName name="LevelA3244" comment="0" localSheetId="0" hidden="1">""</definedName>
    <definedName name="LevelA3244C0" comment="NA==" localSheetId="0" hidden="1">""</definedName>
    <definedName name="LevelA3245" comment="0" localSheetId="0" hidden="1">""</definedName>
    <definedName name="LevelA3245C0" comment="NA==" localSheetId="0" hidden="1">""</definedName>
    <definedName name="LevelA3246" comment="0" localSheetId="0" hidden="1">""</definedName>
    <definedName name="LevelA3246C0" comment="NA==" localSheetId="0" hidden="1">""</definedName>
    <definedName name="LevelA3247" comment="0" localSheetId="0" hidden="1">""</definedName>
    <definedName name="LevelA3247C0" comment="NA==" localSheetId="0" hidden="1">""</definedName>
    <definedName name="LevelA3248" comment="0" localSheetId="0" hidden="1">""</definedName>
    <definedName name="LevelA3248C0" comment="NA==" localSheetId="0" hidden="1">""</definedName>
    <definedName name="LevelA3249" comment="0" localSheetId="0" hidden="1">""</definedName>
    <definedName name="LevelA3249C0" comment="NA==" localSheetId="0" hidden="1">""</definedName>
    <definedName name="LevelA324C0" comment="NA==" localSheetId="0" hidden="1">""</definedName>
    <definedName name="LevelA325" comment="0" localSheetId="0" hidden="1">""</definedName>
    <definedName name="LevelA3250" comment="0" localSheetId="0" hidden="1">""</definedName>
    <definedName name="LevelA3250C0" comment="NA==" localSheetId="0" hidden="1">""</definedName>
    <definedName name="LevelA3251" comment="0" localSheetId="0" hidden="1">""</definedName>
    <definedName name="LevelA3251C0" comment="NA==" localSheetId="0" hidden="1">""</definedName>
    <definedName name="LevelA3252" comment="0" localSheetId="0" hidden="1">""</definedName>
    <definedName name="LevelA3252C0" comment="NA==" localSheetId="0" hidden="1">""</definedName>
    <definedName name="LevelA3253" comment="0" localSheetId="0" hidden="1">""</definedName>
    <definedName name="LevelA3253C0" comment="NA==" localSheetId="0" hidden="1">""</definedName>
    <definedName name="LevelA3254" comment="0" localSheetId="0" hidden="1">""</definedName>
    <definedName name="LevelA3254C0" comment="NA==" localSheetId="0" hidden="1">""</definedName>
    <definedName name="LevelA3255" comment="0" localSheetId="0" hidden="1">""</definedName>
    <definedName name="LevelA3255C0" comment="NA==" localSheetId="0" hidden="1">""</definedName>
    <definedName name="LevelA3256" comment="0" localSheetId="0" hidden="1">""</definedName>
    <definedName name="LevelA3256C0" comment="NA==" localSheetId="0" hidden="1">""</definedName>
    <definedName name="LevelA3257" comment="0" localSheetId="0" hidden="1">""</definedName>
    <definedName name="LevelA3257C0" comment="NA==" localSheetId="0" hidden="1">""</definedName>
    <definedName name="LevelA3258" comment="0" localSheetId="0" hidden="1">""</definedName>
    <definedName name="LevelA3258C0" comment="NA==" localSheetId="0" hidden="1">""</definedName>
    <definedName name="LevelA3259" comment="0" localSheetId="0" hidden="1">""</definedName>
    <definedName name="LevelA3259C0" comment="NA==" localSheetId="0" hidden="1">""</definedName>
    <definedName name="LevelA325C0" comment="NA==" localSheetId="0" hidden="1">""</definedName>
    <definedName name="LevelA326" comment="0" localSheetId="0" hidden="1">""</definedName>
    <definedName name="LevelA3260" comment="0" localSheetId="0" hidden="1">""</definedName>
    <definedName name="LevelA3260C0" comment="NA==" localSheetId="0" hidden="1">""</definedName>
    <definedName name="LevelA3261" comment="0" localSheetId="0" hidden="1">""</definedName>
    <definedName name="LevelA3261C0" comment="NA==" localSheetId="0" hidden="1">""</definedName>
    <definedName name="LevelA3262" comment="0" localSheetId="0" hidden="1">""</definedName>
    <definedName name="LevelA3262C0" comment="NA==" localSheetId="0" hidden="1">""</definedName>
    <definedName name="LevelA3263" comment="0" localSheetId="0" hidden="1">""</definedName>
    <definedName name="LevelA3263C0" comment="NA==" localSheetId="0" hidden="1">""</definedName>
    <definedName name="LevelA3264" comment="0" localSheetId="0" hidden="1">""</definedName>
    <definedName name="LevelA3264C0" comment="NA==" localSheetId="0" hidden="1">""</definedName>
    <definedName name="LevelA3265" comment="0" localSheetId="0" hidden="1">""</definedName>
    <definedName name="LevelA3265C0" comment="NA==" localSheetId="0" hidden="1">""</definedName>
    <definedName name="LevelA3266" comment="0" localSheetId="0" hidden="1">""</definedName>
    <definedName name="LevelA3266C0" comment="NA==" localSheetId="0" hidden="1">""</definedName>
    <definedName name="LevelA3267" comment="0" localSheetId="0" hidden="1">""</definedName>
    <definedName name="LevelA3267C0" comment="NA==" localSheetId="0" hidden="1">""</definedName>
    <definedName name="LevelA3268" comment="0" localSheetId="0" hidden="1">""</definedName>
    <definedName name="LevelA3268C0" comment="NA==" localSheetId="0" hidden="1">""</definedName>
    <definedName name="LevelA3269" comment="0" localSheetId="0" hidden="1">""</definedName>
    <definedName name="LevelA3269C0" comment="NA==" localSheetId="0" hidden="1">""</definedName>
    <definedName name="LevelA326C0" comment="NA==" localSheetId="0" hidden="1">""</definedName>
    <definedName name="LevelA327" comment="0" localSheetId="0" hidden="1">""</definedName>
    <definedName name="LevelA3270" comment="0" localSheetId="0" hidden="1">""</definedName>
    <definedName name="LevelA3270C0" comment="NA==" localSheetId="0" hidden="1">""</definedName>
    <definedName name="LevelA3271" comment="0" localSheetId="0" hidden="1">""</definedName>
    <definedName name="LevelA3271C0" comment="NA==" localSheetId="0" hidden="1">""</definedName>
    <definedName name="LevelA3272" comment="0" localSheetId="0" hidden="1">""</definedName>
    <definedName name="LevelA3272C0" comment="NA==" localSheetId="0" hidden="1">""</definedName>
    <definedName name="LevelA3273" comment="0" localSheetId="0" hidden="1">""</definedName>
    <definedName name="LevelA3273C0" comment="NA==" localSheetId="0" hidden="1">""</definedName>
    <definedName name="LevelA3274" comment="0" localSheetId="0" hidden="1">""</definedName>
    <definedName name="LevelA3274C0" comment="NA==" localSheetId="0" hidden="1">""</definedName>
    <definedName name="LevelA3275" comment="0" localSheetId="0" hidden="1">""</definedName>
    <definedName name="LevelA3275C0" comment="NA==" localSheetId="0" hidden="1">""</definedName>
    <definedName name="LevelA3276" comment="0" localSheetId="0" hidden="1">""</definedName>
    <definedName name="LevelA3276C0" comment="NA==" localSheetId="0" hidden="1">""</definedName>
    <definedName name="LevelA3277" comment="0" localSheetId="0" hidden="1">""</definedName>
    <definedName name="LevelA3277C0" comment="NA==" localSheetId="0" hidden="1">""</definedName>
    <definedName name="LevelA3278" comment="0" localSheetId="0" hidden="1">""</definedName>
    <definedName name="LevelA3278C0" comment="NA==" localSheetId="0" hidden="1">""</definedName>
    <definedName name="LevelA3279" comment="0" localSheetId="0" hidden="1">""</definedName>
    <definedName name="LevelA3279C0" comment="NA==" localSheetId="0" hidden="1">""</definedName>
    <definedName name="LevelA327C0" comment="NA==" localSheetId="0" hidden="1">""</definedName>
    <definedName name="LevelA328" comment="0" localSheetId="0" hidden="1">""</definedName>
    <definedName name="LevelA3280" comment="0" localSheetId="0" hidden="1">""</definedName>
    <definedName name="LevelA3280C0" comment="NA==" localSheetId="0" hidden="1">""</definedName>
    <definedName name="LevelA3281" comment="0" localSheetId="0" hidden="1">""</definedName>
    <definedName name="LevelA3281C0" comment="NA==" localSheetId="0" hidden="1">""</definedName>
    <definedName name="LevelA3282" comment="0" localSheetId="0" hidden="1">""</definedName>
    <definedName name="LevelA3282C0" comment="NA==" localSheetId="0" hidden="1">""</definedName>
    <definedName name="LevelA3283" comment="0" localSheetId="0" hidden="1">""</definedName>
    <definedName name="LevelA3283C0" comment="NA==" localSheetId="0" hidden="1">""</definedName>
    <definedName name="LevelA3284" comment="0" localSheetId="0" hidden="1">""</definedName>
    <definedName name="LevelA3284C0" comment="NA==" localSheetId="0" hidden="1">""</definedName>
    <definedName name="LevelA3285" comment="0" localSheetId="0" hidden="1">""</definedName>
    <definedName name="LevelA3285C0" comment="NA==" localSheetId="0" hidden="1">""</definedName>
    <definedName name="LevelA3286" comment="0" localSheetId="0" hidden="1">""</definedName>
    <definedName name="LevelA3286C0" comment="NA==" localSheetId="0" hidden="1">""</definedName>
    <definedName name="LevelA3287" comment="0" localSheetId="0" hidden="1">""</definedName>
    <definedName name="LevelA3287C0" comment="NA==" localSheetId="0" hidden="1">""</definedName>
    <definedName name="LevelA3288" comment="0" localSheetId="0" hidden="1">""</definedName>
    <definedName name="LevelA3288C0" comment="NA==" localSheetId="0" hidden="1">""</definedName>
    <definedName name="LevelA3289" comment="0" localSheetId="0" hidden="1">""</definedName>
    <definedName name="LevelA3289C0" comment="NA==" localSheetId="0" hidden="1">""</definedName>
    <definedName name="LevelA328C0" comment="NA==" localSheetId="0" hidden="1">""</definedName>
    <definedName name="LevelA329" comment="0" localSheetId="0" hidden="1">""</definedName>
    <definedName name="LevelA3290" comment="0" localSheetId="0" hidden="1">""</definedName>
    <definedName name="LevelA3290C0" comment="NA==" localSheetId="0" hidden="1">""</definedName>
    <definedName name="LevelA3291" comment="0" localSheetId="0" hidden="1">""</definedName>
    <definedName name="LevelA3291C0" comment="NA==" localSheetId="0" hidden="1">""</definedName>
    <definedName name="LevelA3292" comment="0" localSheetId="0" hidden="1">""</definedName>
    <definedName name="LevelA3292C0" comment="NA==" localSheetId="0" hidden="1">""</definedName>
    <definedName name="LevelA3293" comment="0" localSheetId="0" hidden="1">""</definedName>
    <definedName name="LevelA3293C0" comment="NA==" localSheetId="0" hidden="1">""</definedName>
    <definedName name="LevelA3294" comment="0" localSheetId="0" hidden="1">""</definedName>
    <definedName name="LevelA3294C0" comment="NA==" localSheetId="0" hidden="1">""</definedName>
    <definedName name="LevelA3295" comment="0" localSheetId="0" hidden="1">""</definedName>
    <definedName name="LevelA3295C0" comment="NA==" localSheetId="0" hidden="1">""</definedName>
    <definedName name="LevelA3296" comment="0" localSheetId="0" hidden="1">""</definedName>
    <definedName name="LevelA3296C0" comment="NA==" localSheetId="0" hidden="1">""</definedName>
    <definedName name="LevelA3297" comment="0" localSheetId="0" hidden="1">""</definedName>
    <definedName name="LevelA3297C0" comment="NA==" localSheetId="0" hidden="1">""</definedName>
    <definedName name="LevelA3298" comment="0" localSheetId="0" hidden="1">""</definedName>
    <definedName name="LevelA3298C0" comment="NA==" localSheetId="0" hidden="1">""</definedName>
    <definedName name="LevelA3299" comment="0" localSheetId="0" hidden="1">""</definedName>
    <definedName name="LevelA3299C0" comment="NA==" localSheetId="0" hidden="1">""</definedName>
    <definedName name="LevelA329C0" comment="NA==" localSheetId="0" hidden="1">""</definedName>
    <definedName name="LevelA32C0" comment="NA==" localSheetId="0" hidden="1">""</definedName>
    <definedName name="LevelA33" comment="0" localSheetId="0" hidden="1">""</definedName>
    <definedName name="LevelA330" comment="0" localSheetId="0" hidden="1">""</definedName>
    <definedName name="LevelA3300" comment="0" localSheetId="0" hidden="1">""</definedName>
    <definedName name="LevelA3300C0" comment="NA==" localSheetId="0" hidden="1">""</definedName>
    <definedName name="LevelA3301" comment="0" localSheetId="0" hidden="1">""</definedName>
    <definedName name="LevelA3301C0" comment="NA==" localSheetId="0" hidden="1">""</definedName>
    <definedName name="LevelA3302" comment="0" localSheetId="0" hidden="1">""</definedName>
    <definedName name="LevelA3302C0" comment="NA==" localSheetId="0" hidden="1">""</definedName>
    <definedName name="LevelA3303" comment="0" localSheetId="0" hidden="1">""</definedName>
    <definedName name="LevelA3303C0" comment="NA==" localSheetId="0" hidden="1">""</definedName>
    <definedName name="LevelA3304" comment="0" localSheetId="0" hidden="1">""</definedName>
    <definedName name="LevelA3304C0" comment="NA==" localSheetId="0" hidden="1">""</definedName>
    <definedName name="LevelA3305" comment="0" localSheetId="0" hidden="1">""</definedName>
    <definedName name="LevelA3305C0" comment="NA==" localSheetId="0" hidden="1">""</definedName>
    <definedName name="LevelA3306" comment="0" localSheetId="0" hidden="1">""</definedName>
    <definedName name="LevelA3306C0" comment="NA==" localSheetId="0" hidden="1">""</definedName>
    <definedName name="LevelA3307" comment="0" localSheetId="0" hidden="1">""</definedName>
    <definedName name="LevelA3307C0" comment="NA==" localSheetId="0" hidden="1">""</definedName>
    <definedName name="LevelA3308" comment="0" localSheetId="0" hidden="1">""</definedName>
    <definedName name="LevelA3308C0" comment="NA==" localSheetId="0" hidden="1">""</definedName>
    <definedName name="LevelA3309" comment="0" localSheetId="0" hidden="1">""</definedName>
    <definedName name="LevelA3309C0" comment="NA==" localSheetId="0" hidden="1">""</definedName>
    <definedName name="LevelA330C0" comment="NA==" localSheetId="0" hidden="1">""</definedName>
    <definedName name="LevelA331" comment="0" localSheetId="0" hidden="1">""</definedName>
    <definedName name="LevelA3310" comment="0" localSheetId="0" hidden="1">""</definedName>
    <definedName name="LevelA3310C0" comment="NA==" localSheetId="0" hidden="1">""</definedName>
    <definedName name="LevelA3311" comment="0" localSheetId="0" hidden="1">""</definedName>
    <definedName name="LevelA3311C0" comment="NA==" localSheetId="0" hidden="1">""</definedName>
    <definedName name="LevelA3312" comment="0" localSheetId="0" hidden="1">""</definedName>
    <definedName name="LevelA3312C0" comment="NA==" localSheetId="0" hidden="1">""</definedName>
    <definedName name="LevelA3313" comment="0" localSheetId="0" hidden="1">""</definedName>
    <definedName name="LevelA3313C0" comment="NA==" localSheetId="0" hidden="1">""</definedName>
    <definedName name="LevelA3314" comment="0" localSheetId="0" hidden="1">""</definedName>
    <definedName name="LevelA3314C0" comment="NA==" localSheetId="0" hidden="1">""</definedName>
    <definedName name="LevelA3315" comment="0" localSheetId="0" hidden="1">""</definedName>
    <definedName name="LevelA3315C0" comment="NA==" localSheetId="0" hidden="1">""</definedName>
    <definedName name="LevelA3316" comment="0" localSheetId="0" hidden="1">""</definedName>
    <definedName name="LevelA3316C0" comment="NA==" localSheetId="0" hidden="1">""</definedName>
    <definedName name="LevelA3317" comment="0" localSheetId="0" hidden="1">""</definedName>
    <definedName name="LevelA3317C0" comment="NA==" localSheetId="0" hidden="1">""</definedName>
    <definedName name="LevelA3318" comment="0" localSheetId="0" hidden="1">""</definedName>
    <definedName name="LevelA3318C0" comment="NA==" localSheetId="0" hidden="1">""</definedName>
    <definedName name="LevelA3319" comment="0" localSheetId="0" hidden="1">""</definedName>
    <definedName name="LevelA3319C0" comment="NA==" localSheetId="0" hidden="1">""</definedName>
    <definedName name="LevelA331C0" comment="NA==" localSheetId="0" hidden="1">""</definedName>
    <definedName name="LevelA332" comment="0" localSheetId="0" hidden="1">""</definedName>
    <definedName name="LevelA3320" comment="0" localSheetId="0" hidden="1">""</definedName>
    <definedName name="LevelA3320C0" comment="NA==" localSheetId="0" hidden="1">""</definedName>
    <definedName name="LevelA3321" comment="0" localSheetId="0" hidden="1">""</definedName>
    <definedName name="LevelA3321C0" comment="NA==" localSheetId="0" hidden="1">""</definedName>
    <definedName name="LevelA3322" comment="0" localSheetId="0" hidden="1">""</definedName>
    <definedName name="LevelA3322C0" comment="NA==" localSheetId="0" hidden="1">""</definedName>
    <definedName name="LevelA3323" comment="0" localSheetId="0" hidden="1">""</definedName>
    <definedName name="LevelA3323C0" comment="NA==" localSheetId="0" hidden="1">""</definedName>
    <definedName name="LevelA3324" comment="0" localSheetId="0" hidden="1">""</definedName>
    <definedName name="LevelA3324C0" comment="NA==" localSheetId="0" hidden="1">""</definedName>
    <definedName name="LevelA3325" comment="0" localSheetId="0" hidden="1">""</definedName>
    <definedName name="LevelA3325C0" comment="NA==" localSheetId="0" hidden="1">""</definedName>
    <definedName name="LevelA3326" comment="0" localSheetId="0" hidden="1">""</definedName>
    <definedName name="LevelA3326C0" comment="NA==" localSheetId="0" hidden="1">""</definedName>
    <definedName name="LevelA3327" comment="0" localSheetId="0" hidden="1">""</definedName>
    <definedName name="LevelA3327C0" comment="NA==" localSheetId="0" hidden="1">""</definedName>
    <definedName name="LevelA3328" comment="0" localSheetId="0" hidden="1">""</definedName>
    <definedName name="LevelA3328C0" comment="NA==" localSheetId="0" hidden="1">""</definedName>
    <definedName name="LevelA3329" comment="0" localSheetId="0" hidden="1">""</definedName>
    <definedName name="LevelA3329C0" comment="NA==" localSheetId="0" hidden="1">""</definedName>
    <definedName name="LevelA332C0" comment="NA==" localSheetId="0" hidden="1">""</definedName>
    <definedName name="LevelA333" comment="0" localSheetId="0" hidden="1">""</definedName>
    <definedName name="LevelA3330" comment="0" localSheetId="0" hidden="1">""</definedName>
    <definedName name="LevelA3330C0" comment="NA==" localSheetId="0" hidden="1">""</definedName>
    <definedName name="LevelA3331" comment="0" localSheetId="0" hidden="1">""</definedName>
    <definedName name="LevelA3331C0" comment="NA==" localSheetId="0" hidden="1">""</definedName>
    <definedName name="LevelA3332" comment="0" localSheetId="0" hidden="1">""</definedName>
    <definedName name="LevelA3332C0" comment="NA==" localSheetId="0" hidden="1">""</definedName>
    <definedName name="LevelA3333" comment="0" localSheetId="0" hidden="1">""</definedName>
    <definedName name="LevelA3333C0" comment="NA==" localSheetId="0" hidden="1">""</definedName>
    <definedName name="LevelA3334" comment="0" localSheetId="0" hidden="1">""</definedName>
    <definedName name="LevelA3334C0" comment="NA==" localSheetId="0" hidden="1">""</definedName>
    <definedName name="LevelA3335" comment="0" localSheetId="0" hidden="1">""</definedName>
    <definedName name="LevelA3335C0" comment="NA==" localSheetId="0" hidden="1">""</definedName>
    <definedName name="LevelA3336" comment="0" localSheetId="0" hidden="1">""</definedName>
    <definedName name="LevelA3336C0" comment="NA==" localSheetId="0" hidden="1">""</definedName>
    <definedName name="LevelA3337" comment="0" localSheetId="0" hidden="1">""</definedName>
    <definedName name="LevelA3337C0" comment="NA==" localSheetId="0" hidden="1">""</definedName>
    <definedName name="LevelA3338" comment="0" localSheetId="0" hidden="1">""</definedName>
    <definedName name="LevelA3338C0" comment="NA==" localSheetId="0" hidden="1">""</definedName>
    <definedName name="LevelA3339" comment="0" localSheetId="0" hidden="1">""</definedName>
    <definedName name="LevelA3339C0" comment="NA==" localSheetId="0" hidden="1">""</definedName>
    <definedName name="LevelA333C0" comment="NA==" localSheetId="0" hidden="1">""</definedName>
    <definedName name="LevelA334" comment="0" localSheetId="0" hidden="1">""</definedName>
    <definedName name="LevelA3340" comment="0" localSheetId="0" hidden="1">""</definedName>
    <definedName name="LevelA3340C0" comment="NA==" localSheetId="0" hidden="1">""</definedName>
    <definedName name="LevelA3341" comment="0" localSheetId="0" hidden="1">""</definedName>
    <definedName name="LevelA3341C0" comment="NA==" localSheetId="0" hidden="1">""</definedName>
    <definedName name="LevelA3342" comment="0" localSheetId="0" hidden="1">""</definedName>
    <definedName name="LevelA3342C0" comment="NA==" localSheetId="0" hidden="1">""</definedName>
    <definedName name="LevelA3343" comment="0" localSheetId="0" hidden="1">""</definedName>
    <definedName name="LevelA3343C0" comment="NA==" localSheetId="0" hidden="1">""</definedName>
    <definedName name="LevelA3344" comment="0" localSheetId="0" hidden="1">""</definedName>
    <definedName name="LevelA3344C0" comment="NA==" localSheetId="0" hidden="1">""</definedName>
    <definedName name="LevelA3345" comment="0" localSheetId="0" hidden="1">""</definedName>
    <definedName name="LevelA3345C0" comment="NA==" localSheetId="0" hidden="1">""</definedName>
    <definedName name="LevelA3346" comment="0" localSheetId="0" hidden="1">""</definedName>
    <definedName name="LevelA3346C0" comment="NA==" localSheetId="0" hidden="1">""</definedName>
    <definedName name="LevelA3347" comment="0" localSheetId="0" hidden="1">""</definedName>
    <definedName name="LevelA3347C0" comment="NA==" localSheetId="0" hidden="1">""</definedName>
    <definedName name="LevelA3348" comment="0" localSheetId="0" hidden="1">""</definedName>
    <definedName name="LevelA3348C0" comment="NA==" localSheetId="0" hidden="1">""</definedName>
    <definedName name="LevelA3349" comment="0" localSheetId="0" hidden="1">""</definedName>
    <definedName name="LevelA3349C0" comment="NA==" localSheetId="0" hidden="1">""</definedName>
    <definedName name="LevelA334C0" comment="NA==" localSheetId="0" hidden="1">""</definedName>
    <definedName name="LevelA335" comment="0" localSheetId="0" hidden="1">""</definedName>
    <definedName name="LevelA3350" comment="0" localSheetId="0" hidden="1">""</definedName>
    <definedName name="LevelA3350C0" comment="NA==" localSheetId="0" hidden="1">""</definedName>
    <definedName name="LevelA3351" comment="0" localSheetId="0" hidden="1">""</definedName>
    <definedName name="LevelA3351C0" comment="NA==" localSheetId="0" hidden="1">""</definedName>
    <definedName name="LevelA3352" comment="0" localSheetId="0" hidden="1">""</definedName>
    <definedName name="LevelA3352C0" comment="NA==" localSheetId="0" hidden="1">""</definedName>
    <definedName name="LevelA3353" comment="0" localSheetId="0" hidden="1">""</definedName>
    <definedName name="LevelA3353C0" comment="NA==" localSheetId="0" hidden="1">""</definedName>
    <definedName name="LevelA3354" comment="0" localSheetId="0" hidden="1">""</definedName>
    <definedName name="LevelA3354C0" comment="NA==" localSheetId="0" hidden="1">""</definedName>
    <definedName name="LevelA3355" comment="0" localSheetId="0" hidden="1">""</definedName>
    <definedName name="LevelA3355C0" comment="NA==" localSheetId="0" hidden="1">""</definedName>
    <definedName name="LevelA3356" comment="0" localSheetId="0" hidden="1">""</definedName>
    <definedName name="LevelA3356C0" comment="NA==" localSheetId="0" hidden="1">""</definedName>
    <definedName name="LevelA3357" comment="0" localSheetId="0" hidden="1">""</definedName>
    <definedName name="LevelA3357C0" comment="NA==" localSheetId="0" hidden="1">""</definedName>
    <definedName name="LevelA3358" comment="0" localSheetId="0" hidden="1">""</definedName>
    <definedName name="LevelA3358C0" comment="NA==" localSheetId="0" hidden="1">""</definedName>
    <definedName name="LevelA3359" comment="0" localSheetId="0" hidden="1">""</definedName>
    <definedName name="LevelA3359C0" comment="NA==" localSheetId="0" hidden="1">""</definedName>
    <definedName name="LevelA335C0" comment="NA==" localSheetId="0" hidden="1">""</definedName>
    <definedName name="LevelA336" comment="0" localSheetId="0" hidden="1">""</definedName>
    <definedName name="LevelA3360" comment="0" localSheetId="0" hidden="1">""</definedName>
    <definedName name="LevelA3360C0" comment="NA==" localSheetId="0" hidden="1">""</definedName>
    <definedName name="LevelA3361" comment="0" localSheetId="0" hidden="1">""</definedName>
    <definedName name="LevelA3361C0" comment="NA==" localSheetId="0" hidden="1">""</definedName>
    <definedName name="LevelA3362" comment="0" localSheetId="0" hidden="1">""</definedName>
    <definedName name="LevelA3362C0" comment="NA==" localSheetId="0" hidden="1">""</definedName>
    <definedName name="LevelA3363" comment="0" localSheetId="0" hidden="1">""</definedName>
    <definedName name="LevelA3363C0" comment="NA==" localSheetId="0" hidden="1">""</definedName>
    <definedName name="LevelA3364" comment="0" localSheetId="0" hidden="1">""</definedName>
    <definedName name="LevelA3364C0" comment="NA==" localSheetId="0" hidden="1">""</definedName>
    <definedName name="LevelA3365" comment="0" localSheetId="0" hidden="1">""</definedName>
    <definedName name="LevelA3365C0" comment="NA==" localSheetId="0" hidden="1">""</definedName>
    <definedName name="LevelA3366" comment="0" localSheetId="0" hidden="1">""</definedName>
    <definedName name="LevelA3366C0" comment="NA==" localSheetId="0" hidden="1">""</definedName>
    <definedName name="LevelA3367" comment="0" localSheetId="0" hidden="1">""</definedName>
    <definedName name="LevelA3367C0" comment="NA==" localSheetId="0" hidden="1">""</definedName>
    <definedName name="LevelA3368" comment="0" localSheetId="0" hidden="1">""</definedName>
    <definedName name="LevelA3368C0" comment="NA==" localSheetId="0" hidden="1">""</definedName>
    <definedName name="LevelA3369" comment="0" localSheetId="0" hidden="1">""</definedName>
    <definedName name="LevelA3369C0" comment="NA==" localSheetId="0" hidden="1">""</definedName>
    <definedName name="LevelA336C0" comment="NA==" localSheetId="0" hidden="1">""</definedName>
    <definedName name="LevelA337" comment="0" localSheetId="0" hidden="1">""</definedName>
    <definedName name="LevelA3370" comment="0" localSheetId="0" hidden="1">""</definedName>
    <definedName name="LevelA3370C0" comment="NA==" localSheetId="0" hidden="1">""</definedName>
    <definedName name="LevelA3371" comment="0" localSheetId="0" hidden="1">""</definedName>
    <definedName name="LevelA3371C0" comment="NA==" localSheetId="0" hidden="1">""</definedName>
    <definedName name="LevelA3372" comment="0" localSheetId="0" hidden="1">""</definedName>
    <definedName name="LevelA3372C0" comment="NA==" localSheetId="0" hidden="1">""</definedName>
    <definedName name="LevelA3373" comment="0" localSheetId="0" hidden="1">""</definedName>
    <definedName name="LevelA3373C0" comment="NA==" localSheetId="0" hidden="1">""</definedName>
    <definedName name="LevelA3374" comment="0" localSheetId="0" hidden="1">""</definedName>
    <definedName name="LevelA3374C0" comment="NA==" localSheetId="0" hidden="1">""</definedName>
    <definedName name="LevelA3375" comment="0" localSheetId="0" hidden="1">""</definedName>
    <definedName name="LevelA3375C0" comment="NA==" localSheetId="0" hidden="1">""</definedName>
    <definedName name="LevelA3376" comment="0" localSheetId="0" hidden="1">""</definedName>
    <definedName name="LevelA3376C0" comment="NA==" localSheetId="0" hidden="1">""</definedName>
    <definedName name="LevelA3377" comment="0" localSheetId="0" hidden="1">""</definedName>
    <definedName name="LevelA3377C0" comment="NA==" localSheetId="0" hidden="1">""</definedName>
    <definedName name="LevelA3378" comment="0" localSheetId="0" hidden="1">""</definedName>
    <definedName name="LevelA3378C0" comment="NA==" localSheetId="0" hidden="1">""</definedName>
    <definedName name="LevelA3379" comment="0" localSheetId="0" hidden="1">""</definedName>
    <definedName name="LevelA3379C0" comment="NA==" localSheetId="0" hidden="1">""</definedName>
    <definedName name="LevelA337C0" comment="NA==" localSheetId="0" hidden="1">""</definedName>
    <definedName name="LevelA338" comment="0" localSheetId="0" hidden="1">""</definedName>
    <definedName name="LevelA3380" comment="0" localSheetId="0" hidden="1">""</definedName>
    <definedName name="LevelA3380C0" comment="NA==" localSheetId="0" hidden="1">""</definedName>
    <definedName name="LevelA3381" comment="0" localSheetId="0" hidden="1">""</definedName>
    <definedName name="LevelA3381C0" comment="NA==" localSheetId="0" hidden="1">""</definedName>
    <definedName name="LevelA3382" comment="0" localSheetId="0" hidden="1">""</definedName>
    <definedName name="LevelA3382C0" comment="NA==" localSheetId="0" hidden="1">""</definedName>
    <definedName name="LevelA3383" comment="0" localSheetId="0" hidden="1">""</definedName>
    <definedName name="LevelA3383C0" comment="NA==" localSheetId="0" hidden="1">""</definedName>
    <definedName name="LevelA3384" comment="0" localSheetId="0" hidden="1">""</definedName>
    <definedName name="LevelA3384C0" comment="NA==" localSheetId="0" hidden="1">""</definedName>
    <definedName name="LevelA3385" comment="0" localSheetId="0" hidden="1">""</definedName>
    <definedName name="LevelA3385C0" comment="NA==" localSheetId="0" hidden="1">""</definedName>
    <definedName name="LevelA3386" comment="0" localSheetId="0" hidden="1">""</definedName>
    <definedName name="LevelA3386C0" comment="NA==" localSheetId="0" hidden="1">""</definedName>
    <definedName name="LevelA3387" comment="0" localSheetId="0" hidden="1">""</definedName>
    <definedName name="LevelA3387C0" comment="NA==" localSheetId="0" hidden="1">""</definedName>
    <definedName name="LevelA3388" comment="0" localSheetId="0" hidden="1">""</definedName>
    <definedName name="LevelA3388C0" comment="NA==" localSheetId="0" hidden="1">""</definedName>
    <definedName name="LevelA3389" comment="0" localSheetId="0" hidden="1">""</definedName>
    <definedName name="LevelA3389C0" comment="NA==" localSheetId="0" hidden="1">""</definedName>
    <definedName name="LevelA338C0" comment="NA==" localSheetId="0" hidden="1">""</definedName>
    <definedName name="LevelA339" comment="0" localSheetId="0" hidden="1">""</definedName>
    <definedName name="LevelA3390" comment="0" localSheetId="0" hidden="1">""</definedName>
    <definedName name="LevelA3390C0" comment="NA==" localSheetId="0" hidden="1">""</definedName>
    <definedName name="LevelA3391" comment="0" localSheetId="0" hidden="1">""</definedName>
    <definedName name="LevelA3391C0" comment="NA==" localSheetId="0" hidden="1">""</definedName>
    <definedName name="LevelA3392" comment="0" localSheetId="0" hidden="1">""</definedName>
    <definedName name="LevelA3392C0" comment="NA==" localSheetId="0" hidden="1">""</definedName>
    <definedName name="LevelA3393" comment="0" localSheetId="0" hidden="1">""</definedName>
    <definedName name="LevelA3393C0" comment="NA==" localSheetId="0" hidden="1">""</definedName>
    <definedName name="LevelA3394" comment="0" localSheetId="0" hidden="1">""</definedName>
    <definedName name="LevelA3394C0" comment="NA==" localSheetId="0" hidden="1">""</definedName>
    <definedName name="LevelA3395" comment="0" localSheetId="0" hidden="1">""</definedName>
    <definedName name="LevelA3395C0" comment="NA==" localSheetId="0" hidden="1">""</definedName>
    <definedName name="LevelA3396" comment="0" localSheetId="0" hidden="1">""</definedName>
    <definedName name="LevelA3396C0" comment="NA==" localSheetId="0" hidden="1">""</definedName>
    <definedName name="LevelA3397" comment="0" localSheetId="0" hidden="1">""</definedName>
    <definedName name="LevelA3397C0" comment="NA==" localSheetId="0" hidden="1">""</definedName>
    <definedName name="LevelA3398" comment="0" localSheetId="0" hidden="1">""</definedName>
    <definedName name="LevelA3398C0" comment="NA==" localSheetId="0" hidden="1">""</definedName>
    <definedName name="LevelA3399" comment="0" localSheetId="0" hidden="1">""</definedName>
    <definedName name="LevelA3399C0" comment="NA==" localSheetId="0" hidden="1">""</definedName>
    <definedName name="LevelA339C0" comment="NA==" localSheetId="0" hidden="1">""</definedName>
    <definedName name="LevelA33C0" comment="NA==" localSheetId="0" hidden="1">""</definedName>
    <definedName name="LevelA34" comment="0" localSheetId="0" hidden="1">""</definedName>
    <definedName name="LevelA340" comment="0" localSheetId="0" hidden="1">""</definedName>
    <definedName name="LevelA3400" comment="0" localSheetId="0" hidden="1">""</definedName>
    <definedName name="LevelA3400C0" comment="NA==" localSheetId="0" hidden="1">""</definedName>
    <definedName name="LevelA3401" comment="0" localSheetId="0" hidden="1">""</definedName>
    <definedName name="LevelA3401C0" comment="NA==" localSheetId="0" hidden="1">""</definedName>
    <definedName name="LevelA3402" comment="0" localSheetId="0" hidden="1">""</definedName>
    <definedName name="LevelA3402C0" comment="NA==" localSheetId="0" hidden="1">""</definedName>
    <definedName name="LevelA3403" comment="0" localSheetId="0" hidden="1">""</definedName>
    <definedName name="LevelA3403C0" comment="NA==" localSheetId="0" hidden="1">""</definedName>
    <definedName name="LevelA3404" comment="0" localSheetId="0" hidden="1">""</definedName>
    <definedName name="LevelA3404C0" comment="NA==" localSheetId="0" hidden="1">""</definedName>
    <definedName name="LevelA3405" comment="0" localSheetId="0" hidden="1">""</definedName>
    <definedName name="LevelA3405C0" comment="NA==" localSheetId="0" hidden="1">""</definedName>
    <definedName name="LevelA3406" comment="0" localSheetId="0" hidden="1">""</definedName>
    <definedName name="LevelA3406C0" comment="NA==" localSheetId="0" hidden="1">""</definedName>
    <definedName name="LevelA3407" comment="0" localSheetId="0" hidden="1">""</definedName>
    <definedName name="LevelA3407C0" comment="NA==" localSheetId="0" hidden="1">""</definedName>
    <definedName name="LevelA3408" comment="0" localSheetId="0" hidden="1">""</definedName>
    <definedName name="LevelA3408C0" comment="NA==" localSheetId="0" hidden="1">""</definedName>
    <definedName name="LevelA3409" comment="0" localSheetId="0" hidden="1">""</definedName>
    <definedName name="LevelA3409C0" comment="NA==" localSheetId="0" hidden="1">""</definedName>
    <definedName name="LevelA340C0" comment="NA==" localSheetId="0" hidden="1">""</definedName>
    <definedName name="LevelA341" comment="0" localSheetId="0" hidden="1">""</definedName>
    <definedName name="LevelA3410" comment="0" localSheetId="0" hidden="1">""</definedName>
    <definedName name="LevelA3410C0" comment="NA==" localSheetId="0" hidden="1">""</definedName>
    <definedName name="LevelA3411" comment="0" localSheetId="0" hidden="1">""</definedName>
    <definedName name="LevelA3411C0" comment="NA==" localSheetId="0" hidden="1">""</definedName>
    <definedName name="LevelA3412" comment="0" localSheetId="0" hidden="1">""</definedName>
    <definedName name="LevelA3412C0" comment="NA==" localSheetId="0" hidden="1">""</definedName>
    <definedName name="LevelA3413" comment="0" localSheetId="0" hidden="1">""</definedName>
    <definedName name="LevelA3413C0" comment="NA==" localSheetId="0" hidden="1">""</definedName>
    <definedName name="LevelA3414" comment="0" localSheetId="0" hidden="1">""</definedName>
    <definedName name="LevelA3414C0" comment="NA==" localSheetId="0" hidden="1">""</definedName>
    <definedName name="LevelA3415" comment="0" localSheetId="0" hidden="1">""</definedName>
    <definedName name="LevelA3415C0" comment="NA==" localSheetId="0" hidden="1">""</definedName>
    <definedName name="LevelA3416" comment="0" localSheetId="0" hidden="1">""</definedName>
    <definedName name="LevelA3416C0" comment="NA==" localSheetId="0" hidden="1">""</definedName>
    <definedName name="LevelA3417" comment="0" localSheetId="0" hidden="1">""</definedName>
    <definedName name="LevelA3417C0" comment="NA==" localSheetId="0" hidden="1">""</definedName>
    <definedName name="LevelA3418" comment="0" localSheetId="0" hidden="1">""</definedName>
    <definedName name="LevelA3418C0" comment="NA==" localSheetId="0" hidden="1">""</definedName>
    <definedName name="LevelA3419" comment="0" localSheetId="0" hidden="1">""</definedName>
    <definedName name="LevelA3419C0" comment="NA==" localSheetId="0" hidden="1">""</definedName>
    <definedName name="LevelA341C0" comment="NA==" localSheetId="0" hidden="1">""</definedName>
    <definedName name="LevelA342" comment="0" localSheetId="0" hidden="1">""</definedName>
    <definedName name="LevelA3420" comment="0" localSheetId="0" hidden="1">""</definedName>
    <definedName name="LevelA3420C0" comment="NA==" localSheetId="0" hidden="1">""</definedName>
    <definedName name="LevelA3421" comment="0" localSheetId="0" hidden="1">""</definedName>
    <definedName name="LevelA3421C0" comment="NA==" localSheetId="0" hidden="1">""</definedName>
    <definedName name="LevelA3422" comment="0" localSheetId="0" hidden="1">""</definedName>
    <definedName name="LevelA3422C0" comment="NA==" localSheetId="0" hidden="1">""</definedName>
    <definedName name="LevelA3423" comment="0" localSheetId="0" hidden="1">""</definedName>
    <definedName name="LevelA3423C0" comment="NA==" localSheetId="0" hidden="1">""</definedName>
    <definedName name="LevelA3424" comment="0" localSheetId="0" hidden="1">""</definedName>
    <definedName name="LevelA3424C0" comment="NA==" localSheetId="0" hidden="1">""</definedName>
    <definedName name="LevelA3425" comment="0" localSheetId="0" hidden="1">""</definedName>
    <definedName name="LevelA3425C0" comment="NA==" localSheetId="0" hidden="1">""</definedName>
    <definedName name="LevelA3426" comment="0" localSheetId="0" hidden="1">""</definedName>
    <definedName name="LevelA3426C0" comment="NA==" localSheetId="0" hidden="1">""</definedName>
    <definedName name="LevelA3427" comment="0" localSheetId="0" hidden="1">""</definedName>
    <definedName name="LevelA3427C0" comment="NA==" localSheetId="0" hidden="1">""</definedName>
    <definedName name="LevelA3428" comment="0" localSheetId="0" hidden="1">""</definedName>
    <definedName name="LevelA3428C0" comment="NA==" localSheetId="0" hidden="1">""</definedName>
    <definedName name="LevelA3429" comment="0" localSheetId="0" hidden="1">""</definedName>
    <definedName name="LevelA3429C0" comment="NA==" localSheetId="0" hidden="1">""</definedName>
    <definedName name="LevelA342C0" comment="NA==" localSheetId="0" hidden="1">""</definedName>
    <definedName name="LevelA343" comment="0" localSheetId="0" hidden="1">""</definedName>
    <definedName name="LevelA3430" comment="0" localSheetId="0" hidden="1">""</definedName>
    <definedName name="LevelA3430C0" comment="NA==" localSheetId="0" hidden="1">""</definedName>
    <definedName name="LevelA3431" comment="0" localSheetId="0" hidden="1">""</definedName>
    <definedName name="LevelA3431C0" comment="NA==" localSheetId="0" hidden="1">""</definedName>
    <definedName name="LevelA3432" comment="0" localSheetId="0" hidden="1">""</definedName>
    <definedName name="LevelA3432C0" comment="NA==" localSheetId="0" hidden="1">""</definedName>
    <definedName name="LevelA3433" comment="0" localSheetId="0" hidden="1">""</definedName>
    <definedName name="LevelA3433C0" comment="NA==" localSheetId="0" hidden="1">""</definedName>
    <definedName name="LevelA3434" comment="0" localSheetId="0" hidden="1">""</definedName>
    <definedName name="LevelA3434C0" comment="NA==" localSheetId="0" hidden="1">""</definedName>
    <definedName name="LevelA3435" comment="0" localSheetId="0" hidden="1">""</definedName>
    <definedName name="LevelA3435C0" comment="NA==" localSheetId="0" hidden="1">""</definedName>
    <definedName name="LevelA3436" comment="0" localSheetId="0" hidden="1">""</definedName>
    <definedName name="LevelA3436C0" comment="NA==" localSheetId="0" hidden="1">""</definedName>
    <definedName name="LevelA3437" comment="0" localSheetId="0" hidden="1">""</definedName>
    <definedName name="LevelA3437C0" comment="NA==" localSheetId="0" hidden="1">""</definedName>
    <definedName name="LevelA3438" comment="0" localSheetId="0" hidden="1">""</definedName>
    <definedName name="LevelA3438C0" comment="NA==" localSheetId="0" hidden="1">""</definedName>
    <definedName name="LevelA3439" comment="0" localSheetId="0" hidden="1">""</definedName>
    <definedName name="LevelA3439C0" comment="NA==" localSheetId="0" hidden="1">""</definedName>
    <definedName name="LevelA343C0" comment="NA==" localSheetId="0" hidden="1">""</definedName>
    <definedName name="LevelA344" comment="0" localSheetId="0" hidden="1">""</definedName>
    <definedName name="LevelA3440" comment="0" localSheetId="0" hidden="1">""</definedName>
    <definedName name="LevelA3440C0" comment="NA==" localSheetId="0" hidden="1">""</definedName>
    <definedName name="LevelA3441" comment="0" localSheetId="0" hidden="1">""</definedName>
    <definedName name="LevelA3441C0" comment="NA==" localSheetId="0" hidden="1">""</definedName>
    <definedName name="LevelA3442" comment="0" localSheetId="0" hidden="1">""</definedName>
    <definedName name="LevelA3442C0" comment="NA==" localSheetId="0" hidden="1">""</definedName>
    <definedName name="LevelA3443" comment="0" localSheetId="0" hidden="1">""</definedName>
    <definedName name="LevelA3443C0" comment="NA==" localSheetId="0" hidden="1">""</definedName>
    <definedName name="LevelA3444" comment="0" localSheetId="0" hidden="1">""</definedName>
    <definedName name="LevelA3444C0" comment="NA==" localSheetId="0" hidden="1">""</definedName>
    <definedName name="LevelA3445" comment="0" localSheetId="0" hidden="1">""</definedName>
    <definedName name="LevelA3445C0" comment="NA==" localSheetId="0" hidden="1">""</definedName>
    <definedName name="LevelA3446" comment="0" localSheetId="0" hidden="1">""</definedName>
    <definedName name="LevelA3446C0" comment="NA==" localSheetId="0" hidden="1">""</definedName>
    <definedName name="LevelA3447" comment="0" localSheetId="0" hidden="1">""</definedName>
    <definedName name="LevelA3447C0" comment="NA==" localSheetId="0" hidden="1">""</definedName>
    <definedName name="LevelA3448" comment="0" localSheetId="0" hidden="1">""</definedName>
    <definedName name="LevelA3448C0" comment="NA==" localSheetId="0" hidden="1">""</definedName>
    <definedName name="LevelA3449" comment="0" localSheetId="0" hidden="1">""</definedName>
    <definedName name="LevelA3449C0" comment="NA==" localSheetId="0" hidden="1">""</definedName>
    <definedName name="LevelA344C0" comment="NA==" localSheetId="0" hidden="1">""</definedName>
    <definedName name="LevelA345" comment="0" localSheetId="0" hidden="1">""</definedName>
    <definedName name="LevelA3450" comment="0" localSheetId="0" hidden="1">""</definedName>
    <definedName name="LevelA3450C0" comment="NA==" localSheetId="0" hidden="1">""</definedName>
    <definedName name="LevelA3451" comment="0" localSheetId="0" hidden="1">""</definedName>
    <definedName name="LevelA3451C0" comment="NA==" localSheetId="0" hidden="1">""</definedName>
    <definedName name="LevelA3452" comment="0" localSheetId="0" hidden="1">""</definedName>
    <definedName name="LevelA3452C0" comment="NA==" localSheetId="0" hidden="1">""</definedName>
    <definedName name="LevelA3453" comment="0" localSheetId="0" hidden="1">""</definedName>
    <definedName name="LevelA3453C0" comment="NA==" localSheetId="0" hidden="1">""</definedName>
    <definedName name="LevelA3454" comment="0" localSheetId="0" hidden="1">""</definedName>
    <definedName name="LevelA3454C0" comment="NA==" localSheetId="0" hidden="1">""</definedName>
    <definedName name="LevelA3455" comment="0" localSheetId="0" hidden="1">""</definedName>
    <definedName name="LevelA3455C0" comment="NA==" localSheetId="0" hidden="1">""</definedName>
    <definedName name="LevelA3456" comment="0" localSheetId="0" hidden="1">""</definedName>
    <definedName name="LevelA3456C0" comment="NA==" localSheetId="0" hidden="1">""</definedName>
    <definedName name="LevelA3457" comment="0" localSheetId="0" hidden="1">""</definedName>
    <definedName name="LevelA3457C0" comment="NA==" localSheetId="0" hidden="1">""</definedName>
    <definedName name="LevelA3458" comment="0" localSheetId="0" hidden="1">""</definedName>
    <definedName name="LevelA3458C0" comment="NA==" localSheetId="0" hidden="1">""</definedName>
    <definedName name="LevelA3459" comment="0" localSheetId="0" hidden="1">""</definedName>
    <definedName name="LevelA3459C0" comment="NA==" localSheetId="0" hidden="1">""</definedName>
    <definedName name="LevelA345C0" comment="NA==" localSheetId="0" hidden="1">""</definedName>
    <definedName name="LevelA346" comment="0" localSheetId="0" hidden="1">""</definedName>
    <definedName name="LevelA3460" comment="0" localSheetId="0" hidden="1">""</definedName>
    <definedName name="LevelA3460C0" comment="NA==" localSheetId="0" hidden="1">""</definedName>
    <definedName name="LevelA3461" comment="0" localSheetId="0" hidden="1">""</definedName>
    <definedName name="LevelA3461C0" comment="NA==" localSheetId="0" hidden="1">""</definedName>
    <definedName name="LevelA3462" comment="0" localSheetId="0" hidden="1">""</definedName>
    <definedName name="LevelA3462C0" comment="NA==" localSheetId="0" hidden="1">""</definedName>
    <definedName name="LevelA3463" comment="0" localSheetId="0" hidden="1">""</definedName>
    <definedName name="LevelA3463C0" comment="NA==" localSheetId="0" hidden="1">""</definedName>
    <definedName name="LevelA3464" comment="0" localSheetId="0" hidden="1">""</definedName>
    <definedName name="LevelA3464C0" comment="NA==" localSheetId="0" hidden="1">""</definedName>
    <definedName name="LevelA3465" comment="0" localSheetId="0" hidden="1">""</definedName>
    <definedName name="LevelA3465C0" comment="NA==" localSheetId="0" hidden="1">""</definedName>
    <definedName name="LevelA3466" comment="0" localSheetId="0" hidden="1">""</definedName>
    <definedName name="LevelA3466C0" comment="NA==" localSheetId="0" hidden="1">""</definedName>
    <definedName name="LevelA3467" comment="0" localSheetId="0" hidden="1">""</definedName>
    <definedName name="LevelA3467C0" comment="NA==" localSheetId="0" hidden="1">""</definedName>
    <definedName name="LevelA3468" comment="0" localSheetId="0" hidden="1">""</definedName>
    <definedName name="LevelA3468C0" comment="NA==" localSheetId="0" hidden="1">""</definedName>
    <definedName name="LevelA3469" comment="0" localSheetId="0" hidden="1">""</definedName>
    <definedName name="LevelA3469C0" comment="NA==" localSheetId="0" hidden="1">""</definedName>
    <definedName name="LevelA346C0" comment="NA==" localSheetId="0" hidden="1">""</definedName>
    <definedName name="LevelA347" comment="0" localSheetId="0" hidden="1">""</definedName>
    <definedName name="LevelA3470" comment="0" localSheetId="0" hidden="1">""</definedName>
    <definedName name="LevelA3470C0" comment="NA==" localSheetId="0" hidden="1">""</definedName>
    <definedName name="LevelA3471" comment="0" localSheetId="0" hidden="1">""</definedName>
    <definedName name="LevelA3471C0" comment="NA==" localSheetId="0" hidden="1">""</definedName>
    <definedName name="LevelA3472" comment="0" localSheetId="0" hidden="1">""</definedName>
    <definedName name="LevelA3472C0" comment="NA==" localSheetId="0" hidden="1">""</definedName>
    <definedName name="LevelA3473" comment="0" localSheetId="0" hidden="1">""</definedName>
    <definedName name="LevelA3473C0" comment="NA==" localSheetId="0" hidden="1">""</definedName>
    <definedName name="LevelA3474" comment="0" localSheetId="0" hidden="1">""</definedName>
    <definedName name="LevelA3474C0" comment="NA==" localSheetId="0" hidden="1">""</definedName>
    <definedName name="LevelA3475" comment="0" localSheetId="0" hidden="1">""</definedName>
    <definedName name="LevelA3475C0" comment="NA==" localSheetId="0" hidden="1">""</definedName>
    <definedName name="LevelA3476" comment="0" localSheetId="0" hidden="1">""</definedName>
    <definedName name="LevelA3476C0" comment="NA==" localSheetId="0" hidden="1">""</definedName>
    <definedName name="LevelA3477" comment="0" localSheetId="0" hidden="1">""</definedName>
    <definedName name="LevelA3477C0" comment="NA==" localSheetId="0" hidden="1">""</definedName>
    <definedName name="LevelA3478" comment="0" localSheetId="0" hidden="1">""</definedName>
    <definedName name="LevelA3478C0" comment="NA==" localSheetId="0" hidden="1">""</definedName>
    <definedName name="LevelA3479" comment="0" localSheetId="0" hidden="1">""</definedName>
    <definedName name="LevelA3479C0" comment="NA==" localSheetId="0" hidden="1">""</definedName>
    <definedName name="LevelA347C0" comment="NA==" localSheetId="0" hidden="1">""</definedName>
    <definedName name="LevelA348" comment="0" localSheetId="0" hidden="1">""</definedName>
    <definedName name="LevelA3480" comment="0" localSheetId="0" hidden="1">""</definedName>
    <definedName name="LevelA3480C0" comment="NA==" localSheetId="0" hidden="1">""</definedName>
    <definedName name="LevelA3481" comment="0" localSheetId="0" hidden="1">""</definedName>
    <definedName name="LevelA3481C0" comment="NA==" localSheetId="0" hidden="1">""</definedName>
    <definedName name="LevelA3482" comment="0" localSheetId="0" hidden="1">""</definedName>
    <definedName name="LevelA3482C0" comment="NA==" localSheetId="0" hidden="1">""</definedName>
    <definedName name="LevelA3483" comment="0" localSheetId="0" hidden="1">""</definedName>
    <definedName name="LevelA3483C0" comment="NA==" localSheetId="0" hidden="1">""</definedName>
    <definedName name="LevelA3484" comment="0" localSheetId="0" hidden="1">""</definedName>
    <definedName name="LevelA3484C0" comment="NA==" localSheetId="0" hidden="1">""</definedName>
    <definedName name="LevelA3485" comment="0" localSheetId="0" hidden="1">""</definedName>
    <definedName name="LevelA3485C0" comment="NA==" localSheetId="0" hidden="1">""</definedName>
    <definedName name="LevelA3486" comment="0" localSheetId="0" hidden="1">""</definedName>
    <definedName name="LevelA3486C0" comment="NA==" localSheetId="0" hidden="1">""</definedName>
    <definedName name="LevelA3487" comment="0" localSheetId="0" hidden="1">""</definedName>
    <definedName name="LevelA3487C0" comment="NA==" localSheetId="0" hidden="1">""</definedName>
    <definedName name="LevelA3488" comment="0" localSheetId="0" hidden="1">""</definedName>
    <definedName name="LevelA3488C0" comment="NA==" localSheetId="0" hidden="1">""</definedName>
    <definedName name="LevelA3489" comment="0" localSheetId="0" hidden="1">""</definedName>
    <definedName name="LevelA3489C0" comment="NA==" localSheetId="0" hidden="1">""</definedName>
    <definedName name="LevelA348C0" comment="NA==" localSheetId="0" hidden="1">""</definedName>
    <definedName name="LevelA349" comment="0" localSheetId="0" hidden="1">""</definedName>
    <definedName name="LevelA3490" comment="0" localSheetId="0" hidden="1">""</definedName>
    <definedName name="LevelA3490C0" comment="NA==" localSheetId="0" hidden="1">""</definedName>
    <definedName name="LevelA3491" comment="0" localSheetId="0" hidden="1">""</definedName>
    <definedName name="LevelA3491C0" comment="NA==" localSheetId="0" hidden="1">""</definedName>
    <definedName name="LevelA3492" comment="0" localSheetId="0" hidden="1">""</definedName>
    <definedName name="LevelA3492C0" comment="NA==" localSheetId="0" hidden="1">""</definedName>
    <definedName name="LevelA3493" comment="0" localSheetId="0" hidden="1">""</definedName>
    <definedName name="LevelA3493C0" comment="NA==" localSheetId="0" hidden="1">""</definedName>
    <definedName name="LevelA3494" comment="0" localSheetId="0" hidden="1">""</definedName>
    <definedName name="LevelA3494C0" comment="NA==" localSheetId="0" hidden="1">""</definedName>
    <definedName name="LevelA3495" comment="0" localSheetId="0" hidden="1">""</definedName>
    <definedName name="LevelA3495C0" comment="NA==" localSheetId="0" hidden="1">""</definedName>
    <definedName name="LevelA3496" comment="0" localSheetId="0" hidden="1">""</definedName>
    <definedName name="LevelA3496C0" comment="NA==" localSheetId="0" hidden="1">""</definedName>
    <definedName name="LevelA3497" comment="0" localSheetId="0" hidden="1">""</definedName>
    <definedName name="LevelA3497C0" comment="NA==" localSheetId="0" hidden="1">""</definedName>
    <definedName name="LevelA3498" comment="0" localSheetId="0" hidden="1">""</definedName>
    <definedName name="LevelA3498C0" comment="NA==" localSheetId="0" hidden="1">""</definedName>
    <definedName name="LevelA3499" comment="0" localSheetId="0" hidden="1">""</definedName>
    <definedName name="LevelA3499C0" comment="NA==" localSheetId="0" hidden="1">""</definedName>
    <definedName name="LevelA349C0" comment="NA==" localSheetId="0" hidden="1">""</definedName>
    <definedName name="LevelA34C0" comment="NA==" localSheetId="0" hidden="1">""</definedName>
    <definedName name="LevelA35" comment="0" localSheetId="0" hidden="1">""</definedName>
    <definedName name="LevelA350" comment="0" localSheetId="0" hidden="1">""</definedName>
    <definedName name="LevelA3500" comment="0" localSheetId="0" hidden="1">""</definedName>
    <definedName name="LevelA3500C0" comment="NA==" localSheetId="0" hidden="1">""</definedName>
    <definedName name="LevelA3501" comment="0" localSheetId="0" hidden="1">""</definedName>
    <definedName name="LevelA3501C0" comment="NA==" localSheetId="0" hidden="1">""</definedName>
    <definedName name="LevelA3502" comment="0" localSheetId="0" hidden="1">""</definedName>
    <definedName name="LevelA3502C0" comment="NA==" localSheetId="0" hidden="1">""</definedName>
    <definedName name="LevelA3503" comment="0" localSheetId="0" hidden="1">""</definedName>
    <definedName name="LevelA3503C0" comment="NA==" localSheetId="0" hidden="1">""</definedName>
    <definedName name="LevelA3504" comment="0" localSheetId="0" hidden="1">""</definedName>
    <definedName name="LevelA3504C0" comment="NA==" localSheetId="0" hidden="1">""</definedName>
    <definedName name="LevelA3505" comment="0" localSheetId="0" hidden="1">""</definedName>
    <definedName name="LevelA3505C0" comment="NA==" localSheetId="0" hidden="1">""</definedName>
    <definedName name="LevelA3506" comment="0" localSheetId="0" hidden="1">""</definedName>
    <definedName name="LevelA3506C0" comment="NA==" localSheetId="0" hidden="1">""</definedName>
    <definedName name="LevelA3507" comment="0" localSheetId="0" hidden="1">""</definedName>
    <definedName name="LevelA3507C0" comment="NA==" localSheetId="0" hidden="1">""</definedName>
    <definedName name="LevelA3508" comment="0" localSheetId="0" hidden="1">""</definedName>
    <definedName name="LevelA3508C0" comment="NA==" localSheetId="0" hidden="1">""</definedName>
    <definedName name="LevelA3509" comment="0" localSheetId="0" hidden="1">""</definedName>
    <definedName name="LevelA3509C0" comment="NA==" localSheetId="0" hidden="1">""</definedName>
    <definedName name="LevelA350C0" comment="NA==" localSheetId="0" hidden="1">""</definedName>
    <definedName name="LevelA351" comment="0" localSheetId="0" hidden="1">""</definedName>
    <definedName name="LevelA3510" comment="0" localSheetId="0" hidden="1">""</definedName>
    <definedName name="LevelA3510C0" comment="NA==" localSheetId="0" hidden="1">""</definedName>
    <definedName name="LevelA3511" comment="0" localSheetId="0" hidden="1">""</definedName>
    <definedName name="LevelA3511C0" comment="NA==" localSheetId="0" hidden="1">""</definedName>
    <definedName name="LevelA3512" comment="0" localSheetId="0" hidden="1">""</definedName>
    <definedName name="LevelA3512C0" comment="NA==" localSheetId="0" hidden="1">""</definedName>
    <definedName name="LevelA3513" comment="0" localSheetId="0" hidden="1">""</definedName>
    <definedName name="LevelA3513C0" comment="NA==" localSheetId="0" hidden="1">""</definedName>
    <definedName name="LevelA3514" comment="0" localSheetId="0" hidden="1">""</definedName>
    <definedName name="LevelA3514C0" comment="NA==" localSheetId="0" hidden="1">""</definedName>
    <definedName name="LevelA3515" comment="0" localSheetId="0" hidden="1">""</definedName>
    <definedName name="LevelA3515C0" comment="NA==" localSheetId="0" hidden="1">""</definedName>
    <definedName name="LevelA3516" comment="0" localSheetId="0" hidden="1">""</definedName>
    <definedName name="LevelA3516C0" comment="NA==" localSheetId="0" hidden="1">""</definedName>
    <definedName name="LevelA3517" comment="0" localSheetId="0" hidden="1">""</definedName>
    <definedName name="LevelA3517C0" comment="NA==" localSheetId="0" hidden="1">""</definedName>
    <definedName name="LevelA3518" comment="0" localSheetId="0" hidden="1">""</definedName>
    <definedName name="LevelA3518C0" comment="NA==" localSheetId="0" hidden="1">""</definedName>
    <definedName name="LevelA3519" comment="0" localSheetId="0" hidden="1">""</definedName>
    <definedName name="LevelA3519C0" comment="NA==" localSheetId="0" hidden="1">""</definedName>
    <definedName name="LevelA351C0" comment="NA==" localSheetId="0" hidden="1">""</definedName>
    <definedName name="LevelA352" comment="0" localSheetId="0" hidden="1">""</definedName>
    <definedName name="LevelA3520" comment="0" localSheetId="0" hidden="1">""</definedName>
    <definedName name="LevelA3520C0" comment="NA==" localSheetId="0" hidden="1">""</definedName>
    <definedName name="LevelA3521" comment="0" localSheetId="0" hidden="1">""</definedName>
    <definedName name="LevelA3521C0" comment="NA==" localSheetId="0" hidden="1">""</definedName>
    <definedName name="LevelA3522" comment="0" localSheetId="0" hidden="1">""</definedName>
    <definedName name="LevelA3522C0" comment="NA==" localSheetId="0" hidden="1">""</definedName>
    <definedName name="LevelA3523" comment="0" localSheetId="0" hidden="1">""</definedName>
    <definedName name="LevelA3523C0" comment="NA==" localSheetId="0" hidden="1">""</definedName>
    <definedName name="LevelA3524" comment="0" localSheetId="0" hidden="1">""</definedName>
    <definedName name="LevelA3524C0" comment="NA==" localSheetId="0" hidden="1">""</definedName>
    <definedName name="LevelA3525" comment="0" localSheetId="0" hidden="1">""</definedName>
    <definedName name="LevelA3525C0" comment="NA==" localSheetId="0" hidden="1">""</definedName>
    <definedName name="LevelA3526" comment="0" localSheetId="0" hidden="1">""</definedName>
    <definedName name="LevelA3526C0" comment="NA==" localSheetId="0" hidden="1">""</definedName>
    <definedName name="LevelA3527" comment="0" localSheetId="0" hidden="1">""</definedName>
    <definedName name="LevelA3527C0" comment="NA==" localSheetId="0" hidden="1">""</definedName>
    <definedName name="LevelA3528" comment="0" localSheetId="0" hidden="1">""</definedName>
    <definedName name="LevelA3528C0" comment="NA==" localSheetId="0" hidden="1">""</definedName>
    <definedName name="LevelA3529" comment="0" localSheetId="0" hidden="1">""</definedName>
    <definedName name="LevelA3529C0" comment="NA==" localSheetId="0" hidden="1">""</definedName>
    <definedName name="LevelA352C0" comment="NA==" localSheetId="0" hidden="1">""</definedName>
    <definedName name="LevelA353" comment="0" localSheetId="0" hidden="1">""</definedName>
    <definedName name="LevelA3530" comment="0" localSheetId="0" hidden="1">""</definedName>
    <definedName name="LevelA3530C0" comment="NA==" localSheetId="0" hidden="1">""</definedName>
    <definedName name="LevelA3531" comment="0" localSheetId="0" hidden="1">""</definedName>
    <definedName name="LevelA3531C0" comment="NA==" localSheetId="0" hidden="1">""</definedName>
    <definedName name="LevelA3532" comment="0" localSheetId="0" hidden="1">""</definedName>
    <definedName name="LevelA3532C0" comment="NA==" localSheetId="0" hidden="1">""</definedName>
    <definedName name="LevelA3533" comment="0" localSheetId="0" hidden="1">""</definedName>
    <definedName name="LevelA3533C0" comment="NA==" localSheetId="0" hidden="1">""</definedName>
    <definedName name="LevelA3534" comment="0" localSheetId="0" hidden="1">""</definedName>
    <definedName name="LevelA3534C0" comment="NA==" localSheetId="0" hidden="1">""</definedName>
    <definedName name="LevelA3535" comment="0" localSheetId="0" hidden="1">""</definedName>
    <definedName name="LevelA3535C0" comment="NA==" localSheetId="0" hidden="1">""</definedName>
    <definedName name="LevelA3536" comment="0" localSheetId="0" hidden="1">""</definedName>
    <definedName name="LevelA3536C0" comment="NA==" localSheetId="0" hidden="1">""</definedName>
    <definedName name="LevelA3537" comment="0" localSheetId="0" hidden="1">""</definedName>
    <definedName name="LevelA3537C0" comment="NA==" localSheetId="0" hidden="1">""</definedName>
    <definedName name="LevelA3538" comment="0" localSheetId="0" hidden="1">""</definedName>
    <definedName name="LevelA3538C0" comment="NA==" localSheetId="0" hidden="1">""</definedName>
    <definedName name="LevelA3539" comment="0" localSheetId="0" hidden="1">""</definedName>
    <definedName name="LevelA3539C0" comment="NA==" localSheetId="0" hidden="1">""</definedName>
    <definedName name="LevelA353C0" comment="NA==" localSheetId="0" hidden="1">""</definedName>
    <definedName name="LevelA354" comment="0" localSheetId="0" hidden="1">""</definedName>
    <definedName name="LevelA3540" comment="0" localSheetId="0" hidden="1">""</definedName>
    <definedName name="LevelA3540C0" comment="NA==" localSheetId="0" hidden="1">""</definedName>
    <definedName name="LevelA3541" comment="0" localSheetId="0" hidden="1">""</definedName>
    <definedName name="LevelA3541C0" comment="NA==" localSheetId="0" hidden="1">""</definedName>
    <definedName name="LevelA3542" comment="0" localSheetId="0" hidden="1">""</definedName>
    <definedName name="LevelA3542C0" comment="NA==" localSheetId="0" hidden="1">""</definedName>
    <definedName name="LevelA3543" comment="0" localSheetId="0" hidden="1">""</definedName>
    <definedName name="LevelA3543C0" comment="NA==" localSheetId="0" hidden="1">""</definedName>
    <definedName name="LevelA3544" comment="0" localSheetId="0" hidden="1">""</definedName>
    <definedName name="LevelA3544C0" comment="NA==" localSheetId="0" hidden="1">""</definedName>
    <definedName name="LevelA3545" comment="0" localSheetId="0" hidden="1">""</definedName>
    <definedName name="LevelA3545C0" comment="NA==" localSheetId="0" hidden="1">""</definedName>
    <definedName name="LevelA3546" comment="0" localSheetId="0" hidden="1">""</definedName>
    <definedName name="LevelA3546C0" comment="NA==" localSheetId="0" hidden="1">""</definedName>
    <definedName name="LevelA3547" comment="0" localSheetId="0" hidden="1">""</definedName>
    <definedName name="LevelA3547C0" comment="NA==" localSheetId="0" hidden="1">""</definedName>
    <definedName name="LevelA3548" comment="0" localSheetId="0" hidden="1">""</definedName>
    <definedName name="LevelA3548C0" comment="NA==" localSheetId="0" hidden="1">""</definedName>
    <definedName name="LevelA3549" comment="0" localSheetId="0" hidden="1">""</definedName>
    <definedName name="LevelA3549C0" comment="NA==" localSheetId="0" hidden="1">""</definedName>
    <definedName name="LevelA354C0" comment="NA==" localSheetId="0" hidden="1">""</definedName>
    <definedName name="LevelA355" comment="0" localSheetId="0" hidden="1">""</definedName>
    <definedName name="LevelA3550" comment="0" localSheetId="0" hidden="1">""</definedName>
    <definedName name="LevelA3550C0" comment="NA==" localSheetId="0" hidden="1">""</definedName>
    <definedName name="LevelA3551" comment="0" localSheetId="0" hidden="1">""</definedName>
    <definedName name="LevelA3551C0" comment="NA==" localSheetId="0" hidden="1">""</definedName>
    <definedName name="LevelA3552" comment="0" localSheetId="0" hidden="1">""</definedName>
    <definedName name="LevelA3552C0" comment="NA==" localSheetId="0" hidden="1">""</definedName>
    <definedName name="LevelA3553" comment="0" localSheetId="0" hidden="1">""</definedName>
    <definedName name="LevelA3553C0" comment="NA==" localSheetId="0" hidden="1">""</definedName>
    <definedName name="LevelA3554" comment="0" localSheetId="0" hidden="1">""</definedName>
    <definedName name="LevelA3554C0" comment="NA==" localSheetId="0" hidden="1">""</definedName>
    <definedName name="LevelA3555" comment="0" localSheetId="0" hidden="1">""</definedName>
    <definedName name="LevelA3555C0" comment="NA==" localSheetId="0" hidden="1">""</definedName>
    <definedName name="LevelA3556" comment="0" localSheetId="0" hidden="1">""</definedName>
    <definedName name="LevelA3556C0" comment="NA==" localSheetId="0" hidden="1">""</definedName>
    <definedName name="LevelA3557" comment="0" localSheetId="0" hidden="1">""</definedName>
    <definedName name="LevelA3557C0" comment="NA==" localSheetId="0" hidden="1">""</definedName>
    <definedName name="LevelA3558" comment="0" localSheetId="0" hidden="1">""</definedName>
    <definedName name="LevelA3558C0" comment="NA==" localSheetId="0" hidden="1">""</definedName>
    <definedName name="LevelA3559" comment="0" localSheetId="0" hidden="1">""</definedName>
    <definedName name="LevelA3559C0" comment="NA==" localSheetId="0" hidden="1">""</definedName>
    <definedName name="LevelA355C0" comment="NA==" localSheetId="0" hidden="1">""</definedName>
    <definedName name="LevelA356" comment="0" localSheetId="0" hidden="1">""</definedName>
    <definedName name="LevelA3560" comment="0" localSheetId="0" hidden="1">""</definedName>
    <definedName name="LevelA3560C0" comment="NA==" localSheetId="0" hidden="1">""</definedName>
    <definedName name="LevelA3561" comment="0" localSheetId="0" hidden="1">""</definedName>
    <definedName name="LevelA3561C0" comment="NA==" localSheetId="0" hidden="1">""</definedName>
    <definedName name="LevelA3562" comment="0" localSheetId="0" hidden="1">""</definedName>
    <definedName name="LevelA3562C0" comment="NA==" localSheetId="0" hidden="1">""</definedName>
    <definedName name="LevelA3563" comment="0" localSheetId="0" hidden="1">""</definedName>
    <definedName name="LevelA3563C0" comment="NA==" localSheetId="0" hidden="1">""</definedName>
    <definedName name="LevelA3564" comment="0" localSheetId="0" hidden="1">""</definedName>
    <definedName name="LevelA3564C0" comment="NA==" localSheetId="0" hidden="1">""</definedName>
    <definedName name="LevelA3565" comment="0" localSheetId="0" hidden="1">""</definedName>
    <definedName name="LevelA3565C0" comment="NA==" localSheetId="0" hidden="1">""</definedName>
    <definedName name="LevelA3566" comment="0" localSheetId="0" hidden="1">""</definedName>
    <definedName name="LevelA3566C0" comment="NA==" localSheetId="0" hidden="1">""</definedName>
    <definedName name="LevelA3567" comment="0" localSheetId="0" hidden="1">""</definedName>
    <definedName name="LevelA3567C0" comment="NA==" localSheetId="0" hidden="1">""</definedName>
    <definedName name="LevelA3568" comment="0" localSheetId="0" hidden="1">""</definedName>
    <definedName name="LevelA3568C0" comment="NA==" localSheetId="0" hidden="1">""</definedName>
    <definedName name="LevelA3569" comment="0" localSheetId="0" hidden="1">""</definedName>
    <definedName name="LevelA3569C0" comment="NA==" localSheetId="0" hidden="1">""</definedName>
    <definedName name="LevelA356C0" comment="NA==" localSheetId="0" hidden="1">""</definedName>
    <definedName name="LevelA357" comment="0" localSheetId="0" hidden="1">""</definedName>
    <definedName name="LevelA3570" comment="0" localSheetId="0" hidden="1">""</definedName>
    <definedName name="LevelA3570C0" comment="NA==" localSheetId="0" hidden="1">""</definedName>
    <definedName name="LevelA3571" comment="0" localSheetId="0" hidden="1">""</definedName>
    <definedName name="LevelA3571C0" comment="NA==" localSheetId="0" hidden="1">""</definedName>
    <definedName name="LevelA3572" comment="0" localSheetId="0" hidden="1">""</definedName>
    <definedName name="LevelA3572C0" comment="NA==" localSheetId="0" hidden="1">""</definedName>
    <definedName name="LevelA3573" comment="0" localSheetId="0" hidden="1">""</definedName>
    <definedName name="LevelA3573C0" comment="NA==" localSheetId="0" hidden="1">""</definedName>
    <definedName name="LevelA3574" comment="0" localSheetId="0" hidden="1">""</definedName>
    <definedName name="LevelA3574C0" comment="NA==" localSheetId="0" hidden="1">""</definedName>
    <definedName name="LevelA3575" comment="0" localSheetId="0" hidden="1">""</definedName>
    <definedName name="LevelA3575C0" comment="NA==" localSheetId="0" hidden="1">""</definedName>
    <definedName name="LevelA3576" comment="0" localSheetId="0" hidden="1">""</definedName>
    <definedName name="LevelA3576C0" comment="NA==" localSheetId="0" hidden="1">""</definedName>
    <definedName name="LevelA3577" comment="0" localSheetId="0" hidden="1">""</definedName>
    <definedName name="LevelA3577C0" comment="NA==" localSheetId="0" hidden="1">""</definedName>
    <definedName name="LevelA3578" comment="0" localSheetId="0" hidden="1">""</definedName>
    <definedName name="LevelA3578C0" comment="NA==" localSheetId="0" hidden="1">""</definedName>
    <definedName name="LevelA3579" comment="0" localSheetId="0" hidden="1">""</definedName>
    <definedName name="LevelA3579C0" comment="NA==" localSheetId="0" hidden="1">""</definedName>
    <definedName name="LevelA357C0" comment="NA==" localSheetId="0" hidden="1">""</definedName>
    <definedName name="LevelA358" comment="0" localSheetId="0" hidden="1">""</definedName>
    <definedName name="LevelA3580" comment="0" localSheetId="0" hidden="1">""</definedName>
    <definedName name="LevelA3580C0" comment="NA==" localSheetId="0" hidden="1">""</definedName>
    <definedName name="LevelA3581" comment="0" localSheetId="0" hidden="1">""</definedName>
    <definedName name="LevelA3581C0" comment="NA==" localSheetId="0" hidden="1">""</definedName>
    <definedName name="LevelA3582" comment="0" localSheetId="0" hidden="1">""</definedName>
    <definedName name="LevelA3582C0" comment="NA==" localSheetId="0" hidden="1">""</definedName>
    <definedName name="LevelA3583" comment="0" localSheetId="0" hidden="1">""</definedName>
    <definedName name="LevelA3583C0" comment="NA==" localSheetId="0" hidden="1">""</definedName>
    <definedName name="LevelA3584" comment="0" localSheetId="0" hidden="1">""</definedName>
    <definedName name="LevelA3584C0" comment="NA==" localSheetId="0" hidden="1">""</definedName>
    <definedName name="LevelA3585" comment="0" localSheetId="0" hidden="1">""</definedName>
    <definedName name="LevelA3585C0" comment="NA==" localSheetId="0" hidden="1">""</definedName>
    <definedName name="LevelA3586" comment="0" localSheetId="0" hidden="1">""</definedName>
    <definedName name="LevelA3586C0" comment="NA==" localSheetId="0" hidden="1">""</definedName>
    <definedName name="LevelA3587" comment="0" localSheetId="0" hidden="1">""</definedName>
    <definedName name="LevelA3587C0" comment="NA==" localSheetId="0" hidden="1">""</definedName>
    <definedName name="LevelA3588" comment="0" localSheetId="0" hidden="1">""</definedName>
    <definedName name="LevelA3588C0" comment="NA==" localSheetId="0" hidden="1">""</definedName>
    <definedName name="LevelA3589" comment="0" localSheetId="0" hidden="1">""</definedName>
    <definedName name="LevelA3589C0" comment="NA==" localSheetId="0" hidden="1">""</definedName>
    <definedName name="LevelA358C0" comment="NA==" localSheetId="0" hidden="1">""</definedName>
    <definedName name="LevelA359" comment="0" localSheetId="0" hidden="1">""</definedName>
    <definedName name="LevelA3590" comment="0" localSheetId="0" hidden="1">""</definedName>
    <definedName name="LevelA3590C0" comment="NA==" localSheetId="0" hidden="1">""</definedName>
    <definedName name="LevelA3591" comment="0" localSheetId="0" hidden="1">""</definedName>
    <definedName name="LevelA3591C0" comment="NA==" localSheetId="0" hidden="1">""</definedName>
    <definedName name="LevelA3592" comment="0" localSheetId="0" hidden="1">""</definedName>
    <definedName name="LevelA3592C0" comment="NA==" localSheetId="0" hidden="1">""</definedName>
    <definedName name="LevelA3593" comment="0" localSheetId="0" hidden="1">""</definedName>
    <definedName name="LevelA3593C0" comment="NA==" localSheetId="0" hidden="1">""</definedName>
    <definedName name="LevelA3594" comment="0" localSheetId="0" hidden="1">""</definedName>
    <definedName name="LevelA3594C0" comment="NA==" localSheetId="0" hidden="1">""</definedName>
    <definedName name="LevelA3595" comment="0" localSheetId="0" hidden="1">""</definedName>
    <definedName name="LevelA3595C0" comment="NA==" localSheetId="0" hidden="1">""</definedName>
    <definedName name="LevelA3596" comment="0" localSheetId="0" hidden="1">""</definedName>
    <definedName name="LevelA3596C0" comment="NA==" localSheetId="0" hidden="1">""</definedName>
    <definedName name="LevelA3597" comment="0" localSheetId="0" hidden="1">""</definedName>
    <definedName name="LevelA3597C0" comment="NA==" localSheetId="0" hidden="1">""</definedName>
    <definedName name="LevelA3598" comment="0" localSheetId="0" hidden="1">""</definedName>
    <definedName name="LevelA3598C0" comment="NA==" localSheetId="0" hidden="1">""</definedName>
    <definedName name="LevelA3599" comment="0" localSheetId="0" hidden="1">""</definedName>
    <definedName name="LevelA3599C0" comment="NA==" localSheetId="0" hidden="1">""</definedName>
    <definedName name="LevelA359C0" comment="NA==" localSheetId="0" hidden="1">""</definedName>
    <definedName name="LevelA35C0" comment="NA==" localSheetId="0" hidden="1">""</definedName>
    <definedName name="LevelA36" comment="0" localSheetId="0" hidden="1">""</definedName>
    <definedName name="LevelA360" comment="0" localSheetId="0" hidden="1">""</definedName>
    <definedName name="LevelA3600" comment="0" localSheetId="0" hidden="1">""</definedName>
    <definedName name="LevelA3600C0" comment="NA==" localSheetId="0" hidden="1">""</definedName>
    <definedName name="LevelA3601" comment="0" localSheetId="0" hidden="1">""</definedName>
    <definedName name="LevelA3601C0" comment="NA==" localSheetId="0" hidden="1">""</definedName>
    <definedName name="LevelA3602" comment="0" localSheetId="0" hidden="1">""</definedName>
    <definedName name="LevelA3602C0" comment="NA==" localSheetId="0" hidden="1">""</definedName>
    <definedName name="LevelA3603" comment="0" localSheetId="0" hidden="1">""</definedName>
    <definedName name="LevelA3603C0" comment="NA==" localSheetId="0" hidden="1">""</definedName>
    <definedName name="LevelA3604" comment="0" localSheetId="0" hidden="1">""</definedName>
    <definedName name="LevelA3604C0" comment="NA==" localSheetId="0" hidden="1">""</definedName>
    <definedName name="LevelA3605" comment="0" localSheetId="0" hidden="1">""</definedName>
    <definedName name="LevelA3605C0" comment="NA==" localSheetId="0" hidden="1">""</definedName>
    <definedName name="LevelA3606" comment="0" localSheetId="0" hidden="1">""</definedName>
    <definedName name="LevelA3606C0" comment="NA==" localSheetId="0" hidden="1">""</definedName>
    <definedName name="LevelA3607" comment="0" localSheetId="0" hidden="1">""</definedName>
    <definedName name="LevelA3607C0" comment="NA==" localSheetId="0" hidden="1">""</definedName>
    <definedName name="LevelA3608" comment="0" localSheetId="0" hidden="1">""</definedName>
    <definedName name="LevelA3608C0" comment="NA==" localSheetId="0" hidden="1">""</definedName>
    <definedName name="LevelA3609" comment="0" localSheetId="0" hidden="1">""</definedName>
    <definedName name="LevelA3609C0" comment="NA==" localSheetId="0" hidden="1">""</definedName>
    <definedName name="LevelA360C0" comment="NA==" localSheetId="0" hidden="1">""</definedName>
    <definedName name="LevelA361" comment="0" localSheetId="0" hidden="1">""</definedName>
    <definedName name="LevelA3610" comment="0" localSheetId="0" hidden="1">""</definedName>
    <definedName name="LevelA3610C0" comment="NA==" localSheetId="0" hidden="1">""</definedName>
    <definedName name="LevelA3611" comment="0" localSheetId="0" hidden="1">""</definedName>
    <definedName name="LevelA3611C0" comment="NA==" localSheetId="0" hidden="1">""</definedName>
    <definedName name="LevelA3612" comment="0" localSheetId="0" hidden="1">""</definedName>
    <definedName name="LevelA3612C0" comment="NA==" localSheetId="0" hidden="1">""</definedName>
    <definedName name="LevelA3613" comment="0" localSheetId="0" hidden="1">""</definedName>
    <definedName name="LevelA3613C0" comment="NA==" localSheetId="0" hidden="1">""</definedName>
    <definedName name="LevelA3614" comment="0" localSheetId="0" hidden="1">""</definedName>
    <definedName name="LevelA3614C0" comment="NA==" localSheetId="0" hidden="1">""</definedName>
    <definedName name="LevelA3615" comment="0" localSheetId="0" hidden="1">""</definedName>
    <definedName name="LevelA3615C0" comment="NA==" localSheetId="0" hidden="1">""</definedName>
    <definedName name="LevelA3616" comment="0" localSheetId="0" hidden="1">""</definedName>
    <definedName name="LevelA3616C0" comment="NA==" localSheetId="0" hidden="1">""</definedName>
    <definedName name="LevelA3617" comment="0" localSheetId="0" hidden="1">""</definedName>
    <definedName name="LevelA3617C0" comment="NA==" localSheetId="0" hidden="1">""</definedName>
    <definedName name="LevelA3618" comment="0" localSheetId="0" hidden="1">""</definedName>
    <definedName name="LevelA3618C0" comment="NA==" localSheetId="0" hidden="1">""</definedName>
    <definedName name="LevelA3619" comment="0" localSheetId="0" hidden="1">""</definedName>
    <definedName name="LevelA3619C0" comment="NA==" localSheetId="0" hidden="1">""</definedName>
    <definedName name="LevelA361C0" comment="NA==" localSheetId="0" hidden="1">""</definedName>
    <definedName name="LevelA362" comment="0" localSheetId="0" hidden="1">""</definedName>
    <definedName name="LevelA3620" comment="0" localSheetId="0" hidden="1">""</definedName>
    <definedName name="LevelA3620C0" comment="NA==" localSheetId="0" hidden="1">""</definedName>
    <definedName name="LevelA3621" comment="0" localSheetId="0" hidden="1">""</definedName>
    <definedName name="LevelA3621C0" comment="NA==" localSheetId="0" hidden="1">""</definedName>
    <definedName name="LevelA3622" comment="0" localSheetId="0" hidden="1">""</definedName>
    <definedName name="LevelA3622C0" comment="NA==" localSheetId="0" hidden="1">""</definedName>
    <definedName name="LevelA3623" comment="0" localSheetId="0" hidden="1">""</definedName>
    <definedName name="LevelA3623C0" comment="NA==" localSheetId="0" hidden="1">""</definedName>
    <definedName name="LevelA3624" comment="0" localSheetId="0" hidden="1">""</definedName>
    <definedName name="LevelA3624C0" comment="NA==" localSheetId="0" hidden="1">""</definedName>
    <definedName name="LevelA3625" comment="0" localSheetId="0" hidden="1">""</definedName>
    <definedName name="LevelA3625C0" comment="NA==" localSheetId="0" hidden="1">""</definedName>
    <definedName name="LevelA3626" comment="0" localSheetId="0" hidden="1">""</definedName>
    <definedName name="LevelA3626C0" comment="NA==" localSheetId="0" hidden="1">""</definedName>
    <definedName name="LevelA3627" comment="0" localSheetId="0" hidden="1">""</definedName>
    <definedName name="LevelA3627C0" comment="NA==" localSheetId="0" hidden="1">""</definedName>
    <definedName name="LevelA3628" comment="0" localSheetId="0" hidden="1">""</definedName>
    <definedName name="LevelA3628C0" comment="NA==" localSheetId="0" hidden="1">""</definedName>
    <definedName name="LevelA3629" comment="0" localSheetId="0" hidden="1">""</definedName>
    <definedName name="LevelA3629C0" comment="NA==" localSheetId="0" hidden="1">""</definedName>
    <definedName name="LevelA362C0" comment="NA==" localSheetId="0" hidden="1">""</definedName>
    <definedName name="LevelA363" comment="0" localSheetId="0" hidden="1">""</definedName>
    <definedName name="LevelA3630" comment="0" localSheetId="0" hidden="1">""</definedName>
    <definedName name="LevelA3630C0" comment="NA==" localSheetId="0" hidden="1">""</definedName>
    <definedName name="LevelA3631" comment="0" localSheetId="0" hidden="1">""</definedName>
    <definedName name="LevelA3631C0" comment="NA==" localSheetId="0" hidden="1">""</definedName>
    <definedName name="LevelA3632" comment="0" localSheetId="0" hidden="1">""</definedName>
    <definedName name="LevelA3632C0" comment="NA==" localSheetId="0" hidden="1">""</definedName>
    <definedName name="LevelA3633" comment="0" localSheetId="0" hidden="1">""</definedName>
    <definedName name="LevelA3633C0" comment="NA==" localSheetId="0" hidden="1">""</definedName>
    <definedName name="LevelA3634" comment="0" localSheetId="0" hidden="1">""</definedName>
    <definedName name="LevelA3634C0" comment="NA==" localSheetId="0" hidden="1">""</definedName>
    <definedName name="LevelA3635" comment="0" localSheetId="0" hidden="1">""</definedName>
    <definedName name="LevelA3635C0" comment="NA==" localSheetId="0" hidden="1">""</definedName>
    <definedName name="LevelA3636" comment="0" localSheetId="0" hidden="1">""</definedName>
    <definedName name="LevelA3636C0" comment="NA==" localSheetId="0" hidden="1">""</definedName>
    <definedName name="LevelA3637" comment="0" localSheetId="0" hidden="1">""</definedName>
    <definedName name="LevelA3637C0" comment="NA==" localSheetId="0" hidden="1">""</definedName>
    <definedName name="LevelA3638" comment="0" localSheetId="0" hidden="1">""</definedName>
    <definedName name="LevelA3638C0" comment="NA==" localSheetId="0" hidden="1">""</definedName>
    <definedName name="LevelA3639" comment="0" localSheetId="0" hidden="1">""</definedName>
    <definedName name="LevelA3639C0" comment="NA==" localSheetId="0" hidden="1">""</definedName>
    <definedName name="LevelA363C0" comment="NA==" localSheetId="0" hidden="1">""</definedName>
    <definedName name="LevelA364" comment="0" localSheetId="0" hidden="1">""</definedName>
    <definedName name="LevelA3640" comment="0" localSheetId="0" hidden="1">""</definedName>
    <definedName name="LevelA3640C0" comment="NA==" localSheetId="0" hidden="1">""</definedName>
    <definedName name="LevelA3641" comment="0" localSheetId="0" hidden="1">""</definedName>
    <definedName name="LevelA3641C0" comment="NA==" localSheetId="0" hidden="1">""</definedName>
    <definedName name="LevelA3642" comment="0" localSheetId="0" hidden="1">""</definedName>
    <definedName name="LevelA3642C0" comment="NA==" localSheetId="0" hidden="1">""</definedName>
    <definedName name="LevelA3643" comment="0" localSheetId="0" hidden="1">""</definedName>
    <definedName name="LevelA3643C0" comment="NA==" localSheetId="0" hidden="1">""</definedName>
    <definedName name="LevelA3644" comment="0" localSheetId="0" hidden="1">""</definedName>
    <definedName name="LevelA3644C0" comment="NA==" localSheetId="0" hidden="1">""</definedName>
    <definedName name="LevelA3645" comment="0" localSheetId="0" hidden="1">""</definedName>
    <definedName name="LevelA3645C0" comment="NA==" localSheetId="0" hidden="1">""</definedName>
    <definedName name="LevelA3646" comment="0" localSheetId="0" hidden="1">""</definedName>
    <definedName name="LevelA3646C0" comment="NA==" localSheetId="0" hidden="1">""</definedName>
    <definedName name="LevelA3647" comment="0" localSheetId="0" hidden="1">""</definedName>
    <definedName name="LevelA3647C0" comment="NA==" localSheetId="0" hidden="1">""</definedName>
    <definedName name="LevelA3648" comment="0" localSheetId="0" hidden="1">""</definedName>
    <definedName name="LevelA3648C0" comment="NA==" localSheetId="0" hidden="1">""</definedName>
    <definedName name="LevelA3649" comment="0" localSheetId="0" hidden="1">""</definedName>
    <definedName name="LevelA3649C0" comment="NA==" localSheetId="0" hidden="1">""</definedName>
    <definedName name="LevelA364C0" comment="NA==" localSheetId="0" hidden="1">""</definedName>
    <definedName name="LevelA365" comment="0" localSheetId="0" hidden="1">""</definedName>
    <definedName name="LevelA3650" comment="0" localSheetId="0" hidden="1">""</definedName>
    <definedName name="LevelA3650C0" comment="NA==" localSheetId="0" hidden="1">""</definedName>
    <definedName name="LevelA3651" comment="0" localSheetId="0" hidden="1">""</definedName>
    <definedName name="LevelA3651C0" comment="NA==" localSheetId="0" hidden="1">""</definedName>
    <definedName name="LevelA3652" comment="0" localSheetId="0" hidden="1">""</definedName>
    <definedName name="LevelA3652C0" comment="NA==" localSheetId="0" hidden="1">""</definedName>
    <definedName name="LevelA3653" comment="0" localSheetId="0" hidden="1">""</definedName>
    <definedName name="LevelA3653C0" comment="NA==" localSheetId="0" hidden="1">""</definedName>
    <definedName name="LevelA3654" comment="0" localSheetId="0" hidden="1">""</definedName>
    <definedName name="LevelA3654C0" comment="NA==" localSheetId="0" hidden="1">""</definedName>
    <definedName name="LevelA3655" comment="0" localSheetId="0" hidden="1">""</definedName>
    <definedName name="LevelA3655C0" comment="NA==" localSheetId="0" hidden="1">""</definedName>
    <definedName name="LevelA3656" comment="0" localSheetId="0" hidden="1">""</definedName>
    <definedName name="LevelA3656C0" comment="NA==" localSheetId="0" hidden="1">""</definedName>
    <definedName name="LevelA3657" comment="0" localSheetId="0" hidden="1">""</definedName>
    <definedName name="LevelA3657C0" comment="NA==" localSheetId="0" hidden="1">""</definedName>
    <definedName name="LevelA3658" comment="0" localSheetId="0" hidden="1">""</definedName>
    <definedName name="LevelA3658C0" comment="NA==" localSheetId="0" hidden="1">""</definedName>
    <definedName name="LevelA3659" comment="0" localSheetId="0" hidden="1">""</definedName>
    <definedName name="LevelA3659C0" comment="NA==" localSheetId="0" hidden="1">""</definedName>
    <definedName name="LevelA365C0" comment="NA==" localSheetId="0" hidden="1">""</definedName>
    <definedName name="LevelA366" comment="0" localSheetId="0" hidden="1">""</definedName>
    <definedName name="LevelA3660" comment="0" localSheetId="0" hidden="1">""</definedName>
    <definedName name="LevelA3660C0" comment="NA==" localSheetId="0" hidden="1">""</definedName>
    <definedName name="LevelA3661" comment="0" localSheetId="0" hidden="1">""</definedName>
    <definedName name="LevelA3661C0" comment="NA==" localSheetId="0" hidden="1">""</definedName>
    <definedName name="LevelA3662" comment="0" localSheetId="0" hidden="1">""</definedName>
    <definedName name="LevelA3662C0" comment="NA==" localSheetId="0" hidden="1">""</definedName>
    <definedName name="LevelA3663" comment="0" localSheetId="0" hidden="1">""</definedName>
    <definedName name="LevelA3663C0" comment="NA==" localSheetId="0" hidden="1">""</definedName>
    <definedName name="LevelA3664" comment="0" localSheetId="0" hidden="1">""</definedName>
    <definedName name="LevelA3664C0" comment="NA==" localSheetId="0" hidden="1">""</definedName>
    <definedName name="LevelA3665" comment="0" localSheetId="0" hidden="1">""</definedName>
    <definedName name="LevelA3665C0" comment="NA==" localSheetId="0" hidden="1">""</definedName>
    <definedName name="LevelA3666" comment="0" localSheetId="0" hidden="1">""</definedName>
    <definedName name="LevelA3666C0" comment="NA==" localSheetId="0" hidden="1">""</definedName>
    <definedName name="LevelA3667" comment="0" localSheetId="0" hidden="1">""</definedName>
    <definedName name="LevelA3667C0" comment="NA==" localSheetId="0" hidden="1">""</definedName>
    <definedName name="LevelA3668" comment="0" localSheetId="0" hidden="1">""</definedName>
    <definedName name="LevelA3668C0" comment="NA==" localSheetId="0" hidden="1">""</definedName>
    <definedName name="LevelA3669" comment="0" localSheetId="0" hidden="1">""</definedName>
    <definedName name="LevelA3669C0" comment="NA==" localSheetId="0" hidden="1">""</definedName>
    <definedName name="LevelA366C0" comment="NA==" localSheetId="0" hidden="1">""</definedName>
    <definedName name="LevelA367" comment="0" localSheetId="0" hidden="1">""</definedName>
    <definedName name="LevelA3670" comment="0" localSheetId="0" hidden="1">""</definedName>
    <definedName name="LevelA3670C0" comment="NA==" localSheetId="0" hidden="1">""</definedName>
    <definedName name="LevelA3671" comment="0" localSheetId="0" hidden="1">""</definedName>
    <definedName name="LevelA3671C0" comment="NA==" localSheetId="0" hidden="1">""</definedName>
    <definedName name="LevelA3672" comment="0" localSheetId="0" hidden="1">""</definedName>
    <definedName name="LevelA3672C0" comment="NA==" localSheetId="0" hidden="1">""</definedName>
    <definedName name="LevelA3673" comment="0" localSheetId="0" hidden="1">""</definedName>
    <definedName name="LevelA3673C0" comment="NA==" localSheetId="0" hidden="1">""</definedName>
    <definedName name="LevelA3674" comment="0" localSheetId="0" hidden="1">""</definedName>
    <definedName name="LevelA3674C0" comment="NA==" localSheetId="0" hidden="1">""</definedName>
    <definedName name="LevelA3675" comment="0" localSheetId="0" hidden="1">""</definedName>
    <definedName name="LevelA3675C0" comment="NA==" localSheetId="0" hidden="1">""</definedName>
    <definedName name="LevelA3676" comment="0" localSheetId="0" hidden="1">""</definedName>
    <definedName name="LevelA3676C0" comment="NA==" localSheetId="0" hidden="1">""</definedName>
    <definedName name="LevelA3677" comment="0" localSheetId="0" hidden="1">""</definedName>
    <definedName name="LevelA3677C0" comment="NA==" localSheetId="0" hidden="1">""</definedName>
    <definedName name="LevelA3678" comment="0" localSheetId="0" hidden="1">""</definedName>
    <definedName name="LevelA3678C0" comment="NA==" localSheetId="0" hidden="1">""</definedName>
    <definedName name="LevelA3679" comment="0" localSheetId="0" hidden="1">""</definedName>
    <definedName name="LevelA3679C0" comment="NA==" localSheetId="0" hidden="1">""</definedName>
    <definedName name="LevelA367C0" comment="NA==" localSheetId="0" hidden="1">""</definedName>
    <definedName name="LevelA368" comment="0" localSheetId="0" hidden="1">""</definedName>
    <definedName name="LevelA3680" comment="0" localSheetId="0" hidden="1">""</definedName>
    <definedName name="LevelA3680C0" comment="NA==" localSheetId="0" hidden="1">""</definedName>
    <definedName name="LevelA3681" comment="0" localSheetId="0" hidden="1">""</definedName>
    <definedName name="LevelA3681C0" comment="NA==" localSheetId="0" hidden="1">""</definedName>
    <definedName name="LevelA3682" comment="0" localSheetId="0" hidden="1">""</definedName>
    <definedName name="LevelA3682C0" comment="NA==" localSheetId="0" hidden="1">""</definedName>
    <definedName name="LevelA3683" comment="0" localSheetId="0" hidden="1">""</definedName>
    <definedName name="LevelA3683C0" comment="NA==" localSheetId="0" hidden="1">""</definedName>
    <definedName name="LevelA3684" comment="0" localSheetId="0" hidden="1">""</definedName>
    <definedName name="LevelA3684C0" comment="NA==" localSheetId="0" hidden="1">""</definedName>
    <definedName name="LevelA3685" comment="0" localSheetId="0" hidden="1">""</definedName>
    <definedName name="LevelA3685C0" comment="NA==" localSheetId="0" hidden="1">""</definedName>
    <definedName name="LevelA3686" comment="0" localSheetId="0" hidden="1">""</definedName>
    <definedName name="LevelA3686C0" comment="NA==" localSheetId="0" hidden="1">""</definedName>
    <definedName name="LevelA3687" comment="0" localSheetId="0" hidden="1">""</definedName>
    <definedName name="LevelA3687C0" comment="NA==" localSheetId="0" hidden="1">""</definedName>
    <definedName name="LevelA3688" comment="0" localSheetId="0" hidden="1">""</definedName>
    <definedName name="LevelA3688C0" comment="NA==" localSheetId="0" hidden="1">""</definedName>
    <definedName name="LevelA3689" comment="0" localSheetId="0" hidden="1">""</definedName>
    <definedName name="LevelA3689C0" comment="NA==" localSheetId="0" hidden="1">""</definedName>
    <definedName name="LevelA368C0" comment="NA==" localSheetId="0" hidden="1">""</definedName>
    <definedName name="LevelA369" comment="0" localSheetId="0" hidden="1">""</definedName>
    <definedName name="LevelA3690" comment="0" localSheetId="0" hidden="1">""</definedName>
    <definedName name="LevelA3690C0" comment="NA==" localSheetId="0" hidden="1">""</definedName>
    <definedName name="LevelA3691" comment="0" localSheetId="0" hidden="1">""</definedName>
    <definedName name="LevelA3691C0" comment="NA==" localSheetId="0" hidden="1">""</definedName>
    <definedName name="LevelA3692" comment="0" localSheetId="0" hidden="1">""</definedName>
    <definedName name="LevelA3692C0" comment="NA==" localSheetId="0" hidden="1">""</definedName>
    <definedName name="LevelA3693" comment="0" localSheetId="0" hidden="1">""</definedName>
    <definedName name="LevelA3693C0" comment="NA==" localSheetId="0" hidden="1">""</definedName>
    <definedName name="LevelA3694" comment="0" localSheetId="0" hidden="1">""</definedName>
    <definedName name="LevelA3694C0" comment="NA==" localSheetId="0" hidden="1">""</definedName>
    <definedName name="LevelA3695" comment="0" localSheetId="0" hidden="1">""</definedName>
    <definedName name="LevelA3695C0" comment="NA==" localSheetId="0" hidden="1">""</definedName>
    <definedName name="LevelA3696" comment="0" localSheetId="0" hidden="1">""</definedName>
    <definedName name="LevelA3696C0" comment="NA==" localSheetId="0" hidden="1">""</definedName>
    <definedName name="LevelA3697" comment="0" localSheetId="0" hidden="1">""</definedName>
    <definedName name="LevelA3697C0" comment="NA==" localSheetId="0" hidden="1">""</definedName>
    <definedName name="LevelA3698" comment="0" localSheetId="0" hidden="1">""</definedName>
    <definedName name="LevelA3698C0" comment="NA==" localSheetId="0" hidden="1">""</definedName>
    <definedName name="LevelA3699" comment="0" localSheetId="0" hidden="1">""</definedName>
    <definedName name="LevelA3699C0" comment="NA==" localSheetId="0" hidden="1">""</definedName>
    <definedName name="LevelA369C0" comment="NA==" localSheetId="0" hidden="1">""</definedName>
    <definedName name="LevelA36C0" comment="NA==" localSheetId="0" hidden="1">""</definedName>
    <definedName name="LevelA37" comment="0" localSheetId="0" hidden="1">""</definedName>
    <definedName name="LevelA370" comment="0" localSheetId="0" hidden="1">""</definedName>
    <definedName name="LevelA3700" comment="0" localSheetId="0" hidden="1">""</definedName>
    <definedName name="LevelA3700C0" comment="NA==" localSheetId="0" hidden="1">""</definedName>
    <definedName name="LevelA3701" comment="0" localSheetId="0" hidden="1">""</definedName>
    <definedName name="LevelA3701C0" comment="NA==" localSheetId="0" hidden="1">""</definedName>
    <definedName name="LevelA3702" comment="0" localSheetId="0" hidden="1">""</definedName>
    <definedName name="LevelA3702C0" comment="NA==" localSheetId="0" hidden="1">""</definedName>
    <definedName name="LevelA3703" comment="0" localSheetId="0" hidden="1">""</definedName>
    <definedName name="LevelA3703C0" comment="NA==" localSheetId="0" hidden="1">""</definedName>
    <definedName name="LevelA3704" comment="0" localSheetId="0" hidden="1">""</definedName>
    <definedName name="LevelA3704C0" comment="NA==" localSheetId="0" hidden="1">""</definedName>
    <definedName name="LevelA3705" comment="0" localSheetId="0" hidden="1">""</definedName>
    <definedName name="LevelA3705C0" comment="NA==" localSheetId="0" hidden="1">""</definedName>
    <definedName name="LevelA3706" comment="0" localSheetId="0" hidden="1">""</definedName>
    <definedName name="LevelA3706C0" comment="NA==" localSheetId="0" hidden="1">""</definedName>
    <definedName name="LevelA3707" comment="0" localSheetId="0" hidden="1">""</definedName>
    <definedName name="LevelA3707C0" comment="NA==" localSheetId="0" hidden="1">""</definedName>
    <definedName name="LevelA3708" comment="0" localSheetId="0" hidden="1">""</definedName>
    <definedName name="LevelA3708C0" comment="NA==" localSheetId="0" hidden="1">""</definedName>
    <definedName name="LevelA3709" comment="0" localSheetId="0" hidden="1">""</definedName>
    <definedName name="LevelA3709C0" comment="NA==" localSheetId="0" hidden="1">""</definedName>
    <definedName name="LevelA370C0" comment="NA==" localSheetId="0" hidden="1">""</definedName>
    <definedName name="LevelA371" comment="0" localSheetId="0" hidden="1">""</definedName>
    <definedName name="LevelA3710" comment="0" localSheetId="0" hidden="1">""</definedName>
    <definedName name="LevelA3710C0" comment="NA==" localSheetId="0" hidden="1">""</definedName>
    <definedName name="LevelA3711" comment="0" localSheetId="0" hidden="1">""</definedName>
    <definedName name="LevelA3711C0" comment="NA==" localSheetId="0" hidden="1">""</definedName>
    <definedName name="LevelA3712" comment="0" localSheetId="0" hidden="1">""</definedName>
    <definedName name="LevelA3712C0" comment="NA==" localSheetId="0" hidden="1">""</definedName>
    <definedName name="LevelA3713" comment="0" localSheetId="0" hidden="1">""</definedName>
    <definedName name="LevelA3713C0" comment="NA==" localSheetId="0" hidden="1">""</definedName>
    <definedName name="LevelA3714" comment="0" localSheetId="0" hidden="1">""</definedName>
    <definedName name="LevelA3714C0" comment="NA==" localSheetId="0" hidden="1">""</definedName>
    <definedName name="LevelA3715" comment="0" localSheetId="0" hidden="1">""</definedName>
    <definedName name="LevelA3715C0" comment="NA==" localSheetId="0" hidden="1">""</definedName>
    <definedName name="LevelA3716" comment="0" localSheetId="0" hidden="1">""</definedName>
    <definedName name="LevelA3716C0" comment="NA==" localSheetId="0" hidden="1">""</definedName>
    <definedName name="LevelA3717" comment="0" localSheetId="0" hidden="1">""</definedName>
    <definedName name="LevelA3717C0" comment="NA==" localSheetId="0" hidden="1">""</definedName>
    <definedName name="LevelA3718" comment="0" localSheetId="0" hidden="1">""</definedName>
    <definedName name="LevelA3718C0" comment="NA==" localSheetId="0" hidden="1">""</definedName>
    <definedName name="LevelA3719" comment="0" localSheetId="0" hidden="1">""</definedName>
    <definedName name="LevelA3719C0" comment="NA==" localSheetId="0" hidden="1">""</definedName>
    <definedName name="LevelA371C0" comment="NA==" localSheetId="0" hidden="1">""</definedName>
    <definedName name="LevelA372" comment="0" localSheetId="0" hidden="1">""</definedName>
    <definedName name="LevelA3720" comment="0" localSheetId="0" hidden="1">""</definedName>
    <definedName name="LevelA3720C0" comment="NA==" localSheetId="0" hidden="1">""</definedName>
    <definedName name="LevelA3721" comment="0" localSheetId="0" hidden="1">""</definedName>
    <definedName name="LevelA3721C0" comment="NA==" localSheetId="0" hidden="1">""</definedName>
    <definedName name="LevelA3722" comment="0" localSheetId="0" hidden="1">""</definedName>
    <definedName name="LevelA3722C0" comment="NA==" localSheetId="0" hidden="1">""</definedName>
    <definedName name="LevelA3723" comment="0" localSheetId="0" hidden="1">""</definedName>
    <definedName name="LevelA3723C0" comment="NA==" localSheetId="0" hidden="1">""</definedName>
    <definedName name="LevelA3724" comment="0" localSheetId="0" hidden="1">""</definedName>
    <definedName name="LevelA3724C0" comment="NA==" localSheetId="0" hidden="1">""</definedName>
    <definedName name="LevelA3725" comment="0" localSheetId="0" hidden="1">""</definedName>
    <definedName name="LevelA3725C0" comment="NA==" localSheetId="0" hidden="1">""</definedName>
    <definedName name="LevelA3726" comment="0" localSheetId="0" hidden="1">""</definedName>
    <definedName name="LevelA3726C0" comment="NA==" localSheetId="0" hidden="1">""</definedName>
    <definedName name="LevelA3727" comment="0" localSheetId="0" hidden="1">""</definedName>
    <definedName name="LevelA3727C0" comment="NA==" localSheetId="0" hidden="1">""</definedName>
    <definedName name="LevelA3728" comment="0" localSheetId="0" hidden="1">""</definedName>
    <definedName name="LevelA3728C0" comment="NA==" localSheetId="0" hidden="1">""</definedName>
    <definedName name="LevelA3729" comment="0" localSheetId="0" hidden="1">""</definedName>
    <definedName name="LevelA3729C0" comment="NA==" localSheetId="0" hidden="1">""</definedName>
    <definedName name="LevelA372C0" comment="NA==" localSheetId="0" hidden="1">""</definedName>
    <definedName name="LevelA373" comment="0" localSheetId="0" hidden="1">""</definedName>
    <definedName name="LevelA3730" comment="0" localSheetId="0" hidden="1">""</definedName>
    <definedName name="LevelA3730C0" comment="NA==" localSheetId="0" hidden="1">""</definedName>
    <definedName name="LevelA3731" comment="0" localSheetId="0" hidden="1">""</definedName>
    <definedName name="LevelA3731C0" comment="NA==" localSheetId="0" hidden="1">""</definedName>
    <definedName name="LevelA3732" comment="0" localSheetId="0" hidden="1">""</definedName>
    <definedName name="LevelA3732C0" comment="NA==" localSheetId="0" hidden="1">""</definedName>
    <definedName name="LevelA3733" comment="0" localSheetId="0" hidden="1">""</definedName>
    <definedName name="LevelA3733C0" comment="NA==" localSheetId="0" hidden="1">""</definedName>
    <definedName name="LevelA3734" comment="0" localSheetId="0" hidden="1">""</definedName>
    <definedName name="LevelA3734C0" comment="NA==" localSheetId="0" hidden="1">""</definedName>
    <definedName name="LevelA3735" comment="0" localSheetId="0" hidden="1">""</definedName>
    <definedName name="LevelA3735C0" comment="NA==" localSheetId="0" hidden="1">""</definedName>
    <definedName name="LevelA3736" comment="0" localSheetId="0" hidden="1">""</definedName>
    <definedName name="LevelA3736C0" comment="NA==" localSheetId="0" hidden="1">""</definedName>
    <definedName name="LevelA3737" comment="0" localSheetId="0" hidden="1">""</definedName>
    <definedName name="LevelA3737C0" comment="NA==" localSheetId="0" hidden="1">""</definedName>
    <definedName name="LevelA3738" comment="0" localSheetId="0" hidden="1">""</definedName>
    <definedName name="LevelA3738C0" comment="NA==" localSheetId="0" hidden="1">""</definedName>
    <definedName name="LevelA3739" comment="0" localSheetId="0" hidden="1">""</definedName>
    <definedName name="LevelA3739C0" comment="NA==" localSheetId="0" hidden="1">""</definedName>
    <definedName name="LevelA373C0" comment="NA==" localSheetId="0" hidden="1">""</definedName>
    <definedName name="LevelA374" comment="0" localSheetId="0" hidden="1">""</definedName>
    <definedName name="LevelA3740" comment="0" localSheetId="0" hidden="1">""</definedName>
    <definedName name="LevelA3740C0" comment="NA==" localSheetId="0" hidden="1">""</definedName>
    <definedName name="LevelA3741" comment="0" localSheetId="0" hidden="1">""</definedName>
    <definedName name="LevelA3741C0" comment="NA==" localSheetId="0" hidden="1">""</definedName>
    <definedName name="LevelA3742" comment="0" localSheetId="0" hidden="1">""</definedName>
    <definedName name="LevelA3742C0" comment="NA==" localSheetId="0" hidden="1">""</definedName>
    <definedName name="LevelA3743" comment="0" localSheetId="0" hidden="1">""</definedName>
    <definedName name="LevelA3743C0" comment="NA==" localSheetId="0" hidden="1">""</definedName>
    <definedName name="LevelA3744" comment="0" localSheetId="0" hidden="1">""</definedName>
    <definedName name="LevelA3744C0" comment="NA==" localSheetId="0" hidden="1">""</definedName>
    <definedName name="LevelA3745" comment="0" localSheetId="0" hidden="1">""</definedName>
    <definedName name="LevelA3745C0" comment="NA==" localSheetId="0" hidden="1">""</definedName>
    <definedName name="LevelA3746" comment="0" localSheetId="0" hidden="1">""</definedName>
    <definedName name="LevelA3746C0" comment="NA==" localSheetId="0" hidden="1">""</definedName>
    <definedName name="LevelA3747" comment="0" localSheetId="0" hidden="1">""</definedName>
    <definedName name="LevelA3747C0" comment="NA==" localSheetId="0" hidden="1">""</definedName>
    <definedName name="LevelA3748" comment="0" localSheetId="0" hidden="1">""</definedName>
    <definedName name="LevelA3748C0" comment="NA==" localSheetId="0" hidden="1">""</definedName>
    <definedName name="LevelA3749" comment="0" localSheetId="0" hidden="1">""</definedName>
    <definedName name="LevelA3749C0" comment="NA==" localSheetId="0" hidden="1">""</definedName>
    <definedName name="LevelA374C0" comment="NA==" localSheetId="0" hidden="1">""</definedName>
    <definedName name="LevelA375" comment="0" localSheetId="0" hidden="1">""</definedName>
    <definedName name="LevelA3750" comment="0" localSheetId="0" hidden="1">""</definedName>
    <definedName name="LevelA3750C0" comment="NA==" localSheetId="0" hidden="1">""</definedName>
    <definedName name="LevelA3751" comment="0" localSheetId="0" hidden="1">""</definedName>
    <definedName name="LevelA3751C0" comment="NA==" localSheetId="0" hidden="1">""</definedName>
    <definedName name="LevelA3752" comment="0" localSheetId="0" hidden="1">""</definedName>
    <definedName name="LevelA3752C0" comment="NA==" localSheetId="0" hidden="1">""</definedName>
    <definedName name="LevelA3753" comment="0" localSheetId="0" hidden="1">""</definedName>
    <definedName name="LevelA3753C0" comment="NA==" localSheetId="0" hidden="1">""</definedName>
    <definedName name="LevelA3754" comment="0" localSheetId="0" hidden="1">""</definedName>
    <definedName name="LevelA3754C0" comment="NA==" localSheetId="0" hidden="1">""</definedName>
    <definedName name="LevelA3755" comment="0" localSheetId="0" hidden="1">""</definedName>
    <definedName name="LevelA3755C0" comment="NA==" localSheetId="0" hidden="1">""</definedName>
    <definedName name="LevelA3756" comment="0" localSheetId="0" hidden="1">""</definedName>
    <definedName name="LevelA3756C0" comment="NA==" localSheetId="0" hidden="1">""</definedName>
    <definedName name="LevelA3757" comment="0" localSheetId="0" hidden="1">""</definedName>
    <definedName name="LevelA3757C0" comment="NA==" localSheetId="0" hidden="1">""</definedName>
    <definedName name="LevelA3758" comment="0" localSheetId="0" hidden="1">""</definedName>
    <definedName name="LevelA3758C0" comment="NA==" localSheetId="0" hidden="1">""</definedName>
    <definedName name="LevelA3759" comment="0" localSheetId="0" hidden="1">""</definedName>
    <definedName name="LevelA3759C0" comment="NA==" localSheetId="0" hidden="1">""</definedName>
    <definedName name="LevelA375C0" comment="NA==" localSheetId="0" hidden="1">""</definedName>
    <definedName name="LevelA376" comment="0" localSheetId="0" hidden="1">""</definedName>
    <definedName name="LevelA3760" comment="0" localSheetId="0" hidden="1">""</definedName>
    <definedName name="LevelA3760C0" comment="NA==" localSheetId="0" hidden="1">""</definedName>
    <definedName name="LevelA3761" comment="0" localSheetId="0" hidden="1">""</definedName>
    <definedName name="LevelA3761C0" comment="NA==" localSheetId="0" hidden="1">""</definedName>
    <definedName name="LevelA3762" comment="0" localSheetId="0" hidden="1">""</definedName>
    <definedName name="LevelA3762C0" comment="NA==" localSheetId="0" hidden="1">""</definedName>
    <definedName name="LevelA3763" comment="0" localSheetId="0" hidden="1">""</definedName>
    <definedName name="LevelA3763C0" comment="NA==" localSheetId="0" hidden="1">""</definedName>
    <definedName name="LevelA3764" comment="0" localSheetId="0" hidden="1">""</definedName>
    <definedName name="LevelA3764C0" comment="NA==" localSheetId="0" hidden="1">""</definedName>
    <definedName name="LevelA3765" comment="0" localSheetId="0" hidden="1">""</definedName>
    <definedName name="LevelA3765C0" comment="NA==" localSheetId="0" hidden="1">""</definedName>
    <definedName name="LevelA3766" comment="0" localSheetId="0" hidden="1">""</definedName>
    <definedName name="LevelA3766C0" comment="NA==" localSheetId="0" hidden="1">""</definedName>
    <definedName name="LevelA3767" comment="0" localSheetId="0" hidden="1">""</definedName>
    <definedName name="LevelA3767C0" comment="NA==" localSheetId="0" hidden="1">""</definedName>
    <definedName name="LevelA3768" comment="0" localSheetId="0" hidden="1">""</definedName>
    <definedName name="LevelA3768C0" comment="NA==" localSheetId="0" hidden="1">""</definedName>
    <definedName name="LevelA3769" comment="0" localSheetId="0" hidden="1">""</definedName>
    <definedName name="LevelA3769C0" comment="NA==" localSheetId="0" hidden="1">""</definedName>
    <definedName name="LevelA376C0" comment="NA==" localSheetId="0" hidden="1">""</definedName>
    <definedName name="LevelA377" comment="0" localSheetId="0" hidden="1">""</definedName>
    <definedName name="LevelA3770" comment="0" localSheetId="0" hidden="1">""</definedName>
    <definedName name="LevelA3770C0" comment="NA==" localSheetId="0" hidden="1">""</definedName>
    <definedName name="LevelA3771" comment="0" localSheetId="0" hidden="1">""</definedName>
    <definedName name="LevelA3771C0" comment="NA==" localSheetId="0" hidden="1">""</definedName>
    <definedName name="LevelA3772" comment="0" localSheetId="0" hidden="1">""</definedName>
    <definedName name="LevelA3772C0" comment="NA==" localSheetId="0" hidden="1">""</definedName>
    <definedName name="LevelA3773" comment="0" localSheetId="0" hidden="1">""</definedName>
    <definedName name="LevelA3773C0" comment="NA==" localSheetId="0" hidden="1">""</definedName>
    <definedName name="LevelA3774" comment="0" localSheetId="0" hidden="1">""</definedName>
    <definedName name="LevelA3774C0" comment="NA==" localSheetId="0" hidden="1">""</definedName>
    <definedName name="LevelA3775" comment="0" localSheetId="0" hidden="1">""</definedName>
    <definedName name="LevelA3775C0" comment="NA==" localSheetId="0" hidden="1">""</definedName>
    <definedName name="LevelA3776" comment="0" localSheetId="0" hidden="1">""</definedName>
    <definedName name="LevelA3776C0" comment="NA==" localSheetId="0" hidden="1">""</definedName>
    <definedName name="LevelA3777" comment="0" localSheetId="0" hidden="1">""</definedName>
    <definedName name="LevelA3777C0" comment="NA==" localSheetId="0" hidden="1">""</definedName>
    <definedName name="LevelA3778" comment="0" localSheetId="0" hidden="1">""</definedName>
    <definedName name="LevelA3778C0" comment="NA==" localSheetId="0" hidden="1">""</definedName>
    <definedName name="LevelA3779" comment="0" localSheetId="0" hidden="1">""</definedName>
    <definedName name="LevelA3779C0" comment="NA==" localSheetId="0" hidden="1">""</definedName>
    <definedName name="LevelA377C0" comment="NA==" localSheetId="0" hidden="1">""</definedName>
    <definedName name="LevelA378" comment="0" localSheetId="0" hidden="1">""</definedName>
    <definedName name="LevelA3780" comment="0" localSheetId="0" hidden="1">""</definedName>
    <definedName name="LevelA3780C0" comment="NA==" localSheetId="0" hidden="1">""</definedName>
    <definedName name="LevelA3781" comment="0" localSheetId="0" hidden="1">""</definedName>
    <definedName name="LevelA3781C0" comment="NA==" localSheetId="0" hidden="1">""</definedName>
    <definedName name="LevelA3782" comment="0" localSheetId="0" hidden="1">""</definedName>
    <definedName name="LevelA3782C0" comment="NA==" localSheetId="0" hidden="1">""</definedName>
    <definedName name="LevelA3783" comment="0" localSheetId="0" hidden="1">""</definedName>
    <definedName name="LevelA3783C0" comment="NA==" localSheetId="0" hidden="1">""</definedName>
    <definedName name="LevelA3784" comment="0" localSheetId="0" hidden="1">""</definedName>
    <definedName name="LevelA3784C0" comment="NA==" localSheetId="0" hidden="1">""</definedName>
    <definedName name="LevelA3785" comment="0" localSheetId="0" hidden="1">""</definedName>
    <definedName name="LevelA3785C0" comment="NA==" localSheetId="0" hidden="1">""</definedName>
    <definedName name="LevelA3786" comment="0" localSheetId="0" hidden="1">""</definedName>
    <definedName name="LevelA3786C0" comment="NA==" localSheetId="0" hidden="1">""</definedName>
    <definedName name="LevelA3787" comment="0" localSheetId="0" hidden="1">""</definedName>
    <definedName name="LevelA3787C0" comment="NA==" localSheetId="0" hidden="1">""</definedName>
    <definedName name="LevelA3788" comment="0" localSheetId="0" hidden="1">""</definedName>
    <definedName name="LevelA3788C0" comment="NA==" localSheetId="0" hidden="1">""</definedName>
    <definedName name="LevelA3789" comment="0" localSheetId="0" hidden="1">""</definedName>
    <definedName name="LevelA3789C0" comment="NA==" localSheetId="0" hidden="1">""</definedName>
    <definedName name="LevelA378C0" comment="NA==" localSheetId="0" hidden="1">""</definedName>
    <definedName name="LevelA379" comment="0" localSheetId="0" hidden="1">""</definedName>
    <definedName name="LevelA3790" comment="0" localSheetId="0" hidden="1">""</definedName>
    <definedName name="LevelA3790C0" comment="NA==" localSheetId="0" hidden="1">""</definedName>
    <definedName name="LevelA3791" comment="0" localSheetId="0" hidden="1">""</definedName>
    <definedName name="LevelA3791C0" comment="NA==" localSheetId="0" hidden="1">""</definedName>
    <definedName name="LevelA3792" comment="0" localSheetId="0" hidden="1">""</definedName>
    <definedName name="LevelA3792C0" comment="NA==" localSheetId="0" hidden="1">""</definedName>
    <definedName name="LevelA3793" comment="0" localSheetId="0" hidden="1">""</definedName>
    <definedName name="LevelA3793C0" comment="NA==" localSheetId="0" hidden="1">""</definedName>
    <definedName name="LevelA3794" comment="0" localSheetId="0" hidden="1">""</definedName>
    <definedName name="LevelA3794C0" comment="NA==" localSheetId="0" hidden="1">""</definedName>
    <definedName name="LevelA3795" comment="0" localSheetId="0" hidden="1">""</definedName>
    <definedName name="LevelA3795C0" comment="NA==" localSheetId="0" hidden="1">""</definedName>
    <definedName name="LevelA3796" comment="0" localSheetId="0" hidden="1">""</definedName>
    <definedName name="LevelA3796C0" comment="NA==" localSheetId="0" hidden="1">""</definedName>
    <definedName name="LevelA3797" comment="0" localSheetId="0" hidden="1">""</definedName>
    <definedName name="LevelA3797C0" comment="NA==" localSheetId="0" hidden="1">""</definedName>
    <definedName name="LevelA3798" comment="0" localSheetId="0" hidden="1">""</definedName>
    <definedName name="LevelA3798C0" comment="NA==" localSheetId="0" hidden="1">""</definedName>
    <definedName name="LevelA3799" comment="0" localSheetId="0" hidden="1">""</definedName>
    <definedName name="LevelA3799C0" comment="NA==" localSheetId="0" hidden="1">""</definedName>
    <definedName name="LevelA379C0" comment="NA==" localSheetId="0" hidden="1">""</definedName>
    <definedName name="LevelA37C0" comment="NA==" localSheetId="0" hidden="1">""</definedName>
    <definedName name="LevelA38" comment="0" localSheetId="0" hidden="1">""</definedName>
    <definedName name="LevelA380" comment="0" localSheetId="0" hidden="1">""</definedName>
    <definedName name="LevelA3800" comment="0" localSheetId="0" hidden="1">""</definedName>
    <definedName name="LevelA3800C0" comment="NA==" localSheetId="0" hidden="1">""</definedName>
    <definedName name="LevelA3801" comment="0" localSheetId="0" hidden="1">""</definedName>
    <definedName name="LevelA3801C0" comment="NA==" localSheetId="0" hidden="1">""</definedName>
    <definedName name="LevelA3802" comment="0" localSheetId="0" hidden="1">""</definedName>
    <definedName name="LevelA3802C0" comment="NA==" localSheetId="0" hidden="1">""</definedName>
    <definedName name="LevelA3803" comment="0" localSheetId="0" hidden="1">""</definedName>
    <definedName name="LevelA3803C0" comment="NA==" localSheetId="0" hidden="1">""</definedName>
    <definedName name="LevelA3804" comment="0" localSheetId="0" hidden="1">""</definedName>
    <definedName name="LevelA3804C0" comment="NA==" localSheetId="0" hidden="1">""</definedName>
    <definedName name="LevelA3805" comment="0" localSheetId="0" hidden="1">""</definedName>
    <definedName name="LevelA3805C0" comment="NA==" localSheetId="0" hidden="1">""</definedName>
    <definedName name="LevelA3806" comment="0" localSheetId="0" hidden="1">""</definedName>
    <definedName name="LevelA3806C0" comment="NA==" localSheetId="0" hidden="1">""</definedName>
    <definedName name="LevelA3807" comment="0" localSheetId="0" hidden="1">""</definedName>
    <definedName name="LevelA3807C0" comment="NA==" localSheetId="0" hidden="1">""</definedName>
    <definedName name="LevelA3808" comment="0" localSheetId="0" hidden="1">""</definedName>
    <definedName name="LevelA3808C0" comment="NA==" localSheetId="0" hidden="1">""</definedName>
    <definedName name="LevelA3809" comment="0" localSheetId="0" hidden="1">""</definedName>
    <definedName name="LevelA3809C0" comment="NA==" localSheetId="0" hidden="1">""</definedName>
    <definedName name="LevelA380C0" comment="NA==" localSheetId="0" hidden="1">""</definedName>
    <definedName name="LevelA381" comment="0" localSheetId="0" hidden="1">""</definedName>
    <definedName name="LevelA3810" comment="0" localSheetId="0" hidden="1">""</definedName>
    <definedName name="LevelA3810C0" comment="NA==" localSheetId="0" hidden="1">""</definedName>
    <definedName name="LevelA3811" comment="0" localSheetId="0" hidden="1">""</definedName>
    <definedName name="LevelA3811C0" comment="NA==" localSheetId="0" hidden="1">""</definedName>
    <definedName name="LevelA3812" comment="0" localSheetId="0" hidden="1">""</definedName>
    <definedName name="LevelA3812C0" comment="NA==" localSheetId="0" hidden="1">""</definedName>
    <definedName name="LevelA3813" comment="0" localSheetId="0" hidden="1">""</definedName>
    <definedName name="LevelA3813C0" comment="NA==" localSheetId="0" hidden="1">""</definedName>
    <definedName name="LevelA3814" comment="0" localSheetId="0" hidden="1">""</definedName>
    <definedName name="LevelA3814C0" comment="NA==" localSheetId="0" hidden="1">""</definedName>
    <definedName name="LevelA3815" comment="0" localSheetId="0" hidden="1">""</definedName>
    <definedName name="LevelA3815C0" comment="NA==" localSheetId="0" hidden="1">""</definedName>
    <definedName name="LevelA3816" comment="0" localSheetId="0" hidden="1">""</definedName>
    <definedName name="LevelA3816C0" comment="NA==" localSheetId="0" hidden="1">""</definedName>
    <definedName name="LevelA3817" comment="0" localSheetId="0" hidden="1">""</definedName>
    <definedName name="LevelA3817C0" comment="NA==" localSheetId="0" hidden="1">""</definedName>
    <definedName name="LevelA3818" comment="0" localSheetId="0" hidden="1">""</definedName>
    <definedName name="LevelA3818C0" comment="NA==" localSheetId="0" hidden="1">""</definedName>
    <definedName name="LevelA3819" comment="0" localSheetId="0" hidden="1">""</definedName>
    <definedName name="LevelA3819C0" comment="NA==" localSheetId="0" hidden="1">""</definedName>
    <definedName name="LevelA381C0" comment="NA==" localSheetId="0" hidden="1">""</definedName>
    <definedName name="LevelA382" comment="0" localSheetId="0" hidden="1">""</definedName>
    <definedName name="LevelA3820" comment="0" localSheetId="0" hidden="1">""</definedName>
    <definedName name="LevelA3820C0" comment="NA==" localSheetId="0" hidden="1">""</definedName>
    <definedName name="LevelA3821" comment="0" localSheetId="0" hidden="1">""</definedName>
    <definedName name="LevelA3821C0" comment="NA==" localSheetId="0" hidden="1">""</definedName>
    <definedName name="LevelA3822" comment="0" localSheetId="0" hidden="1">""</definedName>
    <definedName name="LevelA3822C0" comment="NA==" localSheetId="0" hidden="1">""</definedName>
    <definedName name="LevelA3823" comment="0" localSheetId="0" hidden="1">""</definedName>
    <definedName name="LevelA3823C0" comment="NA==" localSheetId="0" hidden="1">""</definedName>
    <definedName name="LevelA3824" comment="0" localSheetId="0" hidden="1">""</definedName>
    <definedName name="LevelA3824C0" comment="NA==" localSheetId="0" hidden="1">""</definedName>
    <definedName name="LevelA3825" comment="0" localSheetId="0" hidden="1">""</definedName>
    <definedName name="LevelA3825C0" comment="NA==" localSheetId="0" hidden="1">""</definedName>
    <definedName name="LevelA3826" comment="0" localSheetId="0" hidden="1">""</definedName>
    <definedName name="LevelA3826C0" comment="NA==" localSheetId="0" hidden="1">""</definedName>
    <definedName name="LevelA3827" comment="0" localSheetId="0" hidden="1">""</definedName>
    <definedName name="LevelA3827C0" comment="NA==" localSheetId="0" hidden="1">""</definedName>
    <definedName name="LevelA3828" comment="0" localSheetId="0" hidden="1">""</definedName>
    <definedName name="LevelA3828C0" comment="NA==" localSheetId="0" hidden="1">""</definedName>
    <definedName name="LevelA3829" comment="0" localSheetId="0" hidden="1">""</definedName>
    <definedName name="LevelA3829C0" comment="NA==" localSheetId="0" hidden="1">""</definedName>
    <definedName name="LevelA382C0" comment="NA==" localSheetId="0" hidden="1">""</definedName>
    <definedName name="LevelA383" comment="0" localSheetId="0" hidden="1">""</definedName>
    <definedName name="LevelA3830" comment="0" localSheetId="0" hidden="1">""</definedName>
    <definedName name="LevelA3830C0" comment="NA==" localSheetId="0" hidden="1">""</definedName>
    <definedName name="LevelA3831" comment="0" localSheetId="0" hidden="1">""</definedName>
    <definedName name="LevelA3831C0" comment="NA==" localSheetId="0" hidden="1">""</definedName>
    <definedName name="LevelA3832" comment="0" localSheetId="0" hidden="1">""</definedName>
    <definedName name="LevelA3832C0" comment="NA==" localSheetId="0" hidden="1">""</definedName>
    <definedName name="LevelA3833" comment="0" localSheetId="0" hidden="1">""</definedName>
    <definedName name="LevelA3833C0" comment="NA==" localSheetId="0" hidden="1">""</definedName>
    <definedName name="LevelA3834" comment="0" localSheetId="0" hidden="1">""</definedName>
    <definedName name="LevelA3834C0" comment="NA==" localSheetId="0" hidden="1">""</definedName>
    <definedName name="LevelA3835" comment="0" localSheetId="0" hidden="1">""</definedName>
    <definedName name="LevelA3835C0" comment="NA==" localSheetId="0" hidden="1">""</definedName>
    <definedName name="LevelA3836" comment="0" localSheetId="0" hidden="1">""</definedName>
    <definedName name="LevelA3836C0" comment="NA==" localSheetId="0" hidden="1">""</definedName>
    <definedName name="LevelA3837" comment="0" localSheetId="0" hidden="1">""</definedName>
    <definedName name="LevelA3837C0" comment="NA==" localSheetId="0" hidden="1">""</definedName>
    <definedName name="LevelA3838" comment="0" localSheetId="0" hidden="1">""</definedName>
    <definedName name="LevelA3838C0" comment="NA==" localSheetId="0" hidden="1">""</definedName>
    <definedName name="LevelA3839" comment="0" localSheetId="0" hidden="1">""</definedName>
    <definedName name="LevelA3839C0" comment="NA==" localSheetId="0" hidden="1">""</definedName>
    <definedName name="LevelA383C0" comment="NA==" localSheetId="0" hidden="1">""</definedName>
    <definedName name="LevelA384" comment="0" localSheetId="0" hidden="1">""</definedName>
    <definedName name="LevelA3840" comment="0" localSheetId="0" hidden="1">""</definedName>
    <definedName name="LevelA3840C0" comment="NA==" localSheetId="0" hidden="1">""</definedName>
    <definedName name="LevelA3841" comment="0" localSheetId="0" hidden="1">""</definedName>
    <definedName name="LevelA3841C0" comment="NA==" localSheetId="0" hidden="1">""</definedName>
    <definedName name="LevelA3842" comment="0" localSheetId="0" hidden="1">""</definedName>
    <definedName name="LevelA3842C0" comment="NA==" localSheetId="0" hidden="1">""</definedName>
    <definedName name="LevelA3843" comment="0" localSheetId="0" hidden="1">""</definedName>
    <definedName name="LevelA3843C0" comment="NA==" localSheetId="0" hidden="1">""</definedName>
    <definedName name="LevelA3844" comment="0" localSheetId="0" hidden="1">""</definedName>
    <definedName name="LevelA3844C0" comment="NA==" localSheetId="0" hidden="1">""</definedName>
    <definedName name="LevelA3845" comment="0" localSheetId="0" hidden="1">""</definedName>
    <definedName name="LevelA3845C0" comment="NA==" localSheetId="0" hidden="1">""</definedName>
    <definedName name="LevelA3846" comment="0" localSheetId="0" hidden="1">""</definedName>
    <definedName name="LevelA3846C0" comment="NA==" localSheetId="0" hidden="1">""</definedName>
    <definedName name="LevelA3847" comment="0" localSheetId="0" hidden="1">""</definedName>
    <definedName name="LevelA3847C0" comment="NA==" localSheetId="0" hidden="1">""</definedName>
    <definedName name="LevelA3848" comment="0" localSheetId="0" hidden="1">""</definedName>
    <definedName name="LevelA3848C0" comment="NA==" localSheetId="0" hidden="1">""</definedName>
    <definedName name="LevelA3849" comment="0" localSheetId="0" hidden="1">""</definedName>
    <definedName name="LevelA3849C0" comment="NA==" localSheetId="0" hidden="1">""</definedName>
    <definedName name="LevelA384C0" comment="NA==" localSheetId="0" hidden="1">""</definedName>
    <definedName name="LevelA385" comment="0" localSheetId="0" hidden="1">""</definedName>
    <definedName name="LevelA3850" comment="0" localSheetId="0" hidden="1">""</definedName>
    <definedName name="LevelA3850C0" comment="NA==" localSheetId="0" hidden="1">""</definedName>
    <definedName name="LevelA3851" comment="0" localSheetId="0" hidden="1">""</definedName>
    <definedName name="LevelA3851C0" comment="NA==" localSheetId="0" hidden="1">""</definedName>
    <definedName name="LevelA3852" comment="0" localSheetId="0" hidden="1">""</definedName>
    <definedName name="LevelA3852C0" comment="NA==" localSheetId="0" hidden="1">""</definedName>
    <definedName name="LevelA3853" comment="0" localSheetId="0" hidden="1">""</definedName>
    <definedName name="LevelA3853C0" comment="NA==" localSheetId="0" hidden="1">""</definedName>
    <definedName name="LevelA3854" comment="0" localSheetId="0" hidden="1">""</definedName>
    <definedName name="LevelA3854C0" comment="NA==" localSheetId="0" hidden="1">""</definedName>
    <definedName name="LevelA3855" comment="0" localSheetId="0" hidden="1">""</definedName>
    <definedName name="LevelA3855C0" comment="NA==" localSheetId="0" hidden="1">""</definedName>
    <definedName name="LevelA3856" comment="0" localSheetId="0" hidden="1">""</definedName>
    <definedName name="LevelA3856C0" comment="NA==" localSheetId="0" hidden="1">""</definedName>
    <definedName name="LevelA3857" comment="0" localSheetId="0" hidden="1">""</definedName>
    <definedName name="LevelA3857C0" comment="NA==" localSheetId="0" hidden="1">""</definedName>
    <definedName name="LevelA3858" comment="0" localSheetId="0" hidden="1">""</definedName>
    <definedName name="LevelA3858C0" comment="NA==" localSheetId="0" hidden="1">""</definedName>
    <definedName name="LevelA3859" comment="0" localSheetId="0" hidden="1">""</definedName>
    <definedName name="LevelA3859C0" comment="NA==" localSheetId="0" hidden="1">""</definedName>
    <definedName name="LevelA385C0" comment="NA==" localSheetId="0" hidden="1">""</definedName>
    <definedName name="LevelA386" comment="0" localSheetId="0" hidden="1">""</definedName>
    <definedName name="LevelA3860" comment="0" localSheetId="0" hidden="1">""</definedName>
    <definedName name="LevelA3860C0" comment="NA==" localSheetId="0" hidden="1">""</definedName>
    <definedName name="LevelA3861" comment="0" localSheetId="0" hidden="1">""</definedName>
    <definedName name="LevelA3861C0" comment="NA==" localSheetId="0" hidden="1">""</definedName>
    <definedName name="LevelA3862" comment="0" localSheetId="0" hidden="1">""</definedName>
    <definedName name="LevelA3862C0" comment="NA==" localSheetId="0" hidden="1">""</definedName>
    <definedName name="LevelA3863" comment="0" localSheetId="0" hidden="1">""</definedName>
    <definedName name="LevelA3863C0" comment="NA==" localSheetId="0" hidden="1">""</definedName>
    <definedName name="LevelA3864" comment="0" localSheetId="0" hidden="1">""</definedName>
    <definedName name="LevelA3864C0" comment="NA==" localSheetId="0" hidden="1">""</definedName>
    <definedName name="LevelA3865" comment="0" localSheetId="0" hidden="1">""</definedName>
    <definedName name="LevelA3865C0" comment="NA==" localSheetId="0" hidden="1">""</definedName>
    <definedName name="LevelA3866" comment="0" localSheetId="0" hidden="1">""</definedName>
    <definedName name="LevelA3866C0" comment="NA==" localSheetId="0" hidden="1">""</definedName>
    <definedName name="LevelA3867" comment="0" localSheetId="0" hidden="1">""</definedName>
    <definedName name="LevelA3867C0" comment="NA==" localSheetId="0" hidden="1">""</definedName>
    <definedName name="LevelA3868" comment="0" localSheetId="0" hidden="1">""</definedName>
    <definedName name="LevelA3868C0" comment="NA==" localSheetId="0" hidden="1">""</definedName>
    <definedName name="LevelA3869" comment="0" localSheetId="0" hidden="1">""</definedName>
    <definedName name="LevelA3869C0" comment="NA==" localSheetId="0" hidden="1">""</definedName>
    <definedName name="LevelA386C0" comment="NA==" localSheetId="0" hidden="1">""</definedName>
    <definedName name="LevelA387" comment="0" localSheetId="0" hidden="1">""</definedName>
    <definedName name="LevelA3870" comment="0" localSheetId="0" hidden="1">""</definedName>
    <definedName name="LevelA3870C0" comment="NA==" localSheetId="0" hidden="1">""</definedName>
    <definedName name="LevelA3871" comment="0" localSheetId="0" hidden="1">""</definedName>
    <definedName name="LevelA3871C0" comment="NA==" localSheetId="0" hidden="1">""</definedName>
    <definedName name="LevelA3872" comment="0" localSheetId="0" hidden="1">""</definedName>
    <definedName name="LevelA3872C0" comment="NA==" localSheetId="0" hidden="1">""</definedName>
    <definedName name="LevelA3873" comment="0" localSheetId="0" hidden="1">""</definedName>
    <definedName name="LevelA3873C0" comment="NA==" localSheetId="0" hidden="1">""</definedName>
    <definedName name="LevelA3874" comment="0" localSheetId="0" hidden="1">""</definedName>
    <definedName name="LevelA3874C0" comment="NA==" localSheetId="0" hidden="1">""</definedName>
    <definedName name="LevelA3875" comment="0" localSheetId="0" hidden="1">""</definedName>
    <definedName name="LevelA3875C0" comment="NA==" localSheetId="0" hidden="1">""</definedName>
    <definedName name="LevelA3876" comment="0" localSheetId="0" hidden="1">""</definedName>
    <definedName name="LevelA3876C0" comment="NA==" localSheetId="0" hidden="1">""</definedName>
    <definedName name="LevelA3877" comment="0" localSheetId="0" hidden="1">""</definedName>
    <definedName name="LevelA3877C0" comment="NA==" localSheetId="0" hidden="1">""</definedName>
    <definedName name="LevelA3878" comment="0" localSheetId="0" hidden="1">""</definedName>
    <definedName name="LevelA3878C0" comment="NA==" localSheetId="0" hidden="1">""</definedName>
    <definedName name="LevelA3879" comment="0" localSheetId="0" hidden="1">""</definedName>
    <definedName name="LevelA3879C0" comment="NA==" localSheetId="0" hidden="1">""</definedName>
    <definedName name="LevelA387C0" comment="NA==" localSheetId="0" hidden="1">""</definedName>
    <definedName name="LevelA388" comment="0" localSheetId="0" hidden="1">""</definedName>
    <definedName name="LevelA3880" comment="0" localSheetId="0" hidden="1">""</definedName>
    <definedName name="LevelA3880C0" comment="NA==" localSheetId="0" hidden="1">""</definedName>
    <definedName name="LevelA3881" comment="0" localSheetId="0" hidden="1">""</definedName>
    <definedName name="LevelA3881C0" comment="NA==" localSheetId="0" hidden="1">""</definedName>
    <definedName name="LevelA3882" comment="0" localSheetId="0" hidden="1">""</definedName>
    <definedName name="LevelA3882C0" comment="NA==" localSheetId="0" hidden="1">""</definedName>
    <definedName name="LevelA3883" comment="0" localSheetId="0" hidden="1">""</definedName>
    <definedName name="LevelA3883C0" comment="NA==" localSheetId="0" hidden="1">""</definedName>
    <definedName name="LevelA3884" comment="0" localSheetId="0" hidden="1">""</definedName>
    <definedName name="LevelA3884C0" comment="NA==" localSheetId="0" hidden="1">""</definedName>
    <definedName name="LevelA3885" comment="0" localSheetId="0" hidden="1">""</definedName>
    <definedName name="LevelA3885C0" comment="NA==" localSheetId="0" hidden="1">""</definedName>
    <definedName name="LevelA3886" comment="0" localSheetId="0" hidden="1">""</definedName>
    <definedName name="LevelA3886C0" comment="NA==" localSheetId="0" hidden="1">""</definedName>
    <definedName name="LevelA3887" comment="0" localSheetId="0" hidden="1">""</definedName>
    <definedName name="LevelA3887C0" comment="NA==" localSheetId="0" hidden="1">""</definedName>
    <definedName name="LevelA3888" comment="0" localSheetId="0" hidden="1">""</definedName>
    <definedName name="LevelA3888C0" comment="NA==" localSheetId="0" hidden="1">""</definedName>
    <definedName name="LevelA3889" comment="0" localSheetId="0" hidden="1">""</definedName>
    <definedName name="LevelA3889C0" comment="NA==" localSheetId="0" hidden="1">""</definedName>
    <definedName name="LevelA388C0" comment="NA==" localSheetId="0" hidden="1">""</definedName>
    <definedName name="LevelA389" comment="0" localSheetId="0" hidden="1">""</definedName>
    <definedName name="LevelA3890" comment="0" localSheetId="0" hidden="1">""</definedName>
    <definedName name="LevelA3890C0" comment="NA==" localSheetId="0" hidden="1">""</definedName>
    <definedName name="LevelA3891" comment="0" localSheetId="0" hidden="1">""</definedName>
    <definedName name="LevelA3891C0" comment="NA==" localSheetId="0" hidden="1">""</definedName>
    <definedName name="LevelA3892" comment="0" localSheetId="0" hidden="1">""</definedName>
    <definedName name="LevelA3892C0" comment="NA==" localSheetId="0" hidden="1">""</definedName>
    <definedName name="LevelA3893" comment="0" localSheetId="0" hidden="1">""</definedName>
    <definedName name="LevelA3893C0" comment="NA==" localSheetId="0" hidden="1">""</definedName>
    <definedName name="LevelA3894" comment="0" localSheetId="0" hidden="1">""</definedName>
    <definedName name="LevelA3894C0" comment="NA==" localSheetId="0" hidden="1">""</definedName>
    <definedName name="LevelA3895" comment="0" localSheetId="0" hidden="1">""</definedName>
    <definedName name="LevelA3895C0" comment="NA==" localSheetId="0" hidden="1">""</definedName>
    <definedName name="LevelA3896" comment="0" localSheetId="0" hidden="1">""</definedName>
    <definedName name="LevelA3896C0" comment="NA==" localSheetId="0" hidden="1">""</definedName>
    <definedName name="LevelA3897" comment="0" localSheetId="0" hidden="1">""</definedName>
    <definedName name="LevelA3897C0" comment="NA==" localSheetId="0" hidden="1">""</definedName>
    <definedName name="LevelA3898" comment="0" localSheetId="0" hidden="1">""</definedName>
    <definedName name="LevelA3898C0" comment="NA==" localSheetId="0" hidden="1">""</definedName>
    <definedName name="LevelA3899" comment="0" localSheetId="0" hidden="1">""</definedName>
    <definedName name="LevelA3899C0" comment="NA==" localSheetId="0" hidden="1">""</definedName>
    <definedName name="LevelA389C0" comment="NA==" localSheetId="0" hidden="1">""</definedName>
    <definedName name="LevelA38C0" comment="NA==" localSheetId="0" hidden="1">""</definedName>
    <definedName name="LevelA39" comment="0" localSheetId="0" hidden="1">""</definedName>
    <definedName name="LevelA390" comment="0" localSheetId="0" hidden="1">""</definedName>
    <definedName name="LevelA3900" comment="0" localSheetId="0" hidden="1">""</definedName>
    <definedName name="LevelA3900C0" comment="NA==" localSheetId="0" hidden="1">""</definedName>
    <definedName name="LevelA3901" comment="0" localSheetId="0" hidden="1">""</definedName>
    <definedName name="LevelA3901C0" comment="NA==" localSheetId="0" hidden="1">""</definedName>
    <definedName name="LevelA3902" comment="0" localSheetId="0" hidden="1">""</definedName>
    <definedName name="LevelA3902C0" comment="NA==" localSheetId="0" hidden="1">""</definedName>
    <definedName name="LevelA3903" comment="0" localSheetId="0" hidden="1">""</definedName>
    <definedName name="LevelA3903C0" comment="NA==" localSheetId="0" hidden="1">""</definedName>
    <definedName name="LevelA3904" comment="0" localSheetId="0" hidden="1">""</definedName>
    <definedName name="LevelA3904C0" comment="NA==" localSheetId="0" hidden="1">""</definedName>
    <definedName name="LevelA3905" comment="0" localSheetId="0" hidden="1">""</definedName>
    <definedName name="LevelA3905C0" comment="NA==" localSheetId="0" hidden="1">""</definedName>
    <definedName name="LevelA3906" comment="0" localSheetId="0" hidden="1">""</definedName>
    <definedName name="LevelA3906C0" comment="NA==" localSheetId="0" hidden="1">""</definedName>
    <definedName name="LevelA3907" comment="0" localSheetId="0" hidden="1">""</definedName>
    <definedName name="LevelA3907C0" comment="NA==" localSheetId="0" hidden="1">""</definedName>
    <definedName name="LevelA3908" comment="0" localSheetId="0" hidden="1">""</definedName>
    <definedName name="LevelA3908C0" comment="NA==" localSheetId="0" hidden="1">""</definedName>
    <definedName name="LevelA3909" comment="0" localSheetId="0" hidden="1">""</definedName>
    <definedName name="LevelA3909C0" comment="NA==" localSheetId="0" hidden="1">""</definedName>
    <definedName name="LevelA390C0" comment="NA==" localSheetId="0" hidden="1">""</definedName>
    <definedName name="LevelA391" comment="0" localSheetId="0" hidden="1">""</definedName>
    <definedName name="LevelA3910" comment="0" localSheetId="0" hidden="1">""</definedName>
    <definedName name="LevelA3910C0" comment="NA==" localSheetId="0" hidden="1">""</definedName>
    <definedName name="LevelA3911" comment="0" localSheetId="0" hidden="1">""</definedName>
    <definedName name="LevelA3911C0" comment="NA==" localSheetId="0" hidden="1">""</definedName>
    <definedName name="LevelA3912" comment="0" localSheetId="0" hidden="1">""</definedName>
    <definedName name="LevelA3912C0" comment="NA==" localSheetId="0" hidden="1">""</definedName>
    <definedName name="LevelA3913" comment="0" localSheetId="0" hidden="1">""</definedName>
    <definedName name="LevelA3913C0" comment="NA==" localSheetId="0" hidden="1">""</definedName>
    <definedName name="LevelA3914" comment="0" localSheetId="0" hidden="1">""</definedName>
    <definedName name="LevelA3914C0" comment="NA==" localSheetId="0" hidden="1">""</definedName>
    <definedName name="LevelA3915" comment="0" localSheetId="0" hidden="1">""</definedName>
    <definedName name="LevelA3915C0" comment="NA==" localSheetId="0" hidden="1">""</definedName>
    <definedName name="LevelA3916" comment="0" localSheetId="0" hidden="1">""</definedName>
    <definedName name="LevelA3916C0" comment="NA==" localSheetId="0" hidden="1">""</definedName>
    <definedName name="LevelA3917" comment="0" localSheetId="0" hidden="1">""</definedName>
    <definedName name="LevelA3917C0" comment="NA==" localSheetId="0" hidden="1">""</definedName>
    <definedName name="LevelA3918" comment="0" localSheetId="0" hidden="1">""</definedName>
    <definedName name="LevelA3918C0" comment="NA==" localSheetId="0" hidden="1">""</definedName>
    <definedName name="LevelA3919" comment="0" localSheetId="0" hidden="1">""</definedName>
    <definedName name="LevelA3919C0" comment="NA==" localSheetId="0" hidden="1">""</definedName>
    <definedName name="LevelA391C0" comment="NA==" localSheetId="0" hidden="1">""</definedName>
    <definedName name="LevelA392" comment="0" localSheetId="0" hidden="1">""</definedName>
    <definedName name="LevelA3920" comment="0" localSheetId="0" hidden="1">""</definedName>
    <definedName name="LevelA3920C0" comment="NA==" localSheetId="0" hidden="1">""</definedName>
    <definedName name="LevelA3921" comment="0" localSheetId="0" hidden="1">""</definedName>
    <definedName name="LevelA3921C0" comment="NA==" localSheetId="0" hidden="1">""</definedName>
    <definedName name="LevelA3922" comment="0" localSheetId="0" hidden="1">""</definedName>
    <definedName name="LevelA3922C0" comment="NA==" localSheetId="0" hidden="1">""</definedName>
    <definedName name="LevelA3923" comment="0" localSheetId="0" hidden="1">""</definedName>
    <definedName name="LevelA3923C0" comment="NA==" localSheetId="0" hidden="1">""</definedName>
    <definedName name="LevelA3924" comment="0" localSheetId="0" hidden="1">""</definedName>
    <definedName name="LevelA3924C0" comment="NA==" localSheetId="0" hidden="1">""</definedName>
    <definedName name="LevelA3925" comment="0" localSheetId="0" hidden="1">""</definedName>
    <definedName name="LevelA3925C0" comment="NA==" localSheetId="0" hidden="1">""</definedName>
    <definedName name="LevelA3926" comment="0" localSheetId="0" hidden="1">""</definedName>
    <definedName name="LevelA3926C0" comment="NA==" localSheetId="0" hidden="1">""</definedName>
    <definedName name="LevelA3927" comment="0" localSheetId="0" hidden="1">""</definedName>
    <definedName name="LevelA3927C0" comment="NA==" localSheetId="0" hidden="1">""</definedName>
    <definedName name="LevelA3928" comment="0" localSheetId="0" hidden="1">""</definedName>
    <definedName name="LevelA3928C0" comment="NA==" localSheetId="0" hidden="1">""</definedName>
    <definedName name="LevelA3929" comment="0" localSheetId="0" hidden="1">""</definedName>
    <definedName name="LevelA3929C0" comment="NA==" localSheetId="0" hidden="1">""</definedName>
    <definedName name="LevelA392C0" comment="NA==" localSheetId="0" hidden="1">""</definedName>
    <definedName name="LevelA393" comment="0" localSheetId="0" hidden="1">""</definedName>
    <definedName name="LevelA3930" comment="0" localSheetId="0" hidden="1">""</definedName>
    <definedName name="LevelA3930C0" comment="NA==" localSheetId="0" hidden="1">""</definedName>
    <definedName name="LevelA3931" comment="0" localSheetId="0" hidden="1">""</definedName>
    <definedName name="LevelA3931C0" comment="NA==" localSheetId="0" hidden="1">""</definedName>
    <definedName name="LevelA3932" comment="0" localSheetId="0" hidden="1">""</definedName>
    <definedName name="LevelA3932C0" comment="NA==" localSheetId="0" hidden="1">""</definedName>
    <definedName name="LevelA3933" comment="0" localSheetId="0" hidden="1">""</definedName>
    <definedName name="LevelA3933C0" comment="NA==" localSheetId="0" hidden="1">""</definedName>
    <definedName name="LevelA3934" comment="0" localSheetId="0" hidden="1">""</definedName>
    <definedName name="LevelA3934C0" comment="NA==" localSheetId="0" hidden="1">""</definedName>
    <definedName name="LevelA3935" comment="0" localSheetId="0" hidden="1">""</definedName>
    <definedName name="LevelA3935C0" comment="NA==" localSheetId="0" hidden="1">""</definedName>
    <definedName name="LevelA3936" comment="0" localSheetId="0" hidden="1">""</definedName>
    <definedName name="LevelA3936C0" comment="NA==" localSheetId="0" hidden="1">""</definedName>
    <definedName name="LevelA3937" comment="0" localSheetId="0" hidden="1">""</definedName>
    <definedName name="LevelA3937C0" comment="NA==" localSheetId="0" hidden="1">""</definedName>
    <definedName name="LevelA3938" comment="0" localSheetId="0" hidden="1">""</definedName>
    <definedName name="LevelA3938C0" comment="NA==" localSheetId="0" hidden="1">""</definedName>
    <definedName name="LevelA3939" comment="0" localSheetId="0" hidden="1">""</definedName>
    <definedName name="LevelA3939C0" comment="NA==" localSheetId="0" hidden="1">""</definedName>
    <definedName name="LevelA393C0" comment="NA==" localSheetId="0" hidden="1">""</definedName>
    <definedName name="LevelA394" comment="0" localSheetId="0" hidden="1">""</definedName>
    <definedName name="LevelA3940" comment="0" localSheetId="0" hidden="1">""</definedName>
    <definedName name="LevelA3940C0" comment="NA==" localSheetId="0" hidden="1">""</definedName>
    <definedName name="LevelA3941" comment="0" localSheetId="0" hidden="1">""</definedName>
    <definedName name="LevelA3941C0" comment="NA==" localSheetId="0" hidden="1">""</definedName>
    <definedName name="LevelA3942" comment="0" localSheetId="0" hidden="1">""</definedName>
    <definedName name="LevelA3942C0" comment="NA==" localSheetId="0" hidden="1">""</definedName>
    <definedName name="LevelA3943" comment="0" localSheetId="0" hidden="1">""</definedName>
    <definedName name="LevelA3943C0" comment="NA==" localSheetId="0" hidden="1">""</definedName>
    <definedName name="LevelA3944" comment="0" localSheetId="0" hidden="1">""</definedName>
    <definedName name="LevelA3944C0" comment="NA==" localSheetId="0" hidden="1">""</definedName>
    <definedName name="LevelA3945" comment="0" localSheetId="0" hidden="1">""</definedName>
    <definedName name="LevelA3945C0" comment="NA==" localSheetId="0" hidden="1">""</definedName>
    <definedName name="LevelA3946" comment="0" localSheetId="0" hidden="1">""</definedName>
    <definedName name="LevelA3946C0" comment="NA==" localSheetId="0" hidden="1">""</definedName>
    <definedName name="LevelA3947" comment="0" localSheetId="0" hidden="1">""</definedName>
    <definedName name="LevelA3947C0" comment="NA==" localSheetId="0" hidden="1">""</definedName>
    <definedName name="LevelA3948" comment="0" localSheetId="0" hidden="1">""</definedName>
    <definedName name="LevelA3948C0" comment="NA==" localSheetId="0" hidden="1">""</definedName>
    <definedName name="LevelA3949" comment="0" localSheetId="0" hidden="1">""</definedName>
    <definedName name="LevelA3949C0" comment="NA==" localSheetId="0" hidden="1">""</definedName>
    <definedName name="LevelA394C0" comment="NA==" localSheetId="0" hidden="1">""</definedName>
    <definedName name="LevelA395" comment="0" localSheetId="0" hidden="1">""</definedName>
    <definedName name="LevelA3950" comment="0" localSheetId="0" hidden="1">""</definedName>
    <definedName name="LevelA3950C0" comment="NA==" localSheetId="0" hidden="1">""</definedName>
    <definedName name="LevelA3951" comment="0" localSheetId="0" hidden="1">""</definedName>
    <definedName name="LevelA3951C0" comment="NA==" localSheetId="0" hidden="1">""</definedName>
    <definedName name="LevelA3952" comment="0" localSheetId="0" hidden="1">""</definedName>
    <definedName name="LevelA3952C0" comment="NA==" localSheetId="0" hidden="1">""</definedName>
    <definedName name="LevelA3953" comment="0" localSheetId="0" hidden="1">""</definedName>
    <definedName name="LevelA3953C0" comment="NA==" localSheetId="0" hidden="1">""</definedName>
    <definedName name="LevelA3954" comment="0" localSheetId="0" hidden="1">""</definedName>
    <definedName name="LevelA3954C0" comment="NA==" localSheetId="0" hidden="1">""</definedName>
    <definedName name="LevelA3955" comment="0" localSheetId="0" hidden="1">""</definedName>
    <definedName name="LevelA3955C0" comment="NA==" localSheetId="0" hidden="1">""</definedName>
    <definedName name="LevelA3956" comment="0" localSheetId="0" hidden="1">""</definedName>
    <definedName name="LevelA3956C0" comment="NA==" localSheetId="0" hidden="1">""</definedName>
    <definedName name="LevelA3957" comment="0" localSheetId="0" hidden="1">""</definedName>
    <definedName name="LevelA3957C0" comment="NA==" localSheetId="0" hidden="1">""</definedName>
    <definedName name="LevelA3958" comment="0" localSheetId="0" hidden="1">""</definedName>
    <definedName name="LevelA3958C0" comment="NA==" localSheetId="0" hidden="1">""</definedName>
    <definedName name="LevelA3959" comment="0" localSheetId="0" hidden="1">""</definedName>
    <definedName name="LevelA3959C0" comment="NA==" localSheetId="0" hidden="1">""</definedName>
    <definedName name="LevelA395C0" comment="NA==" localSheetId="0" hidden="1">""</definedName>
    <definedName name="LevelA396" comment="0" localSheetId="0" hidden="1">""</definedName>
    <definedName name="LevelA3960" comment="0" localSheetId="0" hidden="1">""</definedName>
    <definedName name="LevelA3960C0" comment="NA==" localSheetId="0" hidden="1">""</definedName>
    <definedName name="LevelA3961" comment="0" localSheetId="0" hidden="1">""</definedName>
    <definedName name="LevelA3961C0" comment="NA==" localSheetId="0" hidden="1">""</definedName>
    <definedName name="LevelA3962" comment="0" localSheetId="0" hidden="1">""</definedName>
    <definedName name="LevelA3962C0" comment="NA==" localSheetId="0" hidden="1">""</definedName>
    <definedName name="LevelA3963" comment="0" localSheetId="0" hidden="1">""</definedName>
    <definedName name="LevelA3963C0" comment="NA==" localSheetId="0" hidden="1">""</definedName>
    <definedName name="LevelA3964" comment="0" localSheetId="0" hidden="1">""</definedName>
    <definedName name="LevelA3964C0" comment="NA==" localSheetId="0" hidden="1">""</definedName>
    <definedName name="LevelA3965" comment="0" localSheetId="0" hidden="1">""</definedName>
    <definedName name="LevelA3965C0" comment="NA==" localSheetId="0" hidden="1">""</definedName>
    <definedName name="LevelA3966" comment="0" localSheetId="0" hidden="1">""</definedName>
    <definedName name="LevelA3966C0" comment="NA==" localSheetId="0" hidden="1">""</definedName>
    <definedName name="LevelA3967" comment="0" localSheetId="0" hidden="1">""</definedName>
    <definedName name="LevelA3967C0" comment="NA==" localSheetId="0" hidden="1">""</definedName>
    <definedName name="LevelA3968" comment="0" localSheetId="0" hidden="1">""</definedName>
    <definedName name="LevelA3968C0" comment="NA==" localSheetId="0" hidden="1">""</definedName>
    <definedName name="LevelA3969" comment="0" localSheetId="0" hidden="1">""</definedName>
    <definedName name="LevelA3969C0" comment="NA==" localSheetId="0" hidden="1">""</definedName>
    <definedName name="LevelA396C0" comment="NA==" localSheetId="0" hidden="1">""</definedName>
    <definedName name="LevelA397" comment="0" localSheetId="0" hidden="1">""</definedName>
    <definedName name="LevelA3970" comment="0" localSheetId="0" hidden="1">""</definedName>
    <definedName name="LevelA3970C0" comment="NA==" localSheetId="0" hidden="1">""</definedName>
    <definedName name="LevelA3971" comment="0" localSheetId="0" hidden="1">""</definedName>
    <definedName name="LevelA3971C0" comment="NA==" localSheetId="0" hidden="1">""</definedName>
    <definedName name="LevelA3972" comment="0" localSheetId="0" hidden="1">""</definedName>
    <definedName name="LevelA3972C0" comment="NA==" localSheetId="0" hidden="1">""</definedName>
    <definedName name="LevelA3973" comment="0" localSheetId="0" hidden="1">""</definedName>
    <definedName name="LevelA3973C0" comment="NA==" localSheetId="0" hidden="1">""</definedName>
    <definedName name="LevelA3974" comment="0" localSheetId="0" hidden="1">""</definedName>
    <definedName name="LevelA3974C0" comment="NA==" localSheetId="0" hidden="1">""</definedName>
    <definedName name="LevelA3975" comment="0" localSheetId="0" hidden="1">""</definedName>
    <definedName name="LevelA3975C0" comment="NA==" localSheetId="0" hidden="1">""</definedName>
    <definedName name="LevelA3976" comment="0" localSheetId="0" hidden="1">""</definedName>
    <definedName name="LevelA3976C0" comment="NA==" localSheetId="0" hidden="1">""</definedName>
    <definedName name="LevelA3977" comment="0" localSheetId="0" hidden="1">""</definedName>
    <definedName name="LevelA3977C0" comment="NA==" localSheetId="0" hidden="1">""</definedName>
    <definedName name="LevelA3978" comment="0" localSheetId="0" hidden="1">""</definedName>
    <definedName name="LevelA3978C0" comment="NA==" localSheetId="0" hidden="1">""</definedName>
    <definedName name="LevelA3979" comment="0" localSheetId="0" hidden="1">""</definedName>
    <definedName name="LevelA3979C0" comment="NA==" localSheetId="0" hidden="1">""</definedName>
    <definedName name="LevelA397C0" comment="NA==" localSheetId="0" hidden="1">""</definedName>
    <definedName name="LevelA398" comment="0" localSheetId="0" hidden="1">""</definedName>
    <definedName name="LevelA3980" comment="0" localSheetId="0" hidden="1">""</definedName>
    <definedName name="LevelA3980C0" comment="NA==" localSheetId="0" hidden="1">""</definedName>
    <definedName name="LevelA3981" comment="0" localSheetId="0" hidden="1">""</definedName>
    <definedName name="LevelA3981C0" comment="NA==" localSheetId="0" hidden="1">""</definedName>
    <definedName name="LevelA3982" comment="0" localSheetId="0" hidden="1">""</definedName>
    <definedName name="LevelA3982C0" comment="NA==" localSheetId="0" hidden="1">""</definedName>
    <definedName name="LevelA3983" comment="0" localSheetId="0" hidden="1">""</definedName>
    <definedName name="LevelA3983C0" comment="NA==" localSheetId="0" hidden="1">""</definedName>
    <definedName name="LevelA3984" comment="0" localSheetId="0" hidden="1">""</definedName>
    <definedName name="LevelA3984C0" comment="NA==" localSheetId="0" hidden="1">""</definedName>
    <definedName name="LevelA3985" comment="0" localSheetId="0" hidden="1">""</definedName>
    <definedName name="LevelA3985C0" comment="NA==" localSheetId="0" hidden="1">""</definedName>
    <definedName name="LevelA3986" comment="0" localSheetId="0" hidden="1">""</definedName>
    <definedName name="LevelA3986C0" comment="NA==" localSheetId="0" hidden="1">""</definedName>
    <definedName name="LevelA3987" comment="0" localSheetId="0" hidden="1">""</definedName>
    <definedName name="LevelA3987C0" comment="NA==" localSheetId="0" hidden="1">""</definedName>
    <definedName name="LevelA3988" comment="0" localSheetId="0" hidden="1">""</definedName>
    <definedName name="LevelA3988C0" comment="NA==" localSheetId="0" hidden="1">""</definedName>
    <definedName name="LevelA3989" comment="0" localSheetId="0" hidden="1">""</definedName>
    <definedName name="LevelA3989C0" comment="NA==" localSheetId="0" hidden="1">""</definedName>
    <definedName name="LevelA398C0" comment="NA==" localSheetId="0" hidden="1">""</definedName>
    <definedName name="LevelA399" comment="0" localSheetId="0" hidden="1">""</definedName>
    <definedName name="LevelA3990" comment="0" localSheetId="0" hidden="1">""</definedName>
    <definedName name="LevelA3990C0" comment="NA==" localSheetId="0" hidden="1">""</definedName>
    <definedName name="LevelA3991" comment="0" localSheetId="0" hidden="1">""</definedName>
    <definedName name="LevelA3991C0" comment="NA==" localSheetId="0" hidden="1">""</definedName>
    <definedName name="LevelA3992" comment="0" localSheetId="0" hidden="1">""</definedName>
    <definedName name="LevelA3992C0" comment="NA==" localSheetId="0" hidden="1">""</definedName>
    <definedName name="LevelA3993" comment="0" localSheetId="0" hidden="1">""</definedName>
    <definedName name="LevelA3993C0" comment="NA==" localSheetId="0" hidden="1">""</definedName>
    <definedName name="LevelA3994" comment="0" localSheetId="0" hidden="1">""</definedName>
    <definedName name="LevelA3994C0" comment="NA==" localSheetId="0" hidden="1">""</definedName>
    <definedName name="LevelA3995" comment="0" localSheetId="0" hidden="1">""</definedName>
    <definedName name="LevelA3995C0" comment="NA==" localSheetId="0" hidden="1">""</definedName>
    <definedName name="LevelA3996" comment="0" localSheetId="0" hidden="1">""</definedName>
    <definedName name="LevelA3996C0" comment="NA==" localSheetId="0" hidden="1">""</definedName>
    <definedName name="LevelA3997" comment="0" localSheetId="0" hidden="1">""</definedName>
    <definedName name="LevelA3997C0" comment="NA==" localSheetId="0" hidden="1">""</definedName>
    <definedName name="LevelA3998" comment="0" localSheetId="0" hidden="1">""</definedName>
    <definedName name="LevelA3998C0" comment="NA==" localSheetId="0" hidden="1">""</definedName>
    <definedName name="LevelA3999" comment="0" localSheetId="0" hidden="1">""</definedName>
    <definedName name="LevelA3999C0" comment="NA==" localSheetId="0" hidden="1">""</definedName>
    <definedName name="LevelA399C0" comment="NA==" localSheetId="0" hidden="1">""</definedName>
    <definedName name="LevelA39C0" comment="NA==" localSheetId="0" hidden="1">""</definedName>
    <definedName name="LevelA3C0" comment="NA==" localSheetId="0" hidden="1">""</definedName>
    <definedName name="LevelA4" comment="0" localSheetId="0" hidden="1">""</definedName>
    <definedName name="LevelA40" comment="0" localSheetId="0" hidden="1">""</definedName>
    <definedName name="LevelA400" comment="0" localSheetId="0" hidden="1">""</definedName>
    <definedName name="LevelA4000" comment="0" localSheetId="0" hidden="1">""</definedName>
    <definedName name="LevelA4000C0" comment="NA==" localSheetId="0" hidden="1">""</definedName>
    <definedName name="LevelA4001" comment="0" localSheetId="0" hidden="1">""</definedName>
    <definedName name="LevelA4001C0" comment="NA==" localSheetId="0" hidden="1">""</definedName>
    <definedName name="LevelA4002" comment="0" localSheetId="0" hidden="1">""</definedName>
    <definedName name="LevelA4002C0" comment="NA==" localSheetId="0" hidden="1">""</definedName>
    <definedName name="LevelA4003" comment="0" localSheetId="0" hidden="1">""</definedName>
    <definedName name="LevelA4003C0" comment="NA==" localSheetId="0" hidden="1">""</definedName>
    <definedName name="LevelA4004" comment="0" localSheetId="0" hidden="1">""</definedName>
    <definedName name="LevelA4004C0" comment="NA==" localSheetId="0" hidden="1">""</definedName>
    <definedName name="LevelA4005" comment="0" localSheetId="0" hidden="1">""</definedName>
    <definedName name="LevelA4005C0" comment="NA==" localSheetId="0" hidden="1">""</definedName>
    <definedName name="LevelA4006" comment="0" localSheetId="0" hidden="1">""</definedName>
    <definedName name="LevelA4006C0" comment="NA==" localSheetId="0" hidden="1">""</definedName>
    <definedName name="LevelA4007" comment="0" localSheetId="0" hidden="1">""</definedName>
    <definedName name="LevelA4007C0" comment="NA==" localSheetId="0" hidden="1">""</definedName>
    <definedName name="LevelA4008" comment="0" localSheetId="0" hidden="1">""</definedName>
    <definedName name="LevelA4008C0" comment="NA==" localSheetId="0" hidden="1">""</definedName>
    <definedName name="LevelA4009" comment="0" localSheetId="0" hidden="1">""</definedName>
    <definedName name="LevelA4009C0" comment="NA==" localSheetId="0" hidden="1">""</definedName>
    <definedName name="LevelA400C0" comment="NA==" localSheetId="0" hidden="1">""</definedName>
    <definedName name="LevelA401" comment="0" localSheetId="0" hidden="1">""</definedName>
    <definedName name="LevelA4010" comment="0" localSheetId="0" hidden="1">""</definedName>
    <definedName name="LevelA4010C0" comment="NA==" localSheetId="0" hidden="1">""</definedName>
    <definedName name="LevelA4011" comment="0" localSheetId="0" hidden="1">""</definedName>
    <definedName name="LevelA4011C0" comment="NA==" localSheetId="0" hidden="1">""</definedName>
    <definedName name="LevelA4012" comment="0" localSheetId="0" hidden="1">""</definedName>
    <definedName name="LevelA4012C0" comment="NA==" localSheetId="0" hidden="1">""</definedName>
    <definedName name="LevelA4013" comment="0" localSheetId="0" hidden="1">""</definedName>
    <definedName name="LevelA4013C0" comment="NA==" localSheetId="0" hidden="1">""</definedName>
    <definedName name="LevelA4014" comment="0" localSheetId="0" hidden="1">""</definedName>
    <definedName name="LevelA4014C0" comment="NA==" localSheetId="0" hidden="1">""</definedName>
    <definedName name="LevelA4015" comment="0" localSheetId="0" hidden="1">""</definedName>
    <definedName name="LevelA4015C0" comment="NA==" localSheetId="0" hidden="1">""</definedName>
    <definedName name="LevelA4016" comment="0" localSheetId="0" hidden="1">""</definedName>
    <definedName name="LevelA4016C0" comment="NA==" localSheetId="0" hidden="1">""</definedName>
    <definedName name="LevelA4017" comment="0" localSheetId="0" hidden="1">""</definedName>
    <definedName name="LevelA4017C0" comment="NA==" localSheetId="0" hidden="1">""</definedName>
    <definedName name="LevelA4018" comment="0" localSheetId="0" hidden="1">""</definedName>
    <definedName name="LevelA4018C0" comment="NA==" localSheetId="0" hidden="1">""</definedName>
    <definedName name="LevelA4019" comment="0" localSheetId="0" hidden="1">""</definedName>
    <definedName name="LevelA4019C0" comment="NA==" localSheetId="0" hidden="1">""</definedName>
    <definedName name="LevelA401C0" comment="NA==" localSheetId="0" hidden="1">""</definedName>
    <definedName name="LevelA402" comment="0" localSheetId="0" hidden="1">""</definedName>
    <definedName name="LevelA4020" comment="0" localSheetId="0" hidden="1">""</definedName>
    <definedName name="LevelA4020C0" comment="NA==" localSheetId="0" hidden="1">""</definedName>
    <definedName name="LevelA4021" comment="0" localSheetId="0" hidden="1">""</definedName>
    <definedName name="LevelA4021C0" comment="NA==" localSheetId="0" hidden="1">""</definedName>
    <definedName name="LevelA4022" comment="0" localSheetId="0" hidden="1">""</definedName>
    <definedName name="LevelA4022C0" comment="NA==" localSheetId="0" hidden="1">""</definedName>
    <definedName name="LevelA4023" comment="0" localSheetId="0" hidden="1">""</definedName>
    <definedName name="LevelA4023C0" comment="NA==" localSheetId="0" hidden="1">""</definedName>
    <definedName name="LevelA4024" comment="0" localSheetId="0" hidden="1">""</definedName>
    <definedName name="LevelA4024C0" comment="NA==" localSheetId="0" hidden="1">""</definedName>
    <definedName name="LevelA4025" comment="0" localSheetId="0" hidden="1">""</definedName>
    <definedName name="LevelA4025C0" comment="NA==" localSheetId="0" hidden="1">""</definedName>
    <definedName name="LevelA4026" comment="0" localSheetId="0" hidden="1">""</definedName>
    <definedName name="LevelA4026C0" comment="NA==" localSheetId="0" hidden="1">""</definedName>
    <definedName name="LevelA4027" comment="0" localSheetId="0" hidden="1">""</definedName>
    <definedName name="LevelA4027C0" comment="NA==" localSheetId="0" hidden="1">""</definedName>
    <definedName name="LevelA4028" comment="0" localSheetId="0" hidden="1">""</definedName>
    <definedName name="LevelA4028C0" comment="NA==" localSheetId="0" hidden="1">""</definedName>
    <definedName name="LevelA4029" comment="0" localSheetId="0" hidden="1">""</definedName>
    <definedName name="LevelA4029C0" comment="NA==" localSheetId="0" hidden="1">""</definedName>
    <definedName name="LevelA402C0" comment="NA==" localSheetId="0" hidden="1">""</definedName>
    <definedName name="LevelA403" comment="0" localSheetId="0" hidden="1">""</definedName>
    <definedName name="LevelA4030" comment="0" localSheetId="0" hidden="1">""</definedName>
    <definedName name="LevelA4030C0" comment="NA==" localSheetId="0" hidden="1">""</definedName>
    <definedName name="LevelA4031" comment="0" localSheetId="0" hidden="1">""</definedName>
    <definedName name="LevelA4031C0" comment="NA==" localSheetId="0" hidden="1">""</definedName>
    <definedName name="LevelA4032" comment="0" localSheetId="0" hidden="1">""</definedName>
    <definedName name="LevelA4032C0" comment="NA==" localSheetId="0" hidden="1">""</definedName>
    <definedName name="LevelA4033" comment="0" localSheetId="0" hidden="1">""</definedName>
    <definedName name="LevelA4033C0" comment="NA==" localSheetId="0" hidden="1">""</definedName>
    <definedName name="LevelA4034" comment="0" localSheetId="0" hidden="1">""</definedName>
    <definedName name="LevelA4034C0" comment="NA==" localSheetId="0" hidden="1">""</definedName>
    <definedName name="LevelA4035" comment="0" localSheetId="0" hidden="1">""</definedName>
    <definedName name="LevelA4035C0" comment="NA==" localSheetId="0" hidden="1">""</definedName>
    <definedName name="LevelA4036" comment="0" localSheetId="0" hidden="1">""</definedName>
    <definedName name="LevelA4036C0" comment="NA==" localSheetId="0" hidden="1">""</definedName>
    <definedName name="LevelA4037" comment="0" localSheetId="0" hidden="1">""</definedName>
    <definedName name="LevelA4037C0" comment="NA==" localSheetId="0" hidden="1">""</definedName>
    <definedName name="LevelA4038" comment="0" localSheetId="0" hidden="1">""</definedName>
    <definedName name="LevelA4038C0" comment="NA==" localSheetId="0" hidden="1">""</definedName>
    <definedName name="LevelA4039" comment="0" localSheetId="0" hidden="1">""</definedName>
    <definedName name="LevelA4039C0" comment="NA==" localSheetId="0" hidden="1">""</definedName>
    <definedName name="LevelA403C0" comment="NA==" localSheetId="0" hidden="1">""</definedName>
    <definedName name="LevelA404" comment="0" localSheetId="0" hidden="1">""</definedName>
    <definedName name="LevelA4040" comment="0" localSheetId="0" hidden="1">""</definedName>
    <definedName name="LevelA4040C0" comment="NA==" localSheetId="0" hidden="1">""</definedName>
    <definedName name="LevelA4041" comment="0" localSheetId="0" hidden="1">""</definedName>
    <definedName name="LevelA4041C0" comment="NA==" localSheetId="0" hidden="1">""</definedName>
    <definedName name="LevelA4042" comment="0" localSheetId="0" hidden="1">""</definedName>
    <definedName name="LevelA4042C0" comment="NA==" localSheetId="0" hidden="1">""</definedName>
    <definedName name="LevelA4043" comment="0" localSheetId="0" hidden="1">""</definedName>
    <definedName name="LevelA4043C0" comment="NA==" localSheetId="0" hidden="1">""</definedName>
    <definedName name="LevelA4044" comment="0" localSheetId="0" hidden="1">""</definedName>
    <definedName name="LevelA4044C0" comment="NA==" localSheetId="0" hidden="1">""</definedName>
    <definedName name="LevelA4045" comment="0" localSheetId="0" hidden="1">""</definedName>
    <definedName name="LevelA4045C0" comment="NA==" localSheetId="0" hidden="1">""</definedName>
    <definedName name="LevelA4046" comment="0" localSheetId="0" hidden="1">""</definedName>
    <definedName name="LevelA4046C0" comment="NA==" localSheetId="0" hidden="1">""</definedName>
    <definedName name="LevelA4047" comment="0" localSheetId="0" hidden="1">""</definedName>
    <definedName name="LevelA4047C0" comment="NA==" localSheetId="0" hidden="1">""</definedName>
    <definedName name="LevelA4048" comment="0" localSheetId="0" hidden="1">""</definedName>
    <definedName name="LevelA4048C0" comment="NA==" localSheetId="0" hidden="1">""</definedName>
    <definedName name="LevelA4049" comment="0" localSheetId="0" hidden="1">""</definedName>
    <definedName name="LevelA4049C0" comment="NA==" localSheetId="0" hidden="1">""</definedName>
    <definedName name="LevelA404C0" comment="NA==" localSheetId="0" hidden="1">""</definedName>
    <definedName name="LevelA405" comment="0" localSheetId="0" hidden="1">""</definedName>
    <definedName name="LevelA4050" comment="0" localSheetId="0" hidden="1">""</definedName>
    <definedName name="LevelA4050C0" comment="NA==" localSheetId="0" hidden="1">""</definedName>
    <definedName name="LevelA4051" comment="0" localSheetId="0" hidden="1">""</definedName>
    <definedName name="LevelA4051C0" comment="NA==" localSheetId="0" hidden="1">""</definedName>
    <definedName name="LevelA4052" comment="0" localSheetId="0" hidden="1">""</definedName>
    <definedName name="LevelA4052C0" comment="NA==" localSheetId="0" hidden="1">""</definedName>
    <definedName name="LevelA4053" comment="0" localSheetId="0" hidden="1">""</definedName>
    <definedName name="LevelA4053C0" comment="NA==" localSheetId="0" hidden="1">""</definedName>
    <definedName name="LevelA4054" comment="0" localSheetId="0" hidden="1">""</definedName>
    <definedName name="LevelA4054C0" comment="NA==" localSheetId="0" hidden="1">""</definedName>
    <definedName name="LevelA4055" comment="0" localSheetId="0" hidden="1">""</definedName>
    <definedName name="LevelA4055C0" comment="NA==" localSheetId="0" hidden="1">""</definedName>
    <definedName name="LevelA4056" comment="0" localSheetId="0" hidden="1">""</definedName>
    <definedName name="LevelA4056C0" comment="NA==" localSheetId="0" hidden="1">""</definedName>
    <definedName name="LevelA4057" comment="0" localSheetId="0" hidden="1">""</definedName>
    <definedName name="LevelA4057C0" comment="NA==" localSheetId="0" hidden="1">""</definedName>
    <definedName name="LevelA4058" comment="0" localSheetId="0" hidden="1">""</definedName>
    <definedName name="LevelA4058C0" comment="NA==" localSheetId="0" hidden="1">""</definedName>
    <definedName name="LevelA4059" comment="0" localSheetId="0" hidden="1">""</definedName>
    <definedName name="LevelA4059C0" comment="NA==" localSheetId="0" hidden="1">""</definedName>
    <definedName name="LevelA405C0" comment="NA==" localSheetId="0" hidden="1">""</definedName>
    <definedName name="LevelA406" comment="0" localSheetId="0" hidden="1">""</definedName>
    <definedName name="LevelA4060" comment="0" localSheetId="0" hidden="1">""</definedName>
    <definedName name="LevelA4060C0" comment="NA==" localSheetId="0" hidden="1">""</definedName>
    <definedName name="LevelA4061" comment="0" localSheetId="0" hidden="1">""</definedName>
    <definedName name="LevelA4061C0" comment="NA==" localSheetId="0" hidden="1">""</definedName>
    <definedName name="LevelA4062" comment="0" localSheetId="0" hidden="1">""</definedName>
    <definedName name="LevelA4062C0" comment="NA==" localSheetId="0" hidden="1">""</definedName>
    <definedName name="LevelA4063" comment="0" localSheetId="0" hidden="1">""</definedName>
    <definedName name="LevelA4063C0" comment="NA==" localSheetId="0" hidden="1">""</definedName>
    <definedName name="LevelA4064" comment="0" localSheetId="0" hidden="1">""</definedName>
    <definedName name="LevelA4064C0" comment="NA==" localSheetId="0" hidden="1">""</definedName>
    <definedName name="LevelA4065" comment="0" localSheetId="0" hidden="1">""</definedName>
    <definedName name="LevelA4065C0" comment="NA==" localSheetId="0" hidden="1">""</definedName>
    <definedName name="LevelA4066" comment="0" localSheetId="0" hidden="1">""</definedName>
    <definedName name="LevelA4066C0" comment="NA==" localSheetId="0" hidden="1">""</definedName>
    <definedName name="LevelA4067" comment="0" localSheetId="0" hidden="1">""</definedName>
    <definedName name="LevelA4067C0" comment="NA==" localSheetId="0" hidden="1">""</definedName>
    <definedName name="LevelA4068" comment="0" localSheetId="0" hidden="1">""</definedName>
    <definedName name="LevelA4068C0" comment="NA==" localSheetId="0" hidden="1">""</definedName>
    <definedName name="LevelA4069" comment="0" localSheetId="0" hidden="1">""</definedName>
    <definedName name="LevelA4069C0" comment="NA==" localSheetId="0" hidden="1">""</definedName>
    <definedName name="LevelA406C0" comment="NA==" localSheetId="0" hidden="1">""</definedName>
    <definedName name="LevelA407" comment="0" localSheetId="0" hidden="1">""</definedName>
    <definedName name="LevelA4070" comment="0" localSheetId="0" hidden="1">""</definedName>
    <definedName name="LevelA4070C0" comment="NA==" localSheetId="0" hidden="1">""</definedName>
    <definedName name="LevelA4071" comment="0" localSheetId="0" hidden="1">""</definedName>
    <definedName name="LevelA4071C0" comment="NA==" localSheetId="0" hidden="1">""</definedName>
    <definedName name="LevelA4072" comment="0" localSheetId="0" hidden="1">""</definedName>
    <definedName name="LevelA4072C0" comment="NA==" localSheetId="0" hidden="1">""</definedName>
    <definedName name="LevelA4073" comment="0" localSheetId="0" hidden="1">""</definedName>
    <definedName name="LevelA4073C0" comment="NA==" localSheetId="0" hidden="1">""</definedName>
    <definedName name="LevelA4074" comment="0" localSheetId="0" hidden="1">""</definedName>
    <definedName name="LevelA4074C0" comment="NA==" localSheetId="0" hidden="1">""</definedName>
    <definedName name="LevelA4075" comment="0" localSheetId="0" hidden="1">""</definedName>
    <definedName name="LevelA4075C0" comment="NA==" localSheetId="0" hidden="1">""</definedName>
    <definedName name="LevelA4076" comment="0" localSheetId="0" hidden="1">""</definedName>
    <definedName name="LevelA4076C0" comment="NA==" localSheetId="0" hidden="1">""</definedName>
    <definedName name="LevelA4077" comment="0" localSheetId="0" hidden="1">""</definedName>
    <definedName name="LevelA4077C0" comment="NA==" localSheetId="0" hidden="1">""</definedName>
    <definedName name="LevelA4078" comment="0" localSheetId="0" hidden="1">""</definedName>
    <definedName name="LevelA4078C0" comment="NA==" localSheetId="0" hidden="1">""</definedName>
    <definedName name="LevelA4079" comment="0" localSheetId="0" hidden="1">""</definedName>
    <definedName name="LevelA4079C0" comment="NA==" localSheetId="0" hidden="1">""</definedName>
    <definedName name="LevelA407C0" comment="NA==" localSheetId="0" hidden="1">""</definedName>
    <definedName name="LevelA408" comment="0" localSheetId="0" hidden="1">""</definedName>
    <definedName name="LevelA4080" comment="0" localSheetId="0" hidden="1">""</definedName>
    <definedName name="LevelA4080C0" comment="NA==" localSheetId="0" hidden="1">""</definedName>
    <definedName name="LevelA4081" comment="0" localSheetId="0" hidden="1">""</definedName>
    <definedName name="LevelA4081C0" comment="NA==" localSheetId="0" hidden="1">""</definedName>
    <definedName name="LevelA4082" comment="0" localSheetId="0" hidden="1">""</definedName>
    <definedName name="LevelA4082C0" comment="NA==" localSheetId="0" hidden="1">""</definedName>
    <definedName name="LevelA4083" comment="0" localSheetId="0" hidden="1">""</definedName>
    <definedName name="LevelA4083C0" comment="NA==" localSheetId="0" hidden="1">""</definedName>
    <definedName name="LevelA4084" comment="0" localSheetId="0" hidden="1">""</definedName>
    <definedName name="LevelA4084C0" comment="NA==" localSheetId="0" hidden="1">""</definedName>
    <definedName name="LevelA4085" comment="0" localSheetId="0" hidden="1">""</definedName>
    <definedName name="LevelA4085C0" comment="NA==" localSheetId="0" hidden="1">""</definedName>
    <definedName name="LevelA4086" comment="0" localSheetId="0" hidden="1">""</definedName>
    <definedName name="LevelA4086C0" comment="NA==" localSheetId="0" hidden="1">""</definedName>
    <definedName name="LevelA4087" comment="0" localSheetId="0" hidden="1">""</definedName>
    <definedName name="LevelA4087C0" comment="NA==" localSheetId="0" hidden="1">""</definedName>
    <definedName name="LevelA4088" comment="0" localSheetId="0" hidden="1">""</definedName>
    <definedName name="LevelA4088C0" comment="NA==" localSheetId="0" hidden="1">""</definedName>
    <definedName name="LevelA4089" comment="0" localSheetId="0" hidden="1">""</definedName>
    <definedName name="LevelA4089C0" comment="NA==" localSheetId="0" hidden="1">""</definedName>
    <definedName name="LevelA408C0" comment="NA==" localSheetId="0" hidden="1">""</definedName>
    <definedName name="LevelA409" comment="0" localSheetId="0" hidden="1">""</definedName>
    <definedName name="LevelA4090" comment="0" localSheetId="0" hidden="1">""</definedName>
    <definedName name="LevelA4090C0" comment="NA==" localSheetId="0" hidden="1">""</definedName>
    <definedName name="LevelA4091" comment="0" localSheetId="0" hidden="1">""</definedName>
    <definedName name="LevelA4091C0" comment="NA==" localSheetId="0" hidden="1">""</definedName>
    <definedName name="LevelA4092" comment="0" localSheetId="0" hidden="1">""</definedName>
    <definedName name="LevelA4092C0" comment="NA==" localSheetId="0" hidden="1">""</definedName>
    <definedName name="LevelA4093" comment="0" localSheetId="0" hidden="1">""</definedName>
    <definedName name="LevelA4093C0" comment="NA==" localSheetId="0" hidden="1">""</definedName>
    <definedName name="LevelA4094" comment="0" localSheetId="0" hidden="1">""</definedName>
    <definedName name="LevelA4094C0" comment="NA==" localSheetId="0" hidden="1">""</definedName>
    <definedName name="LevelA4095" comment="0" localSheetId="0" hidden="1">""</definedName>
    <definedName name="LevelA4095C0" comment="NA==" localSheetId="0" hidden="1">""</definedName>
    <definedName name="LevelA4096" comment="0" localSheetId="0" hidden="1">""</definedName>
    <definedName name="LevelA4096C0" comment="NA==" localSheetId="0" hidden="1">""</definedName>
    <definedName name="LevelA4097" comment="0" localSheetId="0" hidden="1">""</definedName>
    <definedName name="LevelA4097C0" comment="NA==" localSheetId="0" hidden="1">""</definedName>
    <definedName name="LevelA4098" comment="0" localSheetId="0" hidden="1">""</definedName>
    <definedName name="LevelA4098C0" comment="NA==" localSheetId="0" hidden="1">""</definedName>
    <definedName name="LevelA4099" comment="0" localSheetId="0" hidden="1">""</definedName>
    <definedName name="LevelA4099C0" comment="NA==" localSheetId="0" hidden="1">""</definedName>
    <definedName name="LevelA409C0" comment="NA==" localSheetId="0" hidden="1">""</definedName>
    <definedName name="LevelA40C0" comment="NA==" localSheetId="0" hidden="1">""</definedName>
    <definedName name="LevelA41" comment="0" localSheetId="0" hidden="1">""</definedName>
    <definedName name="LevelA410" comment="0" localSheetId="0" hidden="1">""</definedName>
    <definedName name="LevelA4100" comment="0" localSheetId="0" hidden="1">""</definedName>
    <definedName name="LevelA4100C0" comment="NA==" localSheetId="0" hidden="1">""</definedName>
    <definedName name="LevelA4101" comment="0" localSheetId="0" hidden="1">""</definedName>
    <definedName name="LevelA4101C0" comment="NA==" localSheetId="0" hidden="1">""</definedName>
    <definedName name="LevelA4102" comment="0" localSheetId="0" hidden="1">""</definedName>
    <definedName name="LevelA4102C0" comment="NA==" localSheetId="0" hidden="1">""</definedName>
    <definedName name="LevelA4103" comment="0" localSheetId="0" hidden="1">""</definedName>
    <definedName name="LevelA4103C0" comment="NA==" localSheetId="0" hidden="1">""</definedName>
    <definedName name="LevelA4104" comment="0" localSheetId="0" hidden="1">""</definedName>
    <definedName name="LevelA4104C0" comment="NA==" localSheetId="0" hidden="1">""</definedName>
    <definedName name="LevelA4105" comment="0" localSheetId="0" hidden="1">""</definedName>
    <definedName name="LevelA4105C0" comment="NA==" localSheetId="0" hidden="1">""</definedName>
    <definedName name="LevelA4106" comment="0" localSheetId="0" hidden="1">""</definedName>
    <definedName name="LevelA4106C0" comment="NA==" localSheetId="0" hidden="1">""</definedName>
    <definedName name="LevelA4107" comment="0" localSheetId="0" hidden="1">""</definedName>
    <definedName name="LevelA4107C0" comment="NA==" localSheetId="0" hidden="1">""</definedName>
    <definedName name="LevelA4108" comment="0" localSheetId="0" hidden="1">""</definedName>
    <definedName name="LevelA4108C0" comment="NA==" localSheetId="0" hidden="1">""</definedName>
    <definedName name="LevelA4109" comment="0" localSheetId="0" hidden="1">""</definedName>
    <definedName name="LevelA4109C0" comment="NA==" localSheetId="0" hidden="1">""</definedName>
    <definedName name="LevelA410C0" comment="NA==" localSheetId="0" hidden="1">""</definedName>
    <definedName name="LevelA411" comment="0" localSheetId="0" hidden="1">""</definedName>
    <definedName name="LevelA4110" comment="0" localSheetId="0" hidden="1">""</definedName>
    <definedName name="LevelA4110C0" comment="NA==" localSheetId="0" hidden="1">""</definedName>
    <definedName name="LevelA4111" comment="0" localSheetId="0" hidden="1">""</definedName>
    <definedName name="LevelA4111C0" comment="NA==" localSheetId="0" hidden="1">""</definedName>
    <definedName name="LevelA4112" comment="0" localSheetId="0" hidden="1">""</definedName>
    <definedName name="LevelA4112C0" comment="NA==" localSheetId="0" hidden="1">""</definedName>
    <definedName name="LevelA4113" comment="0" localSheetId="0" hidden="1">""</definedName>
    <definedName name="LevelA4113C0" comment="NA==" localSheetId="0" hidden="1">""</definedName>
    <definedName name="LevelA4114" comment="0" localSheetId="0" hidden="1">""</definedName>
    <definedName name="LevelA4114C0" comment="NA==" localSheetId="0" hidden="1">""</definedName>
    <definedName name="LevelA4115" comment="0" localSheetId="0" hidden="1">""</definedName>
    <definedName name="LevelA4115C0" comment="NA==" localSheetId="0" hidden="1">""</definedName>
    <definedName name="LevelA4116" comment="0" localSheetId="0" hidden="1">""</definedName>
    <definedName name="LevelA4116C0" comment="NA==" localSheetId="0" hidden="1">""</definedName>
    <definedName name="LevelA4117" comment="0" localSheetId="0" hidden="1">""</definedName>
    <definedName name="LevelA4117C0" comment="NA==" localSheetId="0" hidden="1">""</definedName>
    <definedName name="LevelA4118" comment="0" localSheetId="0" hidden="1">""</definedName>
    <definedName name="LevelA4118C0" comment="NA==" localSheetId="0" hidden="1">""</definedName>
    <definedName name="LevelA4119" comment="0" localSheetId="0" hidden="1">""</definedName>
    <definedName name="LevelA4119C0" comment="NA==" localSheetId="0" hidden="1">""</definedName>
    <definedName name="LevelA411C0" comment="NA==" localSheetId="0" hidden="1">""</definedName>
    <definedName name="LevelA412" comment="0" localSheetId="0" hidden="1">""</definedName>
    <definedName name="LevelA4120" comment="0" localSheetId="0" hidden="1">""</definedName>
    <definedName name="LevelA4120C0" comment="NA==" localSheetId="0" hidden="1">""</definedName>
    <definedName name="LevelA4121" comment="0" localSheetId="0" hidden="1">""</definedName>
    <definedName name="LevelA4121C0" comment="NA==" localSheetId="0" hidden="1">""</definedName>
    <definedName name="LevelA4122" comment="0" localSheetId="0" hidden="1">""</definedName>
    <definedName name="LevelA4122C0" comment="NA==" localSheetId="0" hidden="1">""</definedName>
    <definedName name="LevelA4123" comment="0" localSheetId="0" hidden="1">""</definedName>
    <definedName name="LevelA4123C0" comment="NA==" localSheetId="0" hidden="1">""</definedName>
    <definedName name="LevelA4124" comment="0" localSheetId="0" hidden="1">""</definedName>
    <definedName name="LevelA4124C0" comment="NA==" localSheetId="0" hidden="1">""</definedName>
    <definedName name="LevelA4125" comment="0" localSheetId="0" hidden="1">""</definedName>
    <definedName name="LevelA4125C0" comment="NA==" localSheetId="0" hidden="1">""</definedName>
    <definedName name="LevelA4126" comment="0" localSheetId="0" hidden="1">""</definedName>
    <definedName name="LevelA4126C0" comment="NA==" localSheetId="0" hidden="1">""</definedName>
    <definedName name="LevelA4127" comment="0" localSheetId="0" hidden="1">""</definedName>
    <definedName name="LevelA4127C0" comment="NA==" localSheetId="0" hidden="1">""</definedName>
    <definedName name="LevelA4128" comment="0" localSheetId="0" hidden="1">""</definedName>
    <definedName name="LevelA4128C0" comment="NA==" localSheetId="0" hidden="1">""</definedName>
    <definedName name="LevelA4129" comment="0" localSheetId="0" hidden="1">""</definedName>
    <definedName name="LevelA4129C0" comment="NA==" localSheetId="0" hidden="1">""</definedName>
    <definedName name="LevelA412C0" comment="NA==" localSheetId="0" hidden="1">""</definedName>
    <definedName name="LevelA413" comment="0" localSheetId="0" hidden="1">""</definedName>
    <definedName name="LevelA4130" comment="0" localSheetId="0" hidden="1">""</definedName>
    <definedName name="LevelA4130C0" comment="NA==" localSheetId="0" hidden="1">""</definedName>
    <definedName name="LevelA4131" comment="0" localSheetId="0" hidden="1">""</definedName>
    <definedName name="LevelA4131C0" comment="NA==" localSheetId="0" hidden="1">""</definedName>
    <definedName name="LevelA4132" comment="0" localSheetId="0" hidden="1">""</definedName>
    <definedName name="LevelA4132C0" comment="NA==" localSheetId="0" hidden="1">""</definedName>
    <definedName name="LevelA4133" comment="0" localSheetId="0" hidden="1">""</definedName>
    <definedName name="LevelA4133C0" comment="NA==" localSheetId="0" hidden="1">""</definedName>
    <definedName name="LevelA4134" comment="0" localSheetId="0" hidden="1">""</definedName>
    <definedName name="LevelA4134C0" comment="NA==" localSheetId="0" hidden="1">""</definedName>
    <definedName name="LevelA4135" comment="0" localSheetId="0" hidden="1">""</definedName>
    <definedName name="LevelA4135C0" comment="NA==" localSheetId="0" hidden="1">""</definedName>
    <definedName name="LevelA4136" comment="0" localSheetId="0" hidden="1">""</definedName>
    <definedName name="LevelA4136C0" comment="NA==" localSheetId="0" hidden="1">""</definedName>
    <definedName name="LevelA4137" comment="0" localSheetId="0" hidden="1">""</definedName>
    <definedName name="LevelA4137C0" comment="NA==" localSheetId="0" hidden="1">""</definedName>
    <definedName name="LevelA4138" comment="0" localSheetId="0" hidden="1">""</definedName>
    <definedName name="LevelA4138C0" comment="NA==" localSheetId="0" hidden="1">""</definedName>
    <definedName name="LevelA4139" comment="0" localSheetId="0" hidden="1">""</definedName>
    <definedName name="LevelA4139C0" comment="NA==" localSheetId="0" hidden="1">""</definedName>
    <definedName name="LevelA413C0" comment="NA==" localSheetId="0" hidden="1">""</definedName>
    <definedName name="LevelA414" comment="0" localSheetId="0" hidden="1">""</definedName>
    <definedName name="LevelA4140" comment="0" localSheetId="0" hidden="1">""</definedName>
    <definedName name="LevelA4140C0" comment="NA==" localSheetId="0" hidden="1">""</definedName>
    <definedName name="LevelA4141" comment="0" localSheetId="0" hidden="1">""</definedName>
    <definedName name="LevelA4141C0" comment="NA==" localSheetId="0" hidden="1">""</definedName>
    <definedName name="LevelA4142" comment="0" localSheetId="0" hidden="1">""</definedName>
    <definedName name="LevelA4142C0" comment="NA==" localSheetId="0" hidden="1">""</definedName>
    <definedName name="LevelA4143" comment="0" localSheetId="0" hidden="1">""</definedName>
    <definedName name="LevelA4143C0" comment="NA==" localSheetId="0" hidden="1">""</definedName>
    <definedName name="LevelA4144" comment="0" localSheetId="0" hidden="1">""</definedName>
    <definedName name="LevelA4144C0" comment="NA==" localSheetId="0" hidden="1">""</definedName>
    <definedName name="LevelA4145" comment="0" localSheetId="0" hidden="1">""</definedName>
    <definedName name="LevelA4145C0" comment="NA==" localSheetId="0" hidden="1">""</definedName>
    <definedName name="LevelA4146" comment="0" localSheetId="0" hidden="1">""</definedName>
    <definedName name="LevelA4146C0" comment="NA==" localSheetId="0" hidden="1">""</definedName>
    <definedName name="LevelA4147" comment="0" localSheetId="0" hidden="1">""</definedName>
    <definedName name="LevelA4147C0" comment="NA==" localSheetId="0" hidden="1">""</definedName>
    <definedName name="LevelA4148" comment="0" localSheetId="0" hidden="1">""</definedName>
    <definedName name="LevelA4148C0" comment="NA==" localSheetId="0" hidden="1">""</definedName>
    <definedName name="LevelA4149" comment="0" localSheetId="0" hidden="1">""</definedName>
    <definedName name="LevelA4149C0" comment="NA==" localSheetId="0" hidden="1">""</definedName>
    <definedName name="LevelA414C0" comment="NA==" localSheetId="0" hidden="1">""</definedName>
    <definedName name="LevelA415" comment="0" localSheetId="0" hidden="1">""</definedName>
    <definedName name="LevelA4150" comment="0" localSheetId="0" hidden="1">""</definedName>
    <definedName name="LevelA4150C0" comment="NA==" localSheetId="0" hidden="1">""</definedName>
    <definedName name="LevelA4151" comment="0" localSheetId="0" hidden="1">""</definedName>
    <definedName name="LevelA4151C0" comment="NA==" localSheetId="0" hidden="1">""</definedName>
    <definedName name="LevelA4152" comment="0" localSheetId="0" hidden="1">""</definedName>
    <definedName name="LevelA4152C0" comment="NA==" localSheetId="0" hidden="1">""</definedName>
    <definedName name="LevelA4153" comment="0" localSheetId="0" hidden="1">""</definedName>
    <definedName name="LevelA4153C0" comment="NA==" localSheetId="0" hidden="1">""</definedName>
    <definedName name="LevelA4154" comment="0" localSheetId="0" hidden="1">""</definedName>
    <definedName name="LevelA4154C0" comment="NA==" localSheetId="0" hidden="1">""</definedName>
    <definedName name="LevelA4155" comment="0" localSheetId="0" hidden="1">""</definedName>
    <definedName name="LevelA4155C0" comment="NA==" localSheetId="0" hidden="1">""</definedName>
    <definedName name="LevelA4156" comment="0" localSheetId="0" hidden="1">""</definedName>
    <definedName name="LevelA4156C0" comment="NA==" localSheetId="0" hidden="1">""</definedName>
    <definedName name="LevelA4157" comment="0" localSheetId="0" hidden="1">""</definedName>
    <definedName name="LevelA4157C0" comment="NA==" localSheetId="0" hidden="1">""</definedName>
    <definedName name="LevelA4158" comment="0" localSheetId="0" hidden="1">""</definedName>
    <definedName name="LevelA4158C0" comment="NA==" localSheetId="0" hidden="1">""</definedName>
    <definedName name="LevelA4159" comment="0" localSheetId="0" hidden="1">""</definedName>
    <definedName name="LevelA4159C0" comment="NA==" localSheetId="0" hidden="1">""</definedName>
    <definedName name="LevelA415C0" comment="NA==" localSheetId="0" hidden="1">""</definedName>
    <definedName name="LevelA416" comment="0" localSheetId="0" hidden="1">""</definedName>
    <definedName name="LevelA4160" comment="0" localSheetId="0" hidden="1">""</definedName>
    <definedName name="LevelA4160C0" comment="NA==" localSheetId="0" hidden="1">""</definedName>
    <definedName name="LevelA4161" comment="0" localSheetId="0" hidden="1">""</definedName>
    <definedName name="LevelA4161C0" comment="NA==" localSheetId="0" hidden="1">""</definedName>
    <definedName name="LevelA4162" comment="0" localSheetId="0" hidden="1">""</definedName>
    <definedName name="LevelA4162C0" comment="NA==" localSheetId="0" hidden="1">""</definedName>
    <definedName name="LevelA4163" comment="0" localSheetId="0" hidden="1">""</definedName>
    <definedName name="LevelA4163C0" comment="NA==" localSheetId="0" hidden="1">""</definedName>
    <definedName name="LevelA4164" comment="0" localSheetId="0" hidden="1">""</definedName>
    <definedName name="LevelA4164C0" comment="NA==" localSheetId="0" hidden="1">""</definedName>
    <definedName name="LevelA4165" comment="0" localSheetId="0" hidden="1">""</definedName>
    <definedName name="LevelA4165C0" comment="NA==" localSheetId="0" hidden="1">""</definedName>
    <definedName name="LevelA4166" comment="0" localSheetId="0" hidden="1">""</definedName>
    <definedName name="LevelA4166C0" comment="NA==" localSheetId="0" hidden="1">""</definedName>
    <definedName name="LevelA4167" comment="0" localSheetId="0" hidden="1">""</definedName>
    <definedName name="LevelA4167C0" comment="NA==" localSheetId="0" hidden="1">""</definedName>
    <definedName name="LevelA4168" comment="0" localSheetId="0" hidden="1">""</definedName>
    <definedName name="LevelA4168C0" comment="NA==" localSheetId="0" hidden="1">""</definedName>
    <definedName name="LevelA4169" comment="0" localSheetId="0" hidden="1">""</definedName>
    <definedName name="LevelA4169C0" comment="NA==" localSheetId="0" hidden="1">""</definedName>
    <definedName name="LevelA416C0" comment="NA==" localSheetId="0" hidden="1">""</definedName>
    <definedName name="LevelA417" comment="0" localSheetId="0" hidden="1">""</definedName>
    <definedName name="LevelA4170" comment="0" localSheetId="0" hidden="1">""</definedName>
    <definedName name="LevelA4170C0" comment="NA==" localSheetId="0" hidden="1">""</definedName>
    <definedName name="LevelA4171" comment="0" localSheetId="0" hidden="1">""</definedName>
    <definedName name="LevelA4171C0" comment="NA==" localSheetId="0" hidden="1">""</definedName>
    <definedName name="LevelA4172" comment="0" localSheetId="0" hidden="1">""</definedName>
    <definedName name="LevelA4172C0" comment="NA==" localSheetId="0" hidden="1">""</definedName>
    <definedName name="LevelA4173" comment="0" localSheetId="0" hidden="1">""</definedName>
    <definedName name="LevelA4173C0" comment="NA==" localSheetId="0" hidden="1">""</definedName>
    <definedName name="LevelA4174" comment="0" localSheetId="0" hidden="1">""</definedName>
    <definedName name="LevelA4174C0" comment="NA==" localSheetId="0" hidden="1">""</definedName>
    <definedName name="LevelA4175" comment="0" localSheetId="0" hidden="1">""</definedName>
    <definedName name="LevelA4175C0" comment="NA==" localSheetId="0" hidden="1">""</definedName>
    <definedName name="LevelA4176" comment="0" localSheetId="0" hidden="1">""</definedName>
    <definedName name="LevelA4176C0" comment="NA==" localSheetId="0" hidden="1">""</definedName>
    <definedName name="LevelA4177" comment="0" localSheetId="0" hidden="1">""</definedName>
    <definedName name="LevelA4177C0" comment="NA==" localSheetId="0" hidden="1">""</definedName>
    <definedName name="LevelA4178" comment="0" localSheetId="0" hidden="1">""</definedName>
    <definedName name="LevelA4178C0" comment="NA==" localSheetId="0" hidden="1">""</definedName>
    <definedName name="LevelA4179" comment="0" localSheetId="0" hidden="1">""</definedName>
    <definedName name="LevelA4179C0" comment="NA==" localSheetId="0" hidden="1">""</definedName>
    <definedName name="LevelA417C0" comment="NA==" localSheetId="0" hidden="1">""</definedName>
    <definedName name="LevelA418" comment="0" localSheetId="0" hidden="1">""</definedName>
    <definedName name="LevelA4180" comment="0" localSheetId="0" hidden="1">""</definedName>
    <definedName name="LevelA4180C0" comment="NA==" localSheetId="0" hidden="1">""</definedName>
    <definedName name="LevelA4181" comment="0" localSheetId="0" hidden="1">""</definedName>
    <definedName name="LevelA4181C0" comment="NA==" localSheetId="0" hidden="1">""</definedName>
    <definedName name="LevelA4182" comment="0" localSheetId="0" hidden="1">""</definedName>
    <definedName name="LevelA4182C0" comment="NA==" localSheetId="0" hidden="1">""</definedName>
    <definedName name="LevelA4183" comment="0" localSheetId="0" hidden="1">""</definedName>
    <definedName name="LevelA4183C0" comment="NA==" localSheetId="0" hidden="1">""</definedName>
    <definedName name="LevelA4184" comment="0" localSheetId="0" hidden="1">""</definedName>
    <definedName name="LevelA4184C0" comment="NA==" localSheetId="0" hidden="1">""</definedName>
    <definedName name="LevelA4185" comment="0" localSheetId="0" hidden="1">""</definedName>
    <definedName name="LevelA4185C0" comment="NA==" localSheetId="0" hidden="1">""</definedName>
    <definedName name="LevelA4186" comment="0" localSheetId="0" hidden="1">""</definedName>
    <definedName name="LevelA4186C0" comment="NA==" localSheetId="0" hidden="1">""</definedName>
    <definedName name="LevelA4187" comment="0" localSheetId="0" hidden="1">""</definedName>
    <definedName name="LevelA4187C0" comment="NA==" localSheetId="0" hidden="1">""</definedName>
    <definedName name="LevelA4188" comment="0" localSheetId="0" hidden="1">""</definedName>
    <definedName name="LevelA4188C0" comment="NA==" localSheetId="0" hidden="1">""</definedName>
    <definedName name="LevelA4189" comment="0" localSheetId="0" hidden="1">""</definedName>
    <definedName name="LevelA4189C0" comment="NA==" localSheetId="0" hidden="1">""</definedName>
    <definedName name="LevelA418C0" comment="NA==" localSheetId="0" hidden="1">""</definedName>
    <definedName name="LevelA419" comment="0" localSheetId="0" hidden="1">""</definedName>
    <definedName name="LevelA4190" comment="0" localSheetId="0" hidden="1">""</definedName>
    <definedName name="LevelA4190C0" comment="NA==" localSheetId="0" hidden="1">""</definedName>
    <definedName name="LevelA4191" comment="0" localSheetId="0" hidden="1">""</definedName>
    <definedName name="LevelA4191C0" comment="NA==" localSheetId="0" hidden="1">""</definedName>
    <definedName name="LevelA4192" comment="0" localSheetId="0" hidden="1">""</definedName>
    <definedName name="LevelA4192C0" comment="NA==" localSheetId="0" hidden="1">""</definedName>
    <definedName name="LevelA4193" comment="0" localSheetId="0" hidden="1">""</definedName>
    <definedName name="LevelA4193C0" comment="NA==" localSheetId="0" hidden="1">""</definedName>
    <definedName name="LevelA4194" comment="0" localSheetId="0" hidden="1">""</definedName>
    <definedName name="LevelA4194C0" comment="NA==" localSheetId="0" hidden="1">""</definedName>
    <definedName name="LevelA4195" comment="0" localSheetId="0" hidden="1">""</definedName>
    <definedName name="LevelA4195C0" comment="NA==" localSheetId="0" hidden="1">""</definedName>
    <definedName name="LevelA4196" comment="0" localSheetId="0" hidden="1">""</definedName>
    <definedName name="LevelA4196C0" comment="NA==" localSheetId="0" hidden="1">""</definedName>
    <definedName name="LevelA4197" comment="0" localSheetId="0" hidden="1">""</definedName>
    <definedName name="LevelA4197C0" comment="NA==" localSheetId="0" hidden="1">""</definedName>
    <definedName name="LevelA4198" comment="0" localSheetId="0" hidden="1">""</definedName>
    <definedName name="LevelA4198C0" comment="NA==" localSheetId="0" hidden="1">""</definedName>
    <definedName name="LevelA4199" comment="0" localSheetId="0" hidden="1">""</definedName>
    <definedName name="LevelA4199C0" comment="NA==" localSheetId="0" hidden="1">""</definedName>
    <definedName name="LevelA419C0" comment="NA==" localSheetId="0" hidden="1">""</definedName>
    <definedName name="LevelA41C0" comment="NA==" localSheetId="0" hidden="1">""</definedName>
    <definedName name="LevelA42" comment="0" localSheetId="0" hidden="1">""</definedName>
    <definedName name="LevelA420" comment="0" localSheetId="0" hidden="1">""</definedName>
    <definedName name="LevelA4200" comment="0" localSheetId="0" hidden="1">""</definedName>
    <definedName name="LevelA4200C0" comment="NA==" localSheetId="0" hidden="1">""</definedName>
    <definedName name="LevelA4201" comment="0" localSheetId="0" hidden="1">""</definedName>
    <definedName name="LevelA4201C0" comment="NA==" localSheetId="0" hidden="1">""</definedName>
    <definedName name="LevelA4202" comment="0" localSheetId="0" hidden="1">""</definedName>
    <definedName name="LevelA4202C0" comment="NA==" localSheetId="0" hidden="1">""</definedName>
    <definedName name="LevelA4203" comment="0" localSheetId="0" hidden="1">""</definedName>
    <definedName name="LevelA4203C0" comment="NA==" localSheetId="0" hidden="1">""</definedName>
    <definedName name="LevelA4204" comment="0" localSheetId="0" hidden="1">""</definedName>
    <definedName name="LevelA4204C0" comment="NA==" localSheetId="0" hidden="1">""</definedName>
    <definedName name="LevelA4205" comment="0" localSheetId="0" hidden="1">""</definedName>
    <definedName name="LevelA4205C0" comment="NA==" localSheetId="0" hidden="1">""</definedName>
    <definedName name="LevelA4206" comment="0" localSheetId="0" hidden="1">""</definedName>
    <definedName name="LevelA4206C0" comment="NA==" localSheetId="0" hidden="1">""</definedName>
    <definedName name="LevelA4207" comment="0" localSheetId="0" hidden="1">""</definedName>
    <definedName name="LevelA4207C0" comment="NA==" localSheetId="0" hidden="1">""</definedName>
    <definedName name="LevelA4208" comment="0" localSheetId="0" hidden="1">""</definedName>
    <definedName name="LevelA4208C0" comment="NA==" localSheetId="0" hidden="1">""</definedName>
    <definedName name="LevelA4209" comment="0" localSheetId="0" hidden="1">""</definedName>
    <definedName name="LevelA4209C0" comment="NA==" localSheetId="0" hidden="1">""</definedName>
    <definedName name="LevelA420C0" comment="NA==" localSheetId="0" hidden="1">""</definedName>
    <definedName name="LevelA421" comment="0" localSheetId="0" hidden="1">""</definedName>
    <definedName name="LevelA4210" comment="0" localSheetId="0" hidden="1">""</definedName>
    <definedName name="LevelA4210C0" comment="NA==" localSheetId="0" hidden="1">""</definedName>
    <definedName name="LevelA4211" comment="0" localSheetId="0" hidden="1">""</definedName>
    <definedName name="LevelA4211C0" comment="NA==" localSheetId="0" hidden="1">""</definedName>
    <definedName name="LevelA4212" comment="0" localSheetId="0" hidden="1">""</definedName>
    <definedName name="LevelA4212C0" comment="NA==" localSheetId="0" hidden="1">""</definedName>
    <definedName name="LevelA4213" comment="0" localSheetId="0" hidden="1">""</definedName>
    <definedName name="LevelA4213C0" comment="NA==" localSheetId="0" hidden="1">""</definedName>
    <definedName name="LevelA4214" comment="0" localSheetId="0" hidden="1">""</definedName>
    <definedName name="LevelA4214C0" comment="NA==" localSheetId="0" hidden="1">""</definedName>
    <definedName name="LevelA4215" comment="0" localSheetId="0" hidden="1">""</definedName>
    <definedName name="LevelA4215C0" comment="NA==" localSheetId="0" hidden="1">""</definedName>
    <definedName name="LevelA4216" comment="0" localSheetId="0" hidden="1">""</definedName>
    <definedName name="LevelA4216C0" comment="NA==" localSheetId="0" hidden="1">""</definedName>
    <definedName name="LevelA4217" comment="0" localSheetId="0" hidden="1">""</definedName>
    <definedName name="LevelA4217C0" comment="NA==" localSheetId="0" hidden="1">""</definedName>
    <definedName name="LevelA4218" comment="0" localSheetId="0" hidden="1">""</definedName>
    <definedName name="LevelA4218C0" comment="NA==" localSheetId="0" hidden="1">""</definedName>
    <definedName name="LevelA4219" comment="0" localSheetId="0" hidden="1">""</definedName>
    <definedName name="LevelA4219C0" comment="NA==" localSheetId="0" hidden="1">""</definedName>
    <definedName name="LevelA421C0" comment="NA==" localSheetId="0" hidden="1">""</definedName>
    <definedName name="LevelA422" comment="0" localSheetId="0" hidden="1">""</definedName>
    <definedName name="LevelA4220" comment="0" localSheetId="0" hidden="1">""</definedName>
    <definedName name="LevelA4220C0" comment="NA==" localSheetId="0" hidden="1">""</definedName>
    <definedName name="LevelA4221" comment="0" localSheetId="0" hidden="1">""</definedName>
    <definedName name="LevelA4221C0" comment="NA==" localSheetId="0" hidden="1">""</definedName>
    <definedName name="LevelA4222" comment="0" localSheetId="0" hidden="1">""</definedName>
    <definedName name="LevelA4222C0" comment="NA==" localSheetId="0" hidden="1">""</definedName>
    <definedName name="LevelA4223" comment="0" localSheetId="0" hidden="1">""</definedName>
    <definedName name="LevelA4223C0" comment="NA==" localSheetId="0" hidden="1">""</definedName>
    <definedName name="LevelA4224" comment="0" localSheetId="0" hidden="1">""</definedName>
    <definedName name="LevelA4224C0" comment="NA==" localSheetId="0" hidden="1">""</definedName>
    <definedName name="LevelA4225" comment="0" localSheetId="0" hidden="1">""</definedName>
    <definedName name="LevelA4225C0" comment="NA==" localSheetId="0" hidden="1">""</definedName>
    <definedName name="LevelA4226" comment="0" localSheetId="0" hidden="1">""</definedName>
    <definedName name="LevelA4226C0" comment="NA==" localSheetId="0" hidden="1">""</definedName>
    <definedName name="LevelA4227" comment="0" localSheetId="0" hidden="1">""</definedName>
    <definedName name="LevelA4227C0" comment="NA==" localSheetId="0" hidden="1">""</definedName>
    <definedName name="LevelA4228" comment="0" localSheetId="0" hidden="1">""</definedName>
    <definedName name="LevelA4228C0" comment="NA==" localSheetId="0" hidden="1">""</definedName>
    <definedName name="LevelA4229" comment="0" localSheetId="0" hidden="1">""</definedName>
    <definedName name="LevelA4229C0" comment="NA==" localSheetId="0" hidden="1">""</definedName>
    <definedName name="LevelA422C0" comment="NA==" localSheetId="0" hidden="1">""</definedName>
    <definedName name="LevelA423" comment="0" localSheetId="0" hidden="1">""</definedName>
    <definedName name="LevelA4230" comment="0" localSheetId="0" hidden="1">""</definedName>
    <definedName name="LevelA4230C0" comment="NA==" localSheetId="0" hidden="1">""</definedName>
    <definedName name="LevelA4231" comment="0" localSheetId="0" hidden="1">""</definedName>
    <definedName name="LevelA4231C0" comment="NA==" localSheetId="0" hidden="1">""</definedName>
    <definedName name="LevelA4232" comment="0" localSheetId="0" hidden="1">""</definedName>
    <definedName name="LevelA4232C0" comment="NA==" localSheetId="0" hidden="1">""</definedName>
    <definedName name="LevelA4233" comment="0" localSheetId="0" hidden="1">""</definedName>
    <definedName name="LevelA4233C0" comment="NA==" localSheetId="0" hidden="1">""</definedName>
    <definedName name="LevelA4234" comment="0" localSheetId="0" hidden="1">""</definedName>
    <definedName name="LevelA4234C0" comment="NA==" localSheetId="0" hidden="1">""</definedName>
    <definedName name="LevelA4235" comment="0" localSheetId="0" hidden="1">""</definedName>
    <definedName name="LevelA4235C0" comment="NA==" localSheetId="0" hidden="1">""</definedName>
    <definedName name="LevelA4236" comment="0" localSheetId="0" hidden="1">""</definedName>
    <definedName name="LevelA4236C0" comment="NA==" localSheetId="0" hidden="1">""</definedName>
    <definedName name="LevelA4237" comment="0" localSheetId="0" hidden="1">""</definedName>
    <definedName name="LevelA4237C0" comment="NA==" localSheetId="0" hidden="1">""</definedName>
    <definedName name="LevelA4238" comment="0" localSheetId="0" hidden="1">""</definedName>
    <definedName name="LevelA4238C0" comment="NA==" localSheetId="0" hidden="1">""</definedName>
    <definedName name="LevelA4239" comment="0" localSheetId="0" hidden="1">""</definedName>
    <definedName name="LevelA4239C0" comment="NA==" localSheetId="0" hidden="1">""</definedName>
    <definedName name="LevelA423C0" comment="NA==" localSheetId="0" hidden="1">""</definedName>
    <definedName name="LevelA424" comment="0" localSheetId="0" hidden="1">""</definedName>
    <definedName name="LevelA4240" comment="0" localSheetId="0" hidden="1">""</definedName>
    <definedName name="LevelA4240C0" comment="NA==" localSheetId="0" hidden="1">""</definedName>
    <definedName name="LevelA4241" comment="0" localSheetId="0" hidden="1">""</definedName>
    <definedName name="LevelA4241C0" comment="NA==" localSheetId="0" hidden="1">""</definedName>
    <definedName name="LevelA4242" comment="0" localSheetId="0" hidden="1">""</definedName>
    <definedName name="LevelA4242C0" comment="NA==" localSheetId="0" hidden="1">""</definedName>
    <definedName name="LevelA4243" comment="0" localSheetId="0" hidden="1">""</definedName>
    <definedName name="LevelA4243C0" comment="NA==" localSheetId="0" hidden="1">""</definedName>
    <definedName name="LevelA4244" comment="0" localSheetId="0" hidden="1">""</definedName>
    <definedName name="LevelA4244C0" comment="NA==" localSheetId="0" hidden="1">""</definedName>
    <definedName name="LevelA4245" comment="0" localSheetId="0" hidden="1">""</definedName>
    <definedName name="LevelA4245C0" comment="NA==" localSheetId="0" hidden="1">""</definedName>
    <definedName name="LevelA4246" comment="0" localSheetId="0" hidden="1">""</definedName>
    <definedName name="LevelA4246C0" comment="NA==" localSheetId="0" hidden="1">""</definedName>
    <definedName name="LevelA4247" comment="0" localSheetId="0" hidden="1">""</definedName>
    <definedName name="LevelA4247C0" comment="NA==" localSheetId="0" hidden="1">""</definedName>
    <definedName name="LevelA4248" comment="0" localSheetId="0" hidden="1">""</definedName>
    <definedName name="LevelA4248C0" comment="NA==" localSheetId="0" hidden="1">""</definedName>
    <definedName name="LevelA4249" comment="0" localSheetId="0" hidden="1">""</definedName>
    <definedName name="LevelA4249C0" comment="NA==" localSheetId="0" hidden="1">""</definedName>
    <definedName name="LevelA424C0" comment="NA==" localSheetId="0" hidden="1">""</definedName>
    <definedName name="LevelA425" comment="0" localSheetId="0" hidden="1">""</definedName>
    <definedName name="LevelA4250" comment="0" localSheetId="0" hidden="1">""</definedName>
    <definedName name="LevelA4250C0" comment="NA==" localSheetId="0" hidden="1">""</definedName>
    <definedName name="LevelA4251" comment="0" localSheetId="0" hidden="1">""</definedName>
    <definedName name="LevelA4251C0" comment="NA==" localSheetId="0" hidden="1">""</definedName>
    <definedName name="LevelA4252" comment="0" localSheetId="0" hidden="1">""</definedName>
    <definedName name="LevelA4252C0" comment="NA==" localSheetId="0" hidden="1">""</definedName>
    <definedName name="LevelA4253" comment="0" localSheetId="0" hidden="1">""</definedName>
    <definedName name="LevelA4253C0" comment="NA==" localSheetId="0" hidden="1">""</definedName>
    <definedName name="LevelA4254" comment="0" localSheetId="0" hidden="1">""</definedName>
    <definedName name="LevelA4254C0" comment="NA==" localSheetId="0" hidden="1">""</definedName>
    <definedName name="LevelA4255" comment="0" localSheetId="0" hidden="1">""</definedName>
    <definedName name="LevelA4255C0" comment="NA==" localSheetId="0" hidden="1">""</definedName>
    <definedName name="LevelA4256" comment="0" localSheetId="0" hidden="1">""</definedName>
    <definedName name="LevelA4256C0" comment="NA==" localSheetId="0" hidden="1">""</definedName>
    <definedName name="LevelA4257" comment="0" localSheetId="0" hidden="1">""</definedName>
    <definedName name="LevelA4257C0" comment="NA==" localSheetId="0" hidden="1">""</definedName>
    <definedName name="LevelA4258" comment="0" localSheetId="0" hidden="1">""</definedName>
    <definedName name="LevelA4258C0" comment="NA==" localSheetId="0" hidden="1">""</definedName>
    <definedName name="LevelA4259" comment="0" localSheetId="0" hidden="1">""</definedName>
    <definedName name="LevelA4259C0" comment="NA==" localSheetId="0" hidden="1">""</definedName>
    <definedName name="LevelA425C0" comment="NA==" localSheetId="0" hidden="1">""</definedName>
    <definedName name="LevelA426" comment="0" localSheetId="0" hidden="1">""</definedName>
    <definedName name="LevelA4260" comment="0" localSheetId="0" hidden="1">""</definedName>
    <definedName name="LevelA4260C0" comment="NA==" localSheetId="0" hidden="1">""</definedName>
    <definedName name="LevelA4261" comment="0" localSheetId="0" hidden="1">""</definedName>
    <definedName name="LevelA4261C0" comment="NA==" localSheetId="0" hidden="1">""</definedName>
    <definedName name="LevelA4262" comment="0" localSheetId="0" hidden="1">""</definedName>
    <definedName name="LevelA4262C0" comment="NA==" localSheetId="0" hidden="1">""</definedName>
    <definedName name="LevelA4263" comment="0" localSheetId="0" hidden="1">""</definedName>
    <definedName name="LevelA4263C0" comment="NA==" localSheetId="0" hidden="1">""</definedName>
    <definedName name="LevelA4264" comment="0" localSheetId="0" hidden="1">""</definedName>
    <definedName name="LevelA4264C0" comment="NA==" localSheetId="0" hidden="1">""</definedName>
    <definedName name="LevelA4265" comment="0" localSheetId="0" hidden="1">""</definedName>
    <definedName name="LevelA4265C0" comment="NA==" localSheetId="0" hidden="1">""</definedName>
    <definedName name="LevelA4266" comment="0" localSheetId="0" hidden="1">""</definedName>
    <definedName name="LevelA4266C0" comment="NA==" localSheetId="0" hidden="1">""</definedName>
    <definedName name="LevelA4267" comment="0" localSheetId="0" hidden="1">""</definedName>
    <definedName name="LevelA4267C0" comment="NA==" localSheetId="0" hidden="1">""</definedName>
    <definedName name="LevelA4268" comment="0" localSheetId="0" hidden="1">""</definedName>
    <definedName name="LevelA4268C0" comment="NA==" localSheetId="0" hidden="1">""</definedName>
    <definedName name="LevelA4269" comment="0" localSheetId="0" hidden="1">""</definedName>
    <definedName name="LevelA4269C0" comment="NA==" localSheetId="0" hidden="1">""</definedName>
    <definedName name="LevelA426C0" comment="NA==" localSheetId="0" hidden="1">""</definedName>
    <definedName name="LevelA427" comment="0" localSheetId="0" hidden="1">""</definedName>
    <definedName name="LevelA4270" comment="0" localSheetId="0" hidden="1">""</definedName>
    <definedName name="LevelA4270C0" comment="NA==" localSheetId="0" hidden="1">""</definedName>
    <definedName name="LevelA4271" comment="0" localSheetId="0" hidden="1">""</definedName>
    <definedName name="LevelA4271C0" comment="NA==" localSheetId="0" hidden="1">""</definedName>
    <definedName name="LevelA4272" comment="0" localSheetId="0" hidden="1">""</definedName>
    <definedName name="LevelA4272C0" comment="NA==" localSheetId="0" hidden="1">""</definedName>
    <definedName name="LevelA4273" comment="0" localSheetId="0" hidden="1">""</definedName>
    <definedName name="LevelA4273C0" comment="NA==" localSheetId="0" hidden="1">""</definedName>
    <definedName name="LevelA4274" comment="0" localSheetId="0" hidden="1">""</definedName>
    <definedName name="LevelA4274C0" comment="NA==" localSheetId="0" hidden="1">""</definedName>
    <definedName name="LevelA4275" comment="0" localSheetId="0" hidden="1">""</definedName>
    <definedName name="LevelA4275C0" comment="NA==" localSheetId="0" hidden="1">""</definedName>
    <definedName name="LevelA4276" comment="0" localSheetId="0" hidden="1">""</definedName>
    <definedName name="LevelA4276C0" comment="NA==" localSheetId="0" hidden="1">""</definedName>
    <definedName name="LevelA4277" comment="0" localSheetId="0" hidden="1">""</definedName>
    <definedName name="LevelA4277C0" comment="NA==" localSheetId="0" hidden="1">""</definedName>
    <definedName name="LevelA4278" comment="0" localSheetId="0" hidden="1">""</definedName>
    <definedName name="LevelA4278C0" comment="NA==" localSheetId="0" hidden="1">""</definedName>
    <definedName name="LevelA4279" comment="0" localSheetId="0" hidden="1">""</definedName>
    <definedName name="LevelA4279C0" comment="NA==" localSheetId="0" hidden="1">""</definedName>
    <definedName name="LevelA427C0" comment="NA==" localSheetId="0" hidden="1">""</definedName>
    <definedName name="LevelA428" comment="0" localSheetId="0" hidden="1">""</definedName>
    <definedName name="LevelA4280" comment="0" localSheetId="0" hidden="1">""</definedName>
    <definedName name="LevelA4280C0" comment="NA==" localSheetId="0" hidden="1">""</definedName>
    <definedName name="LevelA4281" comment="0" localSheetId="0" hidden="1">""</definedName>
    <definedName name="LevelA4281C0" comment="NA==" localSheetId="0" hidden="1">""</definedName>
    <definedName name="LevelA4282" comment="0" localSheetId="0" hidden="1">""</definedName>
    <definedName name="LevelA4282C0" comment="NA==" localSheetId="0" hidden="1">""</definedName>
    <definedName name="LevelA4283" comment="0" localSheetId="0" hidden="1">""</definedName>
    <definedName name="LevelA4283C0" comment="NA==" localSheetId="0" hidden="1">""</definedName>
    <definedName name="LevelA4284" comment="0" localSheetId="0" hidden="1">""</definedName>
    <definedName name="LevelA4284C0" comment="NA==" localSheetId="0" hidden="1">""</definedName>
    <definedName name="LevelA4285" comment="0" localSheetId="0" hidden="1">""</definedName>
    <definedName name="LevelA4285C0" comment="NA==" localSheetId="0" hidden="1">""</definedName>
    <definedName name="LevelA4286" comment="0" localSheetId="0" hidden="1">""</definedName>
    <definedName name="LevelA4286C0" comment="NA==" localSheetId="0" hidden="1">""</definedName>
    <definedName name="LevelA4287" comment="0" localSheetId="0" hidden="1">""</definedName>
    <definedName name="LevelA4287C0" comment="NA==" localSheetId="0" hidden="1">""</definedName>
    <definedName name="LevelA4288" comment="0" localSheetId="0" hidden="1">""</definedName>
    <definedName name="LevelA4288C0" comment="NA==" localSheetId="0" hidden="1">""</definedName>
    <definedName name="LevelA4289" comment="0" localSheetId="0" hidden="1">""</definedName>
    <definedName name="LevelA4289C0" comment="NA==" localSheetId="0" hidden="1">""</definedName>
    <definedName name="LevelA428C0" comment="NA==" localSheetId="0" hidden="1">""</definedName>
    <definedName name="LevelA429" comment="0" localSheetId="0" hidden="1">""</definedName>
    <definedName name="LevelA4290" comment="0" localSheetId="0" hidden="1">""</definedName>
    <definedName name="LevelA4290C0" comment="NA==" localSheetId="0" hidden="1">""</definedName>
    <definedName name="LevelA4291" comment="0" localSheetId="0" hidden="1">""</definedName>
    <definedName name="LevelA4291C0" comment="NA==" localSheetId="0" hidden="1">""</definedName>
    <definedName name="LevelA4292" comment="0" localSheetId="0" hidden="1">""</definedName>
    <definedName name="LevelA4292C0" comment="NA==" localSheetId="0" hidden="1">""</definedName>
    <definedName name="LevelA4293" comment="0" localSheetId="0" hidden="1">""</definedName>
    <definedName name="LevelA4293C0" comment="NA==" localSheetId="0" hidden="1">""</definedName>
    <definedName name="LevelA4294" comment="0" localSheetId="0" hidden="1">""</definedName>
    <definedName name="LevelA4294C0" comment="NA==" localSheetId="0" hidden="1">""</definedName>
    <definedName name="LevelA4295" comment="0" localSheetId="0" hidden="1">""</definedName>
    <definedName name="LevelA4295C0" comment="NA==" localSheetId="0" hidden="1">""</definedName>
    <definedName name="LevelA4296" comment="0" localSheetId="0" hidden="1">""</definedName>
    <definedName name="LevelA4296C0" comment="NA==" localSheetId="0" hidden="1">""</definedName>
    <definedName name="LevelA4297" comment="0" localSheetId="0" hidden="1">""</definedName>
    <definedName name="LevelA4297C0" comment="NA==" localSheetId="0" hidden="1">""</definedName>
    <definedName name="LevelA4298" comment="0" localSheetId="0" hidden="1">""</definedName>
    <definedName name="LevelA4298C0" comment="NA==" localSheetId="0" hidden="1">""</definedName>
    <definedName name="LevelA4299" comment="0" localSheetId="0" hidden="1">""</definedName>
    <definedName name="LevelA4299C0" comment="NA==" localSheetId="0" hidden="1">""</definedName>
    <definedName name="LevelA429C0" comment="NA==" localSheetId="0" hidden="1">""</definedName>
    <definedName name="LevelA42C0" comment="NA==" localSheetId="0" hidden="1">""</definedName>
    <definedName name="LevelA43" comment="0" localSheetId="0" hidden="1">""</definedName>
    <definedName name="LevelA430" comment="0" localSheetId="0" hidden="1">""</definedName>
    <definedName name="LevelA4300" comment="0" localSheetId="0" hidden="1">""</definedName>
    <definedName name="LevelA4300C0" comment="NA==" localSheetId="0" hidden="1">""</definedName>
    <definedName name="LevelA4301" comment="0" localSheetId="0" hidden="1">""</definedName>
    <definedName name="LevelA4301C0" comment="NA==" localSheetId="0" hidden="1">""</definedName>
    <definedName name="LevelA4302" comment="0" localSheetId="0" hidden="1">""</definedName>
    <definedName name="LevelA4302C0" comment="NA==" localSheetId="0" hidden="1">""</definedName>
    <definedName name="LevelA4303" comment="0" localSheetId="0" hidden="1">""</definedName>
    <definedName name="LevelA4303C0" comment="NA==" localSheetId="0" hidden="1">""</definedName>
    <definedName name="LevelA4304" comment="0" localSheetId="0" hidden="1">""</definedName>
    <definedName name="LevelA4304C0" comment="NA==" localSheetId="0" hidden="1">""</definedName>
    <definedName name="LevelA4305" comment="0" localSheetId="0" hidden="1">""</definedName>
    <definedName name="LevelA4305C0" comment="NA==" localSheetId="0" hidden="1">""</definedName>
    <definedName name="LevelA4306" comment="0" localSheetId="0" hidden="1">""</definedName>
    <definedName name="LevelA4306C0" comment="NA==" localSheetId="0" hidden="1">""</definedName>
    <definedName name="LevelA4307" comment="0" localSheetId="0" hidden="1">""</definedName>
    <definedName name="LevelA4307C0" comment="NA==" localSheetId="0" hidden="1">""</definedName>
    <definedName name="LevelA4308" comment="0" localSheetId="0" hidden="1">""</definedName>
    <definedName name="LevelA4308C0" comment="NA==" localSheetId="0" hidden="1">""</definedName>
    <definedName name="LevelA4309" comment="0" localSheetId="0" hidden="1">""</definedName>
    <definedName name="LevelA4309C0" comment="NA==" localSheetId="0" hidden="1">""</definedName>
    <definedName name="LevelA430C0" comment="NA==" localSheetId="0" hidden="1">""</definedName>
    <definedName name="LevelA431" comment="0" localSheetId="0" hidden="1">""</definedName>
    <definedName name="LevelA4310" comment="0" localSheetId="0" hidden="1">""</definedName>
    <definedName name="LevelA4310C0" comment="NA==" localSheetId="0" hidden="1">""</definedName>
    <definedName name="LevelA4311" comment="0" localSheetId="0" hidden="1">""</definedName>
    <definedName name="LevelA4311C0" comment="NA==" localSheetId="0" hidden="1">""</definedName>
    <definedName name="LevelA4312" comment="0" localSheetId="0" hidden="1">""</definedName>
    <definedName name="LevelA4312C0" comment="NA==" localSheetId="0" hidden="1">""</definedName>
    <definedName name="LevelA4313" comment="0" localSheetId="0" hidden="1">""</definedName>
    <definedName name="LevelA4313C0" comment="NA==" localSheetId="0" hidden="1">""</definedName>
    <definedName name="LevelA4314" comment="0" localSheetId="0" hidden="1">""</definedName>
    <definedName name="LevelA4314C0" comment="NA==" localSheetId="0" hidden="1">""</definedName>
    <definedName name="LevelA4315" comment="0" localSheetId="0" hidden="1">""</definedName>
    <definedName name="LevelA4315C0" comment="NA==" localSheetId="0" hidden="1">""</definedName>
    <definedName name="LevelA4316" comment="0" localSheetId="0" hidden="1">""</definedName>
    <definedName name="LevelA4316C0" comment="NA==" localSheetId="0" hidden="1">""</definedName>
    <definedName name="LevelA4317" comment="0" localSheetId="0" hidden="1">""</definedName>
    <definedName name="LevelA4317C0" comment="NA==" localSheetId="0" hidden="1">""</definedName>
    <definedName name="LevelA4318" comment="0" localSheetId="0" hidden="1">""</definedName>
    <definedName name="LevelA4318C0" comment="NA==" localSheetId="0" hidden="1">""</definedName>
    <definedName name="LevelA4319" comment="0" localSheetId="0" hidden="1">""</definedName>
    <definedName name="LevelA4319C0" comment="NA==" localSheetId="0" hidden="1">""</definedName>
    <definedName name="LevelA431C0" comment="NA==" localSheetId="0" hidden="1">""</definedName>
    <definedName name="LevelA432" comment="0" localSheetId="0" hidden="1">""</definedName>
    <definedName name="LevelA4320" comment="0" localSheetId="0" hidden="1">""</definedName>
    <definedName name="LevelA4320C0" comment="NA==" localSheetId="0" hidden="1">""</definedName>
    <definedName name="LevelA4321" comment="0" localSheetId="0" hidden="1">""</definedName>
    <definedName name="LevelA4321C0" comment="NA==" localSheetId="0" hidden="1">""</definedName>
    <definedName name="LevelA4322" comment="0" localSheetId="0" hidden="1">""</definedName>
    <definedName name="LevelA4322C0" comment="NA==" localSheetId="0" hidden="1">""</definedName>
    <definedName name="LevelA4323" comment="0" localSheetId="0" hidden="1">""</definedName>
    <definedName name="LevelA4323C0" comment="NA==" localSheetId="0" hidden="1">""</definedName>
    <definedName name="LevelA4324" comment="0" localSheetId="0" hidden="1">""</definedName>
    <definedName name="LevelA4324C0" comment="NA==" localSheetId="0" hidden="1">""</definedName>
    <definedName name="LevelA4325" comment="0" localSheetId="0" hidden="1">""</definedName>
    <definedName name="LevelA4325C0" comment="NA==" localSheetId="0" hidden="1">""</definedName>
    <definedName name="LevelA4326" comment="0" localSheetId="0" hidden="1">""</definedName>
    <definedName name="LevelA4326C0" comment="NA==" localSheetId="0" hidden="1">""</definedName>
    <definedName name="LevelA4327" comment="0" localSheetId="0" hidden="1">""</definedName>
    <definedName name="LevelA4327C0" comment="NA==" localSheetId="0" hidden="1">""</definedName>
    <definedName name="LevelA4328" comment="0" localSheetId="0" hidden="1">""</definedName>
    <definedName name="LevelA4328C0" comment="NA==" localSheetId="0" hidden="1">""</definedName>
    <definedName name="LevelA4329" comment="0" localSheetId="0" hidden="1">""</definedName>
    <definedName name="LevelA4329C0" comment="NA==" localSheetId="0" hidden="1">""</definedName>
    <definedName name="LevelA432C0" comment="NA==" localSheetId="0" hidden="1">""</definedName>
    <definedName name="LevelA433" comment="0" localSheetId="0" hidden="1">""</definedName>
    <definedName name="LevelA4330" comment="0" localSheetId="0" hidden="1">""</definedName>
    <definedName name="LevelA4330C0" comment="NA==" localSheetId="0" hidden="1">""</definedName>
    <definedName name="LevelA4331" comment="0" localSheetId="0" hidden="1">""</definedName>
    <definedName name="LevelA4331C0" comment="NA==" localSheetId="0" hidden="1">""</definedName>
    <definedName name="LevelA4332" comment="0" localSheetId="0" hidden="1">""</definedName>
    <definedName name="LevelA4332C0" comment="NA==" localSheetId="0" hidden="1">""</definedName>
    <definedName name="LevelA4333" comment="0" localSheetId="0" hidden="1">""</definedName>
    <definedName name="LevelA4333C0" comment="NA==" localSheetId="0" hidden="1">""</definedName>
    <definedName name="LevelA4334" comment="0" localSheetId="0" hidden="1">""</definedName>
    <definedName name="LevelA4334C0" comment="NA==" localSheetId="0" hidden="1">""</definedName>
    <definedName name="LevelA4335" comment="0" localSheetId="0" hidden="1">""</definedName>
    <definedName name="LevelA4335C0" comment="NA==" localSheetId="0" hidden="1">""</definedName>
    <definedName name="LevelA4336" comment="0" localSheetId="0" hidden="1">""</definedName>
    <definedName name="LevelA4336C0" comment="NA==" localSheetId="0" hidden="1">""</definedName>
    <definedName name="LevelA4337" comment="0" localSheetId="0" hidden="1">""</definedName>
    <definedName name="LevelA4337C0" comment="NA==" localSheetId="0" hidden="1">""</definedName>
    <definedName name="LevelA4338" comment="0" localSheetId="0" hidden="1">""</definedName>
    <definedName name="LevelA4338C0" comment="NA==" localSheetId="0" hidden="1">""</definedName>
    <definedName name="LevelA4339" comment="0" localSheetId="0" hidden="1">""</definedName>
    <definedName name="LevelA4339C0" comment="NA==" localSheetId="0" hidden="1">""</definedName>
    <definedName name="LevelA433C0" comment="NA==" localSheetId="0" hidden="1">""</definedName>
    <definedName name="LevelA434" comment="0" localSheetId="0" hidden="1">""</definedName>
    <definedName name="LevelA4340" comment="0" localSheetId="0" hidden="1">""</definedName>
    <definedName name="LevelA4340C0" comment="NA==" localSheetId="0" hidden="1">""</definedName>
    <definedName name="LevelA4341" comment="0" localSheetId="0" hidden="1">""</definedName>
    <definedName name="LevelA4341C0" comment="NA==" localSheetId="0" hidden="1">""</definedName>
    <definedName name="LevelA4342" comment="0" localSheetId="0" hidden="1">""</definedName>
    <definedName name="LevelA4342C0" comment="NA==" localSheetId="0" hidden="1">""</definedName>
    <definedName name="LevelA4343" comment="0" localSheetId="0" hidden="1">""</definedName>
    <definedName name="LevelA4343C0" comment="NA==" localSheetId="0" hidden="1">""</definedName>
    <definedName name="LevelA4344" comment="0" localSheetId="0" hidden="1">""</definedName>
    <definedName name="LevelA4344C0" comment="NA==" localSheetId="0" hidden="1">""</definedName>
    <definedName name="LevelA4345" comment="0" localSheetId="0" hidden="1">""</definedName>
    <definedName name="LevelA4345C0" comment="NA==" localSheetId="0" hidden="1">""</definedName>
    <definedName name="LevelA4346" comment="0" localSheetId="0" hidden="1">""</definedName>
    <definedName name="LevelA4346C0" comment="NA==" localSheetId="0" hidden="1">""</definedName>
    <definedName name="LevelA4347" comment="0" localSheetId="0" hidden="1">""</definedName>
    <definedName name="LevelA4347C0" comment="NA==" localSheetId="0" hidden="1">""</definedName>
    <definedName name="LevelA4348" comment="0" localSheetId="0" hidden="1">""</definedName>
    <definedName name="LevelA4348C0" comment="NA==" localSheetId="0" hidden="1">""</definedName>
    <definedName name="LevelA4349" comment="0" localSheetId="0" hidden="1">""</definedName>
    <definedName name="LevelA4349C0" comment="NA==" localSheetId="0" hidden="1">""</definedName>
    <definedName name="LevelA434C0" comment="NA==" localSheetId="0" hidden="1">""</definedName>
    <definedName name="LevelA435" comment="0" localSheetId="0" hidden="1">""</definedName>
    <definedName name="LevelA4350" comment="0" localSheetId="0" hidden="1">""</definedName>
    <definedName name="LevelA4350C0" comment="NA==" localSheetId="0" hidden="1">""</definedName>
    <definedName name="LevelA4351" comment="0" localSheetId="0" hidden="1">""</definedName>
    <definedName name="LevelA4351C0" comment="NA==" localSheetId="0" hidden="1">""</definedName>
    <definedName name="LevelA4352" comment="0" localSheetId="0" hidden="1">""</definedName>
    <definedName name="LevelA4352C0" comment="NA==" localSheetId="0" hidden="1">""</definedName>
    <definedName name="LevelA4353" comment="0" localSheetId="0" hidden="1">""</definedName>
    <definedName name="LevelA4353C0" comment="NA==" localSheetId="0" hidden="1">""</definedName>
    <definedName name="LevelA4354" comment="0" localSheetId="0" hidden="1">""</definedName>
    <definedName name="LevelA4354C0" comment="NA==" localSheetId="0" hidden="1">""</definedName>
    <definedName name="LevelA4355" comment="0" localSheetId="0" hidden="1">""</definedName>
    <definedName name="LevelA4355C0" comment="NA==" localSheetId="0" hidden="1">""</definedName>
    <definedName name="LevelA4356" comment="0" localSheetId="0" hidden="1">""</definedName>
    <definedName name="LevelA4356C0" comment="NA==" localSheetId="0" hidden="1">""</definedName>
    <definedName name="LevelA4357" comment="0" localSheetId="0" hidden="1">""</definedName>
    <definedName name="LevelA4357C0" comment="NA==" localSheetId="0" hidden="1">""</definedName>
    <definedName name="LevelA4358" comment="0" localSheetId="0" hidden="1">""</definedName>
    <definedName name="LevelA4358C0" comment="NA==" localSheetId="0" hidden="1">""</definedName>
    <definedName name="LevelA4359" comment="0" localSheetId="0" hidden="1">""</definedName>
    <definedName name="LevelA4359C0" comment="NA==" localSheetId="0" hidden="1">""</definedName>
    <definedName name="LevelA435C0" comment="NA==" localSheetId="0" hidden="1">""</definedName>
    <definedName name="LevelA436" comment="0" localSheetId="0" hidden="1">""</definedName>
    <definedName name="LevelA4360" comment="0" localSheetId="0" hidden="1">""</definedName>
    <definedName name="LevelA4360C0" comment="NA==" localSheetId="0" hidden="1">""</definedName>
    <definedName name="LevelA4361" comment="0" localSheetId="0" hidden="1">""</definedName>
    <definedName name="LevelA4361C0" comment="NA==" localSheetId="0" hidden="1">""</definedName>
    <definedName name="LevelA4362" comment="0" localSheetId="0" hidden="1">""</definedName>
    <definedName name="LevelA4362C0" comment="NA==" localSheetId="0" hidden="1">""</definedName>
    <definedName name="LevelA4363" comment="0" localSheetId="0" hidden="1">""</definedName>
    <definedName name="LevelA4363C0" comment="NA==" localSheetId="0" hidden="1">""</definedName>
    <definedName name="LevelA4364" comment="0" localSheetId="0" hidden="1">""</definedName>
    <definedName name="LevelA4364C0" comment="NA==" localSheetId="0" hidden="1">""</definedName>
    <definedName name="LevelA4365" comment="0" localSheetId="0" hidden="1">""</definedName>
    <definedName name="LevelA4365C0" comment="NA==" localSheetId="0" hidden="1">""</definedName>
    <definedName name="LevelA4366" comment="0" localSheetId="0" hidden="1">""</definedName>
    <definedName name="LevelA4366C0" comment="NA==" localSheetId="0" hidden="1">""</definedName>
    <definedName name="LevelA4367" comment="0" localSheetId="0" hidden="1">""</definedName>
    <definedName name="LevelA4367C0" comment="NA==" localSheetId="0" hidden="1">""</definedName>
    <definedName name="LevelA4368" comment="0" localSheetId="0" hidden="1">""</definedName>
    <definedName name="LevelA4368C0" comment="NA==" localSheetId="0" hidden="1">""</definedName>
    <definedName name="LevelA4369" comment="0" localSheetId="0" hidden="1">""</definedName>
    <definedName name="LevelA4369C0" comment="NA==" localSheetId="0" hidden="1">""</definedName>
    <definedName name="LevelA436C0" comment="NA==" localSheetId="0" hidden="1">""</definedName>
    <definedName name="LevelA437" comment="0" localSheetId="0" hidden="1">""</definedName>
    <definedName name="LevelA4370" comment="0" localSheetId="0" hidden="1">""</definedName>
    <definedName name="LevelA4370C0" comment="NA==" localSheetId="0" hidden="1">""</definedName>
    <definedName name="LevelA4371" comment="0" localSheetId="0" hidden="1">""</definedName>
    <definedName name="LevelA4371C0" comment="NA==" localSheetId="0" hidden="1">""</definedName>
    <definedName name="LevelA4372" comment="0" localSheetId="0" hidden="1">""</definedName>
    <definedName name="LevelA4372C0" comment="NA==" localSheetId="0" hidden="1">""</definedName>
    <definedName name="LevelA4373" comment="0" localSheetId="0" hidden="1">""</definedName>
    <definedName name="LevelA4373C0" comment="NA==" localSheetId="0" hidden="1">""</definedName>
    <definedName name="LevelA4374" comment="0" localSheetId="0" hidden="1">""</definedName>
    <definedName name="LevelA4374C0" comment="NA==" localSheetId="0" hidden="1">""</definedName>
    <definedName name="LevelA4375" comment="0" localSheetId="0" hidden="1">""</definedName>
    <definedName name="LevelA4375C0" comment="NA==" localSheetId="0" hidden="1">""</definedName>
    <definedName name="LevelA4376" comment="0" localSheetId="0" hidden="1">""</definedName>
    <definedName name="LevelA4376C0" comment="NA==" localSheetId="0" hidden="1">""</definedName>
    <definedName name="LevelA4377" comment="0" localSheetId="0" hidden="1">""</definedName>
    <definedName name="LevelA4377C0" comment="NA==" localSheetId="0" hidden="1">""</definedName>
    <definedName name="LevelA4378" comment="0" localSheetId="0" hidden="1">""</definedName>
    <definedName name="LevelA4378C0" comment="NA==" localSheetId="0" hidden="1">""</definedName>
    <definedName name="LevelA4379" comment="0" localSheetId="0" hidden="1">""</definedName>
    <definedName name="LevelA4379C0" comment="NA==" localSheetId="0" hidden="1">""</definedName>
    <definedName name="LevelA437C0" comment="NA==" localSheetId="0" hidden="1">""</definedName>
    <definedName name="LevelA438" comment="0" localSheetId="0" hidden="1">""</definedName>
    <definedName name="LevelA4380" comment="0" localSheetId="0" hidden="1">""</definedName>
    <definedName name="LevelA4380C0" comment="NA==" localSheetId="0" hidden="1">""</definedName>
    <definedName name="LevelA4381" comment="0" localSheetId="0" hidden="1">""</definedName>
    <definedName name="LevelA4381C0" comment="NA==" localSheetId="0" hidden="1">""</definedName>
    <definedName name="LevelA4382" comment="0" localSheetId="0" hidden="1">""</definedName>
    <definedName name="LevelA4382C0" comment="NA==" localSheetId="0" hidden="1">""</definedName>
    <definedName name="LevelA4383" comment="0" localSheetId="0" hidden="1">""</definedName>
    <definedName name="LevelA4383C0" comment="NA==" localSheetId="0" hidden="1">""</definedName>
    <definedName name="LevelA4384" comment="0" localSheetId="0" hidden="1">""</definedName>
    <definedName name="LevelA4384C0" comment="NA==" localSheetId="0" hidden="1">""</definedName>
    <definedName name="LevelA4385" comment="0" localSheetId="0" hidden="1">""</definedName>
    <definedName name="LevelA4385C0" comment="NA==" localSheetId="0" hidden="1">""</definedName>
    <definedName name="LevelA4386" comment="0" localSheetId="0" hidden="1">""</definedName>
    <definedName name="LevelA4386C0" comment="NA==" localSheetId="0" hidden="1">""</definedName>
    <definedName name="LevelA4387" comment="0" localSheetId="0" hidden="1">""</definedName>
    <definedName name="LevelA4387C0" comment="NA==" localSheetId="0" hidden="1">""</definedName>
    <definedName name="LevelA4388" comment="0" localSheetId="0" hidden="1">""</definedName>
    <definedName name="LevelA4388C0" comment="NA==" localSheetId="0" hidden="1">""</definedName>
    <definedName name="LevelA4389" comment="0" localSheetId="0" hidden="1">""</definedName>
    <definedName name="LevelA4389C0" comment="NA==" localSheetId="0" hidden="1">""</definedName>
    <definedName name="LevelA438C0" comment="NA==" localSheetId="0" hidden="1">""</definedName>
    <definedName name="LevelA439" comment="0" localSheetId="0" hidden="1">""</definedName>
    <definedName name="LevelA4390" comment="0" localSheetId="0" hidden="1">""</definedName>
    <definedName name="LevelA4390C0" comment="NA==" localSheetId="0" hidden="1">""</definedName>
    <definedName name="LevelA4391" comment="0" localSheetId="0" hidden="1">""</definedName>
    <definedName name="LevelA4391C0" comment="NA==" localSheetId="0" hidden="1">""</definedName>
    <definedName name="LevelA4392" comment="0" localSheetId="0" hidden="1">""</definedName>
    <definedName name="LevelA4392C0" comment="NA==" localSheetId="0" hidden="1">""</definedName>
    <definedName name="LevelA4393" comment="0" localSheetId="0" hidden="1">""</definedName>
    <definedName name="LevelA4393C0" comment="NA==" localSheetId="0" hidden="1">""</definedName>
    <definedName name="LevelA4394" comment="0" localSheetId="0" hidden="1">""</definedName>
    <definedName name="LevelA4394C0" comment="NA==" localSheetId="0" hidden="1">""</definedName>
    <definedName name="LevelA4395" comment="0" localSheetId="0" hidden="1">""</definedName>
    <definedName name="LevelA4395C0" comment="NA==" localSheetId="0" hidden="1">""</definedName>
    <definedName name="LevelA4396" comment="0" localSheetId="0" hidden="1">""</definedName>
    <definedName name="LevelA4396C0" comment="NA==" localSheetId="0" hidden="1">""</definedName>
    <definedName name="LevelA4397" comment="0" localSheetId="0" hidden="1">""</definedName>
    <definedName name="LevelA4397C0" comment="NA==" localSheetId="0" hidden="1">""</definedName>
    <definedName name="LevelA4398" comment="0" localSheetId="0" hidden="1">""</definedName>
    <definedName name="LevelA4398C0" comment="NA==" localSheetId="0" hidden="1">""</definedName>
    <definedName name="LevelA4399" comment="0" localSheetId="0" hidden="1">""</definedName>
    <definedName name="LevelA4399C0" comment="NA==" localSheetId="0" hidden="1">""</definedName>
    <definedName name="LevelA439C0" comment="NA==" localSheetId="0" hidden="1">""</definedName>
    <definedName name="LevelA43C0" comment="NA==" localSheetId="0" hidden="1">""</definedName>
    <definedName name="LevelA44" comment="0" localSheetId="0" hidden="1">""</definedName>
    <definedName name="LevelA440" comment="0" localSheetId="0" hidden="1">""</definedName>
    <definedName name="LevelA4400" comment="0" localSheetId="0" hidden="1">""</definedName>
    <definedName name="LevelA4400C0" comment="NA==" localSheetId="0" hidden="1">""</definedName>
    <definedName name="LevelA4401" comment="0" localSheetId="0" hidden="1">""</definedName>
    <definedName name="LevelA4401C0" comment="NA==" localSheetId="0" hidden="1">""</definedName>
    <definedName name="LevelA4402" comment="0" localSheetId="0" hidden="1">""</definedName>
    <definedName name="LevelA4402C0" comment="NA==" localSheetId="0" hidden="1">""</definedName>
    <definedName name="LevelA4403" comment="0" localSheetId="0" hidden="1">""</definedName>
    <definedName name="LevelA4403C0" comment="NA==" localSheetId="0" hidden="1">""</definedName>
    <definedName name="LevelA4404" comment="0" localSheetId="0" hidden="1">""</definedName>
    <definedName name="LevelA4404C0" comment="NA==" localSheetId="0" hidden="1">""</definedName>
    <definedName name="LevelA4405" comment="0" localSheetId="0" hidden="1">""</definedName>
    <definedName name="LevelA4405C0" comment="NA==" localSheetId="0" hidden="1">""</definedName>
    <definedName name="LevelA4406" comment="0" localSheetId="0" hidden="1">""</definedName>
    <definedName name="LevelA4406C0" comment="NA==" localSheetId="0" hidden="1">""</definedName>
    <definedName name="LevelA4407" comment="0" localSheetId="0" hidden="1">""</definedName>
    <definedName name="LevelA4407C0" comment="NA==" localSheetId="0" hidden="1">""</definedName>
    <definedName name="LevelA4408" comment="0" localSheetId="0" hidden="1">""</definedName>
    <definedName name="LevelA4408C0" comment="NA==" localSheetId="0" hidden="1">""</definedName>
    <definedName name="LevelA4409" comment="0" localSheetId="0" hidden="1">""</definedName>
    <definedName name="LevelA4409C0" comment="NA==" localSheetId="0" hidden="1">""</definedName>
    <definedName name="LevelA440C0" comment="NA==" localSheetId="0" hidden="1">""</definedName>
    <definedName name="LevelA441" comment="0" localSheetId="0" hidden="1">""</definedName>
    <definedName name="LevelA4410" comment="0" localSheetId="0" hidden="1">""</definedName>
    <definedName name="LevelA4410C0" comment="NA==" localSheetId="0" hidden="1">""</definedName>
    <definedName name="LevelA4411" comment="0" localSheetId="0" hidden="1">""</definedName>
    <definedName name="LevelA4411C0" comment="NA==" localSheetId="0" hidden="1">""</definedName>
    <definedName name="LevelA4412" comment="0" localSheetId="0" hidden="1">""</definedName>
    <definedName name="LevelA4412C0" comment="NA==" localSheetId="0" hidden="1">""</definedName>
    <definedName name="LevelA4413" comment="0" localSheetId="0" hidden="1">""</definedName>
    <definedName name="LevelA4413C0" comment="NA==" localSheetId="0" hidden="1">""</definedName>
    <definedName name="LevelA4414" comment="0" localSheetId="0" hidden="1">""</definedName>
    <definedName name="LevelA4414C0" comment="NA==" localSheetId="0" hidden="1">""</definedName>
    <definedName name="LevelA4415" comment="0" localSheetId="0" hidden="1">""</definedName>
    <definedName name="LevelA4415C0" comment="NA==" localSheetId="0" hidden="1">""</definedName>
    <definedName name="LevelA4416" comment="0" localSheetId="0" hidden="1">""</definedName>
    <definedName name="LevelA4416C0" comment="NA==" localSheetId="0" hidden="1">""</definedName>
    <definedName name="LevelA4417" comment="0" localSheetId="0" hidden="1">""</definedName>
    <definedName name="LevelA4417C0" comment="NA==" localSheetId="0" hidden="1">""</definedName>
    <definedName name="LevelA4418" comment="0" localSheetId="0" hidden="1">""</definedName>
    <definedName name="LevelA4418C0" comment="NA==" localSheetId="0" hidden="1">""</definedName>
    <definedName name="LevelA4419" comment="0" localSheetId="0" hidden="1">""</definedName>
    <definedName name="LevelA4419C0" comment="NA==" localSheetId="0" hidden="1">""</definedName>
    <definedName name="LevelA441C0" comment="NA==" localSheetId="0" hidden="1">""</definedName>
    <definedName name="LevelA442" comment="0" localSheetId="0" hidden="1">""</definedName>
    <definedName name="LevelA4420" comment="0" localSheetId="0" hidden="1">""</definedName>
    <definedName name="LevelA4420C0" comment="NA==" localSheetId="0" hidden="1">""</definedName>
    <definedName name="LevelA4421" comment="0" localSheetId="0" hidden="1">""</definedName>
    <definedName name="LevelA4421C0" comment="NA==" localSheetId="0" hidden="1">""</definedName>
    <definedName name="LevelA4422" comment="0" localSheetId="0" hidden="1">""</definedName>
    <definedName name="LevelA4422C0" comment="NA==" localSheetId="0" hidden="1">""</definedName>
    <definedName name="LevelA4423" comment="0" localSheetId="0" hidden="1">""</definedName>
    <definedName name="LevelA4423C0" comment="NA==" localSheetId="0" hidden="1">""</definedName>
    <definedName name="LevelA4424" comment="0" localSheetId="0" hidden="1">""</definedName>
    <definedName name="LevelA4424C0" comment="NA==" localSheetId="0" hidden="1">""</definedName>
    <definedName name="LevelA4425" comment="0" localSheetId="0" hidden="1">""</definedName>
    <definedName name="LevelA4425C0" comment="NA==" localSheetId="0" hidden="1">""</definedName>
    <definedName name="LevelA4426" comment="0" localSheetId="0" hidden="1">""</definedName>
    <definedName name="LevelA4426C0" comment="NA==" localSheetId="0" hidden="1">""</definedName>
    <definedName name="LevelA4427" comment="0" localSheetId="0" hidden="1">""</definedName>
    <definedName name="LevelA4427C0" comment="NA==" localSheetId="0" hidden="1">""</definedName>
    <definedName name="LevelA4428" comment="0" localSheetId="0" hidden="1">""</definedName>
    <definedName name="LevelA4428C0" comment="NA==" localSheetId="0" hidden="1">""</definedName>
    <definedName name="LevelA4429" comment="0" localSheetId="0" hidden="1">""</definedName>
    <definedName name="LevelA4429C0" comment="NA==" localSheetId="0" hidden="1">""</definedName>
    <definedName name="LevelA442C0" comment="NA==" localSheetId="0" hidden="1">""</definedName>
    <definedName name="LevelA443" comment="0" localSheetId="0" hidden="1">""</definedName>
    <definedName name="LevelA4430" comment="0" localSheetId="0" hidden="1">""</definedName>
    <definedName name="LevelA4430C0" comment="NA==" localSheetId="0" hidden="1">""</definedName>
    <definedName name="LevelA4431" comment="0" localSheetId="0" hidden="1">""</definedName>
    <definedName name="LevelA4431C0" comment="NA==" localSheetId="0" hidden="1">""</definedName>
    <definedName name="LevelA4432" comment="0" localSheetId="0" hidden="1">""</definedName>
    <definedName name="LevelA4432C0" comment="NA==" localSheetId="0" hidden="1">""</definedName>
    <definedName name="LevelA4433" comment="0" localSheetId="0" hidden="1">""</definedName>
    <definedName name="LevelA4433C0" comment="NA==" localSheetId="0" hidden="1">""</definedName>
    <definedName name="LevelA4434" comment="0" localSheetId="0" hidden="1">""</definedName>
    <definedName name="LevelA4434C0" comment="NA==" localSheetId="0" hidden="1">""</definedName>
    <definedName name="LevelA4435" comment="0" localSheetId="0" hidden="1">""</definedName>
    <definedName name="LevelA4435C0" comment="NA==" localSheetId="0" hidden="1">""</definedName>
    <definedName name="LevelA4436" comment="0" localSheetId="0" hidden="1">""</definedName>
    <definedName name="LevelA4436C0" comment="NA==" localSheetId="0" hidden="1">""</definedName>
    <definedName name="LevelA4437" comment="0" localSheetId="0" hidden="1">""</definedName>
    <definedName name="LevelA4437C0" comment="NA==" localSheetId="0" hidden="1">""</definedName>
    <definedName name="LevelA4438" comment="0" localSheetId="0" hidden="1">""</definedName>
    <definedName name="LevelA4438C0" comment="NA==" localSheetId="0" hidden="1">""</definedName>
    <definedName name="LevelA4439" comment="0" localSheetId="0" hidden="1">""</definedName>
    <definedName name="LevelA4439C0" comment="NA==" localSheetId="0" hidden="1">""</definedName>
    <definedName name="LevelA443C0" comment="NA==" localSheetId="0" hidden="1">""</definedName>
    <definedName name="LevelA444" comment="0" localSheetId="0" hidden="1">""</definedName>
    <definedName name="LevelA4440" comment="0" localSheetId="0" hidden="1">""</definedName>
    <definedName name="LevelA4440C0" comment="NA==" localSheetId="0" hidden="1">""</definedName>
    <definedName name="LevelA4441" comment="0" localSheetId="0" hidden="1">""</definedName>
    <definedName name="LevelA4441C0" comment="NA==" localSheetId="0" hidden="1">""</definedName>
    <definedName name="LevelA4442" comment="0" localSheetId="0" hidden="1">""</definedName>
    <definedName name="LevelA4442C0" comment="NA==" localSheetId="0" hidden="1">""</definedName>
    <definedName name="LevelA4443" comment="0" localSheetId="0" hidden="1">""</definedName>
    <definedName name="LevelA4443C0" comment="NA==" localSheetId="0" hidden="1">""</definedName>
    <definedName name="LevelA4444" comment="0" localSheetId="0" hidden="1">""</definedName>
    <definedName name="LevelA4444C0" comment="NA==" localSheetId="0" hidden="1">""</definedName>
    <definedName name="LevelA4445" comment="0" localSheetId="0" hidden="1">""</definedName>
    <definedName name="LevelA4445C0" comment="NA==" localSheetId="0" hidden="1">""</definedName>
    <definedName name="LevelA4446" comment="0" localSheetId="0" hidden="1">""</definedName>
    <definedName name="LevelA4446C0" comment="NA==" localSheetId="0" hidden="1">""</definedName>
    <definedName name="LevelA4447" comment="0" localSheetId="0" hidden="1">""</definedName>
    <definedName name="LevelA4447C0" comment="NA==" localSheetId="0" hidden="1">""</definedName>
    <definedName name="LevelA4448" comment="0" localSheetId="0" hidden="1">""</definedName>
    <definedName name="LevelA4448C0" comment="NA==" localSheetId="0" hidden="1">""</definedName>
    <definedName name="LevelA4449" comment="0" localSheetId="0" hidden="1">""</definedName>
    <definedName name="LevelA4449C0" comment="NA==" localSheetId="0" hidden="1">""</definedName>
    <definedName name="LevelA444C0" comment="NA==" localSheetId="0" hidden="1">""</definedName>
    <definedName name="LevelA445" comment="0" localSheetId="0" hidden="1">""</definedName>
    <definedName name="LevelA4450" comment="0" localSheetId="0" hidden="1">""</definedName>
    <definedName name="LevelA4450C0" comment="NA==" localSheetId="0" hidden="1">""</definedName>
    <definedName name="LevelA4451" comment="0" localSheetId="0" hidden="1">""</definedName>
    <definedName name="LevelA4451C0" comment="NA==" localSheetId="0" hidden="1">""</definedName>
    <definedName name="LevelA4452" comment="0" localSheetId="0" hidden="1">""</definedName>
    <definedName name="LevelA4452C0" comment="NA==" localSheetId="0" hidden="1">""</definedName>
    <definedName name="LevelA4453" comment="0" localSheetId="0" hidden="1">""</definedName>
    <definedName name="LevelA4453C0" comment="NA==" localSheetId="0" hidden="1">""</definedName>
    <definedName name="LevelA4454" comment="0" localSheetId="0" hidden="1">""</definedName>
    <definedName name="LevelA4454C0" comment="NA==" localSheetId="0" hidden="1">""</definedName>
    <definedName name="LevelA4455" comment="0" localSheetId="0" hidden="1">""</definedName>
    <definedName name="LevelA4455C0" comment="NA==" localSheetId="0" hidden="1">""</definedName>
    <definedName name="LevelA4456" comment="0" localSheetId="0" hidden="1">""</definedName>
    <definedName name="LevelA4456C0" comment="NA==" localSheetId="0" hidden="1">""</definedName>
    <definedName name="LevelA4457" comment="0" localSheetId="0" hidden="1">""</definedName>
    <definedName name="LevelA4457C0" comment="NA==" localSheetId="0" hidden="1">""</definedName>
    <definedName name="LevelA4458" comment="0" localSheetId="0" hidden="1">""</definedName>
    <definedName name="LevelA4458C0" comment="NA==" localSheetId="0" hidden="1">""</definedName>
    <definedName name="LevelA4459" comment="0" localSheetId="0" hidden="1">""</definedName>
    <definedName name="LevelA4459C0" comment="NA==" localSheetId="0" hidden="1">""</definedName>
    <definedName name="LevelA445C0" comment="NA==" localSheetId="0" hidden="1">""</definedName>
    <definedName name="LevelA446" comment="0" localSheetId="0" hidden="1">""</definedName>
    <definedName name="LevelA4460" comment="0" localSheetId="0" hidden="1">""</definedName>
    <definedName name="LevelA4460C0" comment="NA==" localSheetId="0" hidden="1">""</definedName>
    <definedName name="LevelA4461" comment="0" localSheetId="0" hidden="1">""</definedName>
    <definedName name="LevelA4461C0" comment="NA==" localSheetId="0" hidden="1">""</definedName>
    <definedName name="LevelA4462" comment="0" localSheetId="0" hidden="1">""</definedName>
    <definedName name="LevelA4462C0" comment="NA==" localSheetId="0" hidden="1">""</definedName>
    <definedName name="LevelA4463" comment="0" localSheetId="0" hidden="1">""</definedName>
    <definedName name="LevelA4463C0" comment="NA==" localSheetId="0" hidden="1">""</definedName>
    <definedName name="LevelA4464" comment="0" localSheetId="0" hidden="1">""</definedName>
    <definedName name="LevelA4464C0" comment="NA==" localSheetId="0" hidden="1">""</definedName>
    <definedName name="LevelA4465" comment="0" localSheetId="0" hidden="1">""</definedName>
    <definedName name="LevelA4465C0" comment="NA==" localSheetId="0" hidden="1">""</definedName>
    <definedName name="LevelA4466" comment="0" localSheetId="0" hidden="1">""</definedName>
    <definedName name="LevelA4466C0" comment="NA==" localSheetId="0" hidden="1">""</definedName>
    <definedName name="LevelA4467" comment="0" localSheetId="0" hidden="1">""</definedName>
    <definedName name="LevelA4467C0" comment="NA==" localSheetId="0" hidden="1">""</definedName>
    <definedName name="LevelA4468" comment="0" localSheetId="0" hidden="1">""</definedName>
    <definedName name="LevelA4468C0" comment="NA==" localSheetId="0" hidden="1">""</definedName>
    <definedName name="LevelA4469" comment="0" localSheetId="0" hidden="1">""</definedName>
    <definedName name="LevelA4469C0" comment="NA==" localSheetId="0" hidden="1">""</definedName>
    <definedName name="LevelA446C0" comment="NA==" localSheetId="0" hidden="1">""</definedName>
    <definedName name="LevelA447" comment="0" localSheetId="0" hidden="1">""</definedName>
    <definedName name="LevelA4470" comment="0" localSheetId="0" hidden="1">""</definedName>
    <definedName name="LevelA4470C0" comment="NA==" localSheetId="0" hidden="1">""</definedName>
    <definedName name="LevelA4471" comment="0" localSheetId="0" hidden="1">""</definedName>
    <definedName name="LevelA4471C0" comment="NA==" localSheetId="0" hidden="1">""</definedName>
    <definedName name="LevelA4472" comment="0" localSheetId="0" hidden="1">""</definedName>
    <definedName name="LevelA4472C0" comment="NA==" localSheetId="0" hidden="1">""</definedName>
    <definedName name="LevelA4473" comment="0" localSheetId="0" hidden="1">""</definedName>
    <definedName name="LevelA4473C0" comment="NA==" localSheetId="0" hidden="1">""</definedName>
    <definedName name="LevelA4474" comment="0" localSheetId="0" hidden="1">""</definedName>
    <definedName name="LevelA4474C0" comment="NA==" localSheetId="0" hidden="1">""</definedName>
    <definedName name="LevelA4475" comment="0" localSheetId="0" hidden="1">""</definedName>
    <definedName name="LevelA4475C0" comment="NA==" localSheetId="0" hidden="1">""</definedName>
    <definedName name="LevelA4476" comment="0" localSheetId="0" hidden="1">""</definedName>
    <definedName name="LevelA4476C0" comment="NA==" localSheetId="0" hidden="1">""</definedName>
    <definedName name="LevelA4477" comment="0" localSheetId="0" hidden="1">""</definedName>
    <definedName name="LevelA4477C0" comment="NA==" localSheetId="0" hidden="1">""</definedName>
    <definedName name="LevelA4478" comment="0" localSheetId="0" hidden="1">""</definedName>
    <definedName name="LevelA4478C0" comment="NA==" localSheetId="0" hidden="1">""</definedName>
    <definedName name="LevelA4479" comment="0" localSheetId="0" hidden="1">""</definedName>
    <definedName name="LevelA4479C0" comment="NA==" localSheetId="0" hidden="1">""</definedName>
    <definedName name="LevelA447C0" comment="NA==" localSheetId="0" hidden="1">""</definedName>
    <definedName name="LevelA448" comment="0" localSheetId="0" hidden="1">""</definedName>
    <definedName name="LevelA4480" comment="0" localSheetId="0" hidden="1">""</definedName>
    <definedName name="LevelA4480C0" comment="NA==" localSheetId="0" hidden="1">""</definedName>
    <definedName name="LevelA4481" comment="0" localSheetId="0" hidden="1">""</definedName>
    <definedName name="LevelA4481C0" comment="NA==" localSheetId="0" hidden="1">""</definedName>
    <definedName name="LevelA4482" comment="0" localSheetId="0" hidden="1">""</definedName>
    <definedName name="LevelA4482C0" comment="NA==" localSheetId="0" hidden="1">""</definedName>
    <definedName name="LevelA4483" comment="0" localSheetId="0" hidden="1">""</definedName>
    <definedName name="LevelA4483C0" comment="NA==" localSheetId="0" hidden="1">""</definedName>
    <definedName name="LevelA4484" comment="0" localSheetId="0" hidden="1">""</definedName>
    <definedName name="LevelA4484C0" comment="NA==" localSheetId="0" hidden="1">""</definedName>
    <definedName name="LevelA4485" comment="0" localSheetId="0" hidden="1">""</definedName>
    <definedName name="LevelA4485C0" comment="NA==" localSheetId="0" hidden="1">""</definedName>
    <definedName name="LevelA4486" comment="0" localSheetId="0" hidden="1">""</definedName>
    <definedName name="LevelA4486C0" comment="NA==" localSheetId="0" hidden="1">""</definedName>
    <definedName name="LevelA4487" comment="0" localSheetId="0" hidden="1">""</definedName>
    <definedName name="LevelA4487C0" comment="NA==" localSheetId="0" hidden="1">""</definedName>
    <definedName name="LevelA4488" comment="0" localSheetId="0" hidden="1">""</definedName>
    <definedName name="LevelA4488C0" comment="NA==" localSheetId="0" hidden="1">""</definedName>
    <definedName name="LevelA4489" comment="0" localSheetId="0" hidden="1">""</definedName>
    <definedName name="LevelA4489C0" comment="NA==" localSheetId="0" hidden="1">""</definedName>
    <definedName name="LevelA448C0" comment="NA==" localSheetId="0" hidden="1">""</definedName>
    <definedName name="LevelA449" comment="0" localSheetId="0" hidden="1">""</definedName>
    <definedName name="LevelA4490" comment="0" localSheetId="0" hidden="1">""</definedName>
    <definedName name="LevelA4490C0" comment="NA==" localSheetId="0" hidden="1">""</definedName>
    <definedName name="LevelA4491" comment="0" localSheetId="0" hidden="1">""</definedName>
    <definedName name="LevelA4491C0" comment="NA==" localSheetId="0" hidden="1">""</definedName>
    <definedName name="LevelA4492" comment="0" localSheetId="0" hidden="1">""</definedName>
    <definedName name="LevelA4492C0" comment="NA==" localSheetId="0" hidden="1">""</definedName>
    <definedName name="LevelA4493" comment="0" localSheetId="0" hidden="1">""</definedName>
    <definedName name="LevelA4493C0" comment="NA==" localSheetId="0" hidden="1">""</definedName>
    <definedName name="LevelA4494" comment="0" localSheetId="0" hidden="1">""</definedName>
    <definedName name="LevelA4494C0" comment="NA==" localSheetId="0" hidden="1">""</definedName>
    <definedName name="LevelA4495" comment="0" localSheetId="0" hidden="1">""</definedName>
    <definedName name="LevelA4495C0" comment="NA==" localSheetId="0" hidden="1">""</definedName>
    <definedName name="LevelA4496" comment="0" localSheetId="0" hidden="1">""</definedName>
    <definedName name="LevelA4496C0" comment="NA==" localSheetId="0" hidden="1">""</definedName>
    <definedName name="LevelA4497" comment="0" localSheetId="0" hidden="1">""</definedName>
    <definedName name="LevelA4497C0" comment="NA==" localSheetId="0" hidden="1">""</definedName>
    <definedName name="LevelA4498" comment="0" localSheetId="0" hidden="1">""</definedName>
    <definedName name="LevelA4498C0" comment="NA==" localSheetId="0" hidden="1">""</definedName>
    <definedName name="LevelA4499" comment="0" localSheetId="0" hidden="1">""</definedName>
    <definedName name="LevelA4499C0" comment="NA==" localSheetId="0" hidden="1">""</definedName>
    <definedName name="LevelA449C0" comment="NA==" localSheetId="0" hidden="1">""</definedName>
    <definedName name="LevelA44C0" comment="NA==" localSheetId="0" hidden="1">""</definedName>
    <definedName name="LevelA45" comment="0" localSheetId="0" hidden="1">""</definedName>
    <definedName name="LevelA450" comment="0" localSheetId="0" hidden="1">""</definedName>
    <definedName name="LevelA4500" comment="0" localSheetId="0" hidden="1">""</definedName>
    <definedName name="LevelA4500C0" comment="NA==" localSheetId="0" hidden="1">""</definedName>
    <definedName name="LevelA4501" comment="0" localSheetId="0" hidden="1">""</definedName>
    <definedName name="LevelA4501C0" comment="NA==" localSheetId="0" hidden="1">""</definedName>
    <definedName name="LevelA4502" comment="0" localSheetId="0" hidden="1">""</definedName>
    <definedName name="LevelA4502C0" comment="NA==" localSheetId="0" hidden="1">""</definedName>
    <definedName name="LevelA4503" comment="0" localSheetId="0" hidden="1">""</definedName>
    <definedName name="LevelA4503C0" comment="NA==" localSheetId="0" hidden="1">""</definedName>
    <definedName name="LevelA4504" comment="0" localSheetId="0" hidden="1">""</definedName>
    <definedName name="LevelA4504C0" comment="NA==" localSheetId="0" hidden="1">""</definedName>
    <definedName name="LevelA4505" comment="0" localSheetId="0" hidden="1">""</definedName>
    <definedName name="LevelA4505C0" comment="NA==" localSheetId="0" hidden="1">""</definedName>
    <definedName name="LevelA4506" comment="0" localSheetId="0" hidden="1">""</definedName>
    <definedName name="LevelA4506C0" comment="NA==" localSheetId="0" hidden="1">""</definedName>
    <definedName name="LevelA4507" comment="0" localSheetId="0" hidden="1">""</definedName>
    <definedName name="LevelA4507C0" comment="NA==" localSheetId="0" hidden="1">""</definedName>
    <definedName name="LevelA4508" comment="0" localSheetId="0" hidden="1">""</definedName>
    <definedName name="LevelA4508C0" comment="NA==" localSheetId="0" hidden="1">""</definedName>
    <definedName name="LevelA4509" comment="0" localSheetId="0" hidden="1">""</definedName>
    <definedName name="LevelA4509C0" comment="NA==" localSheetId="0" hidden="1">""</definedName>
    <definedName name="LevelA450C0" comment="NA==" localSheetId="0" hidden="1">""</definedName>
    <definedName name="LevelA451" comment="0" localSheetId="0" hidden="1">""</definedName>
    <definedName name="LevelA4510" comment="0" localSheetId="0" hidden="1">""</definedName>
    <definedName name="LevelA4510C0" comment="NA==" localSheetId="0" hidden="1">""</definedName>
    <definedName name="LevelA4511" comment="0" localSheetId="0" hidden="1">""</definedName>
    <definedName name="LevelA4511C0" comment="NA==" localSheetId="0" hidden="1">""</definedName>
    <definedName name="LevelA4512" comment="0" localSheetId="0" hidden="1">""</definedName>
    <definedName name="LevelA4512C0" comment="NA==" localSheetId="0" hidden="1">""</definedName>
    <definedName name="LevelA4513" comment="0" localSheetId="0" hidden="1">""</definedName>
    <definedName name="LevelA4513C0" comment="NA==" localSheetId="0" hidden="1">""</definedName>
    <definedName name="LevelA4514" comment="0" localSheetId="0" hidden="1">""</definedName>
    <definedName name="LevelA4514C0" comment="NA==" localSheetId="0" hidden="1">""</definedName>
    <definedName name="LevelA4515" comment="0" localSheetId="0" hidden="1">""</definedName>
    <definedName name="LevelA4515C0" comment="NA==" localSheetId="0" hidden="1">""</definedName>
    <definedName name="LevelA4516" comment="0" localSheetId="0" hidden="1">""</definedName>
    <definedName name="LevelA4516C0" comment="NA==" localSheetId="0" hidden="1">""</definedName>
    <definedName name="LevelA4517" comment="0" localSheetId="0" hidden="1">""</definedName>
    <definedName name="LevelA4517C0" comment="NA==" localSheetId="0" hidden="1">""</definedName>
    <definedName name="LevelA4518" comment="0" localSheetId="0" hidden="1">""</definedName>
    <definedName name="LevelA4518C0" comment="NA==" localSheetId="0" hidden="1">""</definedName>
    <definedName name="LevelA4519" comment="0" localSheetId="0" hidden="1">""</definedName>
    <definedName name="LevelA4519C0" comment="NA==" localSheetId="0" hidden="1">""</definedName>
    <definedName name="LevelA451C0" comment="NA==" localSheetId="0" hidden="1">""</definedName>
    <definedName name="LevelA452" comment="0" localSheetId="0" hidden="1">""</definedName>
    <definedName name="LevelA4520" comment="0" localSheetId="0" hidden="1">""</definedName>
    <definedName name="LevelA4520C0" comment="NA==" localSheetId="0" hidden="1">""</definedName>
    <definedName name="LevelA4521" comment="0" localSheetId="0" hidden="1">""</definedName>
    <definedName name="LevelA4521C0" comment="NA==" localSheetId="0" hidden="1">""</definedName>
    <definedName name="LevelA4522" comment="0" localSheetId="0" hidden="1">""</definedName>
    <definedName name="LevelA4522C0" comment="NA==" localSheetId="0" hidden="1">""</definedName>
    <definedName name="LevelA4523" comment="0" localSheetId="0" hidden="1">""</definedName>
    <definedName name="LevelA4523C0" comment="NA==" localSheetId="0" hidden="1">""</definedName>
    <definedName name="LevelA4524" comment="0" localSheetId="0" hidden="1">""</definedName>
    <definedName name="LevelA4524C0" comment="NA==" localSheetId="0" hidden="1">""</definedName>
    <definedName name="LevelA4525" comment="0" localSheetId="0" hidden="1">""</definedName>
    <definedName name="LevelA4525C0" comment="NA==" localSheetId="0" hidden="1">""</definedName>
    <definedName name="LevelA4526" comment="0" localSheetId="0" hidden="1">""</definedName>
    <definedName name="LevelA4526C0" comment="NA==" localSheetId="0" hidden="1">""</definedName>
    <definedName name="LevelA4527" comment="0" localSheetId="0" hidden="1">""</definedName>
    <definedName name="LevelA4527C0" comment="NA==" localSheetId="0" hidden="1">""</definedName>
    <definedName name="LevelA4528" comment="0" localSheetId="0" hidden="1">""</definedName>
    <definedName name="LevelA4528C0" comment="NA==" localSheetId="0" hidden="1">""</definedName>
    <definedName name="LevelA4529" comment="0" localSheetId="0" hidden="1">""</definedName>
    <definedName name="LevelA4529C0" comment="NA==" localSheetId="0" hidden="1">""</definedName>
    <definedName name="LevelA452C0" comment="NA==" localSheetId="0" hidden="1">""</definedName>
    <definedName name="LevelA453" comment="0" localSheetId="0" hidden="1">""</definedName>
    <definedName name="LevelA4530" comment="0" localSheetId="0" hidden="1">""</definedName>
    <definedName name="LevelA4530C0" comment="NA==" localSheetId="0" hidden="1">""</definedName>
    <definedName name="LevelA4531" comment="0" localSheetId="0" hidden="1">""</definedName>
    <definedName name="LevelA4531C0" comment="NA==" localSheetId="0" hidden="1">""</definedName>
    <definedName name="LevelA4532" comment="0" localSheetId="0" hidden="1">""</definedName>
    <definedName name="LevelA4532C0" comment="NA==" localSheetId="0" hidden="1">""</definedName>
    <definedName name="LevelA4533" comment="0" localSheetId="0" hidden="1">""</definedName>
    <definedName name="LevelA4533C0" comment="NA==" localSheetId="0" hidden="1">""</definedName>
    <definedName name="LevelA4534" comment="0" localSheetId="0" hidden="1">""</definedName>
    <definedName name="LevelA4534C0" comment="NA==" localSheetId="0" hidden="1">""</definedName>
    <definedName name="LevelA4535" comment="0" localSheetId="0" hidden="1">""</definedName>
    <definedName name="LevelA4535C0" comment="NA==" localSheetId="0" hidden="1">""</definedName>
    <definedName name="LevelA4536" comment="0" localSheetId="0" hidden="1">""</definedName>
    <definedName name="LevelA4536C0" comment="NA==" localSheetId="0" hidden="1">""</definedName>
    <definedName name="LevelA4537" comment="0" localSheetId="0" hidden="1">""</definedName>
    <definedName name="LevelA4537C0" comment="NA==" localSheetId="0" hidden="1">""</definedName>
    <definedName name="LevelA4538" comment="0" localSheetId="0" hidden="1">""</definedName>
    <definedName name="LevelA4538C0" comment="NA==" localSheetId="0" hidden="1">""</definedName>
    <definedName name="LevelA4539" comment="0" localSheetId="0" hidden="1">""</definedName>
    <definedName name="LevelA4539C0" comment="NA==" localSheetId="0" hidden="1">""</definedName>
    <definedName name="LevelA453C0" comment="NA==" localSheetId="0" hidden="1">""</definedName>
    <definedName name="LevelA454" comment="0" localSheetId="0" hidden="1">""</definedName>
    <definedName name="LevelA4540" comment="0" localSheetId="0" hidden="1">""</definedName>
    <definedName name="LevelA4540C0" comment="NA==" localSheetId="0" hidden="1">""</definedName>
    <definedName name="LevelA4541" comment="0" localSheetId="0" hidden="1">""</definedName>
    <definedName name="LevelA4541C0" comment="NA==" localSheetId="0" hidden="1">""</definedName>
    <definedName name="LevelA4542" comment="0" localSheetId="0" hidden="1">""</definedName>
    <definedName name="LevelA4542C0" comment="NA==" localSheetId="0" hidden="1">""</definedName>
    <definedName name="LevelA4543" comment="0" localSheetId="0" hidden="1">""</definedName>
    <definedName name="LevelA4543C0" comment="NA==" localSheetId="0" hidden="1">""</definedName>
    <definedName name="LevelA4544" comment="0" localSheetId="0" hidden="1">""</definedName>
    <definedName name="LevelA4544C0" comment="NA==" localSheetId="0" hidden="1">""</definedName>
    <definedName name="LevelA4545" comment="0" localSheetId="0" hidden="1">""</definedName>
    <definedName name="LevelA4545C0" comment="NA==" localSheetId="0" hidden="1">""</definedName>
    <definedName name="LevelA4546" comment="0" localSheetId="0" hidden="1">""</definedName>
    <definedName name="LevelA4546C0" comment="NA==" localSheetId="0" hidden="1">""</definedName>
    <definedName name="LevelA4547" comment="0" localSheetId="0" hidden="1">""</definedName>
    <definedName name="LevelA4547C0" comment="NA==" localSheetId="0" hidden="1">""</definedName>
    <definedName name="LevelA4548" comment="0" localSheetId="0" hidden="1">""</definedName>
    <definedName name="LevelA4548C0" comment="NA==" localSheetId="0" hidden="1">""</definedName>
    <definedName name="LevelA4549" comment="0" localSheetId="0" hidden="1">""</definedName>
    <definedName name="LevelA4549C0" comment="NA==" localSheetId="0" hidden="1">""</definedName>
    <definedName name="LevelA454C0" comment="NA==" localSheetId="0" hidden="1">""</definedName>
    <definedName name="LevelA455" comment="0" localSheetId="0" hidden="1">""</definedName>
    <definedName name="LevelA4550" comment="0" localSheetId="0" hidden="1">""</definedName>
    <definedName name="LevelA4550C0" comment="NA==" localSheetId="0" hidden="1">""</definedName>
    <definedName name="LevelA4551" comment="0" localSheetId="0" hidden="1">""</definedName>
    <definedName name="LevelA4551C0" comment="NA==" localSheetId="0" hidden="1">""</definedName>
    <definedName name="LevelA4552" comment="0" localSheetId="0" hidden="1">""</definedName>
    <definedName name="LevelA4552C0" comment="NA==" localSheetId="0" hidden="1">""</definedName>
    <definedName name="LevelA4553" comment="0" localSheetId="0" hidden="1">""</definedName>
    <definedName name="LevelA4553C0" comment="NA==" localSheetId="0" hidden="1">""</definedName>
    <definedName name="LevelA4554" comment="0" localSheetId="0" hidden="1">""</definedName>
    <definedName name="LevelA4554C0" comment="NA==" localSheetId="0" hidden="1">""</definedName>
    <definedName name="LevelA4555" comment="0" localSheetId="0" hidden="1">""</definedName>
    <definedName name="LevelA4555C0" comment="NA==" localSheetId="0" hidden="1">""</definedName>
    <definedName name="LevelA4556" comment="0" localSheetId="0" hidden="1">""</definedName>
    <definedName name="LevelA4556C0" comment="NA==" localSheetId="0" hidden="1">""</definedName>
    <definedName name="LevelA4557" comment="0" localSheetId="0" hidden="1">""</definedName>
    <definedName name="LevelA4557C0" comment="NA==" localSheetId="0" hidden="1">""</definedName>
    <definedName name="LevelA4558" comment="0" localSheetId="0" hidden="1">""</definedName>
    <definedName name="LevelA4558C0" comment="NA==" localSheetId="0" hidden="1">""</definedName>
    <definedName name="LevelA4559" comment="0" localSheetId="0" hidden="1">""</definedName>
    <definedName name="LevelA4559C0" comment="NA==" localSheetId="0" hidden="1">""</definedName>
    <definedName name="LevelA455C0" comment="NA==" localSheetId="0" hidden="1">""</definedName>
    <definedName name="LevelA456" comment="0" localSheetId="0" hidden="1">""</definedName>
    <definedName name="LevelA4560" comment="0" localSheetId="0" hidden="1">""</definedName>
    <definedName name="LevelA4560C0" comment="NA==" localSheetId="0" hidden="1">""</definedName>
    <definedName name="LevelA4561" comment="0" localSheetId="0" hidden="1">""</definedName>
    <definedName name="LevelA4561C0" comment="NA==" localSheetId="0" hidden="1">""</definedName>
    <definedName name="LevelA4562" comment="0" localSheetId="0" hidden="1">""</definedName>
    <definedName name="LevelA4562C0" comment="NA==" localSheetId="0" hidden="1">""</definedName>
    <definedName name="LevelA4563" comment="0" localSheetId="0" hidden="1">""</definedName>
    <definedName name="LevelA4563C0" comment="NA==" localSheetId="0" hidden="1">""</definedName>
    <definedName name="LevelA4564" comment="0" localSheetId="0" hidden="1">""</definedName>
    <definedName name="LevelA4564C0" comment="NA==" localSheetId="0" hidden="1">""</definedName>
    <definedName name="LevelA4565" comment="0" localSheetId="0" hidden="1">""</definedName>
    <definedName name="LevelA4565C0" comment="NA==" localSheetId="0" hidden="1">""</definedName>
    <definedName name="LevelA4566" comment="0" localSheetId="0" hidden="1">""</definedName>
    <definedName name="LevelA4566C0" comment="NA==" localSheetId="0" hidden="1">""</definedName>
    <definedName name="LevelA4567" comment="0" localSheetId="0" hidden="1">""</definedName>
    <definedName name="LevelA4567C0" comment="NA==" localSheetId="0" hidden="1">""</definedName>
    <definedName name="LevelA4568" comment="0" localSheetId="0" hidden="1">""</definedName>
    <definedName name="LevelA4568C0" comment="NA==" localSheetId="0" hidden="1">""</definedName>
    <definedName name="LevelA4569" comment="0" localSheetId="0" hidden="1">""</definedName>
    <definedName name="LevelA4569C0" comment="NA==" localSheetId="0" hidden="1">""</definedName>
    <definedName name="LevelA456C0" comment="NA==" localSheetId="0" hidden="1">""</definedName>
    <definedName name="LevelA457" comment="0" localSheetId="0" hidden="1">""</definedName>
    <definedName name="LevelA4570" comment="0" localSheetId="0" hidden="1">""</definedName>
    <definedName name="LevelA4570C0" comment="NA==" localSheetId="0" hidden="1">""</definedName>
    <definedName name="LevelA4571" comment="0" localSheetId="0" hidden="1">""</definedName>
    <definedName name="LevelA4571C0" comment="NA==" localSheetId="0" hidden="1">""</definedName>
    <definedName name="LevelA4572" comment="0" localSheetId="0" hidden="1">""</definedName>
    <definedName name="LevelA4572C0" comment="NA==" localSheetId="0" hidden="1">""</definedName>
    <definedName name="LevelA4573" comment="0" localSheetId="0" hidden="1">""</definedName>
    <definedName name="LevelA4573C0" comment="NA==" localSheetId="0" hidden="1">""</definedName>
    <definedName name="LevelA4574" comment="0" localSheetId="0" hidden="1">""</definedName>
    <definedName name="LevelA4574C0" comment="NA==" localSheetId="0" hidden="1">""</definedName>
    <definedName name="LevelA4575" comment="0" localSheetId="0" hidden="1">""</definedName>
    <definedName name="LevelA4575C0" comment="NA==" localSheetId="0" hidden="1">""</definedName>
    <definedName name="LevelA4576" comment="0" localSheetId="0" hidden="1">""</definedName>
    <definedName name="LevelA4576C0" comment="NA==" localSheetId="0" hidden="1">""</definedName>
    <definedName name="LevelA4577" comment="0" localSheetId="0" hidden="1">""</definedName>
    <definedName name="LevelA4577C0" comment="NA==" localSheetId="0" hidden="1">""</definedName>
    <definedName name="LevelA4578" comment="0" localSheetId="0" hidden="1">""</definedName>
    <definedName name="LevelA4578C0" comment="NA==" localSheetId="0" hidden="1">""</definedName>
    <definedName name="LevelA4579" comment="0" localSheetId="0" hidden="1">""</definedName>
    <definedName name="LevelA4579C0" comment="NA==" localSheetId="0" hidden="1">""</definedName>
    <definedName name="LevelA457C0" comment="NA==" localSheetId="0" hidden="1">""</definedName>
    <definedName name="LevelA458" comment="0" localSheetId="0" hidden="1">""</definedName>
    <definedName name="LevelA4580" comment="0" localSheetId="0" hidden="1">""</definedName>
    <definedName name="LevelA4580C0" comment="NA==" localSheetId="0" hidden="1">""</definedName>
    <definedName name="LevelA4581" comment="0" localSheetId="0" hidden="1">""</definedName>
    <definedName name="LevelA4581C0" comment="NA==" localSheetId="0" hidden="1">""</definedName>
    <definedName name="LevelA4582" comment="0" localSheetId="0" hidden="1">""</definedName>
    <definedName name="LevelA4582C0" comment="NA==" localSheetId="0" hidden="1">""</definedName>
    <definedName name="LevelA4583" comment="0" localSheetId="0" hidden="1">""</definedName>
    <definedName name="LevelA4583C0" comment="NA==" localSheetId="0" hidden="1">""</definedName>
    <definedName name="LevelA4584" comment="0" localSheetId="0" hidden="1">""</definedName>
    <definedName name="LevelA4584C0" comment="NA==" localSheetId="0" hidden="1">""</definedName>
    <definedName name="LevelA4585" comment="0" localSheetId="0" hidden="1">""</definedName>
    <definedName name="LevelA4585C0" comment="NA==" localSheetId="0" hidden="1">""</definedName>
    <definedName name="LevelA4586" comment="0" localSheetId="0" hidden="1">""</definedName>
    <definedName name="LevelA4586C0" comment="NA==" localSheetId="0" hidden="1">""</definedName>
    <definedName name="LevelA4587" comment="0" localSheetId="0" hidden="1">""</definedName>
    <definedName name="LevelA4587C0" comment="NA==" localSheetId="0" hidden="1">""</definedName>
    <definedName name="LevelA4588" comment="0" localSheetId="0" hidden="1">""</definedName>
    <definedName name="LevelA4588C0" comment="NA==" localSheetId="0" hidden="1">""</definedName>
    <definedName name="LevelA4589" comment="0" localSheetId="0" hidden="1">""</definedName>
    <definedName name="LevelA4589C0" comment="NA==" localSheetId="0" hidden="1">""</definedName>
    <definedName name="LevelA458C0" comment="NA==" localSheetId="0" hidden="1">""</definedName>
    <definedName name="LevelA459" comment="0" localSheetId="0" hidden="1">""</definedName>
    <definedName name="LevelA4590" comment="0" localSheetId="0" hidden="1">""</definedName>
    <definedName name="LevelA4590C0" comment="NA==" localSheetId="0" hidden="1">""</definedName>
    <definedName name="LevelA4591" comment="0" localSheetId="0" hidden="1">""</definedName>
    <definedName name="LevelA4591C0" comment="NA==" localSheetId="0" hidden="1">""</definedName>
    <definedName name="LevelA4592" comment="0" localSheetId="0" hidden="1">""</definedName>
    <definedName name="LevelA4592C0" comment="NA==" localSheetId="0" hidden="1">""</definedName>
    <definedName name="LevelA4593" comment="0" localSheetId="0" hidden="1">""</definedName>
    <definedName name="LevelA4593C0" comment="NA==" localSheetId="0" hidden="1">""</definedName>
    <definedName name="LevelA4594" comment="0" localSheetId="0" hidden="1">""</definedName>
    <definedName name="LevelA4594C0" comment="NA==" localSheetId="0" hidden="1">""</definedName>
    <definedName name="LevelA4595" comment="0" localSheetId="0" hidden="1">""</definedName>
    <definedName name="LevelA4595C0" comment="NA==" localSheetId="0" hidden="1">""</definedName>
    <definedName name="LevelA4596" comment="0" localSheetId="0" hidden="1">""</definedName>
    <definedName name="LevelA4596C0" comment="NA==" localSheetId="0" hidden="1">""</definedName>
    <definedName name="LevelA4597" comment="0" localSheetId="0" hidden="1">""</definedName>
    <definedName name="LevelA4597C0" comment="NA==" localSheetId="0" hidden="1">""</definedName>
    <definedName name="LevelA4598" comment="0" localSheetId="0" hidden="1">""</definedName>
    <definedName name="LevelA4598C0" comment="NA==" localSheetId="0" hidden="1">""</definedName>
    <definedName name="LevelA4599" comment="0" localSheetId="0" hidden="1">""</definedName>
    <definedName name="LevelA4599C0" comment="NA==" localSheetId="0" hidden="1">""</definedName>
    <definedName name="LevelA459C0" comment="NA==" localSheetId="0" hidden="1">""</definedName>
    <definedName name="LevelA45C0" comment="NA==" localSheetId="0" hidden="1">""</definedName>
    <definedName name="LevelA46" comment="0" localSheetId="0" hidden="1">""</definedName>
    <definedName name="LevelA460" comment="0" localSheetId="0" hidden="1">""</definedName>
    <definedName name="LevelA4600" comment="0" localSheetId="0" hidden="1">""</definedName>
    <definedName name="LevelA4600C0" comment="NA==" localSheetId="0" hidden="1">""</definedName>
    <definedName name="LevelA4601" comment="0" localSheetId="0" hidden="1">""</definedName>
    <definedName name="LevelA4601C0" comment="NA==" localSheetId="0" hidden="1">""</definedName>
    <definedName name="LevelA4602" comment="0" localSheetId="0" hidden="1">""</definedName>
    <definedName name="LevelA4602C0" comment="NA==" localSheetId="0" hidden="1">""</definedName>
    <definedName name="LevelA4603" comment="0" localSheetId="0" hidden="1">""</definedName>
    <definedName name="LevelA4603C0" comment="NA==" localSheetId="0" hidden="1">""</definedName>
    <definedName name="LevelA4604" comment="0" localSheetId="0" hidden="1">""</definedName>
    <definedName name="LevelA4604C0" comment="NA==" localSheetId="0" hidden="1">""</definedName>
    <definedName name="LevelA4605" comment="0" localSheetId="0" hidden="1">""</definedName>
    <definedName name="LevelA4605C0" comment="NA==" localSheetId="0" hidden="1">""</definedName>
    <definedName name="LevelA4606" comment="0" localSheetId="0" hidden="1">""</definedName>
    <definedName name="LevelA4606C0" comment="NA==" localSheetId="0" hidden="1">""</definedName>
    <definedName name="LevelA4607" comment="0" localSheetId="0" hidden="1">""</definedName>
    <definedName name="LevelA4607C0" comment="NA==" localSheetId="0" hidden="1">""</definedName>
    <definedName name="LevelA4608" comment="0" localSheetId="0" hidden="1">""</definedName>
    <definedName name="LevelA4608C0" comment="NA==" localSheetId="0" hidden="1">""</definedName>
    <definedName name="LevelA4609" comment="0" localSheetId="0" hidden="1">""</definedName>
    <definedName name="LevelA4609C0" comment="NA==" localSheetId="0" hidden="1">""</definedName>
    <definedName name="LevelA460C0" comment="NA==" localSheetId="0" hidden="1">""</definedName>
    <definedName name="LevelA461" comment="0" localSheetId="0" hidden="1">""</definedName>
    <definedName name="LevelA4610" comment="0" localSheetId="0" hidden="1">""</definedName>
    <definedName name="LevelA4610C0" comment="NA==" localSheetId="0" hidden="1">""</definedName>
    <definedName name="LevelA4611" comment="0" localSheetId="0" hidden="1">""</definedName>
    <definedName name="LevelA4611C0" comment="NA==" localSheetId="0" hidden="1">""</definedName>
    <definedName name="LevelA4612" comment="0" localSheetId="0" hidden="1">""</definedName>
    <definedName name="LevelA4612C0" comment="NA==" localSheetId="0" hidden="1">""</definedName>
    <definedName name="LevelA4613" comment="0" localSheetId="0" hidden="1">""</definedName>
    <definedName name="LevelA4613C0" comment="NA==" localSheetId="0" hidden="1">""</definedName>
    <definedName name="LevelA4614" comment="0" localSheetId="0" hidden="1">""</definedName>
    <definedName name="LevelA4614C0" comment="NA==" localSheetId="0" hidden="1">""</definedName>
    <definedName name="LevelA4615" comment="0" localSheetId="0" hidden="1">""</definedName>
    <definedName name="LevelA4615C0" comment="NA==" localSheetId="0" hidden="1">""</definedName>
    <definedName name="LevelA4616" comment="0" localSheetId="0" hidden="1">""</definedName>
    <definedName name="LevelA4616C0" comment="NA==" localSheetId="0" hidden="1">""</definedName>
    <definedName name="LevelA4617" comment="0" localSheetId="0" hidden="1">""</definedName>
    <definedName name="LevelA4617C0" comment="NA==" localSheetId="0" hidden="1">""</definedName>
    <definedName name="LevelA4618" comment="0" localSheetId="0" hidden="1">""</definedName>
    <definedName name="LevelA4618C0" comment="NA==" localSheetId="0" hidden="1">""</definedName>
    <definedName name="LevelA4619" comment="0" localSheetId="0" hidden="1">""</definedName>
    <definedName name="LevelA4619C0" comment="NA==" localSheetId="0" hidden="1">""</definedName>
    <definedName name="LevelA461C0" comment="NA==" localSheetId="0" hidden="1">""</definedName>
    <definedName name="LevelA462" comment="0" localSheetId="0" hidden="1">""</definedName>
    <definedName name="LevelA4620" comment="0" localSheetId="0" hidden="1">""</definedName>
    <definedName name="LevelA4620C0" comment="NA==" localSheetId="0" hidden="1">""</definedName>
    <definedName name="LevelA4621" comment="0" localSheetId="0" hidden="1">""</definedName>
    <definedName name="LevelA4621C0" comment="NA==" localSheetId="0" hidden="1">""</definedName>
    <definedName name="LevelA4622" comment="0" localSheetId="0" hidden="1">""</definedName>
    <definedName name="LevelA4622C0" comment="NA==" localSheetId="0" hidden="1">""</definedName>
    <definedName name="LevelA4623" comment="0" localSheetId="0" hidden="1">""</definedName>
    <definedName name="LevelA4623C0" comment="NA==" localSheetId="0" hidden="1">""</definedName>
    <definedName name="LevelA4624" comment="0" localSheetId="0" hidden="1">""</definedName>
    <definedName name="LevelA4624C0" comment="NA==" localSheetId="0" hidden="1">""</definedName>
    <definedName name="LevelA4625" comment="0" localSheetId="0" hidden="1">""</definedName>
    <definedName name="LevelA4625C0" comment="NA==" localSheetId="0" hidden="1">""</definedName>
    <definedName name="LevelA4626" comment="0" localSheetId="0" hidden="1">""</definedName>
    <definedName name="LevelA4626C0" comment="NA==" localSheetId="0" hidden="1">""</definedName>
    <definedName name="LevelA4627" comment="0" localSheetId="0" hidden="1">""</definedName>
    <definedName name="LevelA4627C0" comment="NA==" localSheetId="0" hidden="1">""</definedName>
    <definedName name="LevelA4628" comment="0" localSheetId="0" hidden="1">""</definedName>
    <definedName name="LevelA4628C0" comment="NA==" localSheetId="0" hidden="1">""</definedName>
    <definedName name="LevelA4629" comment="0" localSheetId="0" hidden="1">""</definedName>
    <definedName name="LevelA4629C0" comment="NA==" localSheetId="0" hidden="1">""</definedName>
    <definedName name="LevelA462C0" comment="NA==" localSheetId="0" hidden="1">""</definedName>
    <definedName name="LevelA463" comment="0" localSheetId="0" hidden="1">""</definedName>
    <definedName name="LevelA4630" comment="0" localSheetId="0" hidden="1">""</definedName>
    <definedName name="LevelA4630C0" comment="NA==" localSheetId="0" hidden="1">""</definedName>
    <definedName name="LevelA4631" comment="0" localSheetId="0" hidden="1">""</definedName>
    <definedName name="LevelA4631C0" comment="NA==" localSheetId="0" hidden="1">""</definedName>
    <definedName name="LevelA4632" comment="0" localSheetId="0" hidden="1">""</definedName>
    <definedName name="LevelA4632C0" comment="NA==" localSheetId="0" hidden="1">""</definedName>
    <definedName name="LevelA4633" comment="0" localSheetId="0" hidden="1">""</definedName>
    <definedName name="LevelA4633C0" comment="NA==" localSheetId="0" hidden="1">""</definedName>
    <definedName name="LevelA4634" comment="0" localSheetId="0" hidden="1">""</definedName>
    <definedName name="LevelA4634C0" comment="NA==" localSheetId="0" hidden="1">""</definedName>
    <definedName name="LevelA4635" comment="0" localSheetId="0" hidden="1">""</definedName>
    <definedName name="LevelA4635C0" comment="NA==" localSheetId="0" hidden="1">""</definedName>
    <definedName name="LevelA4636" comment="0" localSheetId="0" hidden="1">""</definedName>
    <definedName name="LevelA4636C0" comment="NA==" localSheetId="0" hidden="1">""</definedName>
    <definedName name="LevelA4637" comment="0" localSheetId="0" hidden="1">""</definedName>
    <definedName name="LevelA4637C0" comment="NA==" localSheetId="0" hidden="1">""</definedName>
    <definedName name="LevelA4638" comment="0" localSheetId="0" hidden="1">""</definedName>
    <definedName name="LevelA4638C0" comment="NA==" localSheetId="0" hidden="1">""</definedName>
    <definedName name="LevelA4639" comment="0" localSheetId="0" hidden="1">""</definedName>
    <definedName name="LevelA4639C0" comment="NA==" localSheetId="0" hidden="1">""</definedName>
    <definedName name="LevelA463C0" comment="NA==" localSheetId="0" hidden="1">""</definedName>
    <definedName name="LevelA464" comment="0" localSheetId="0" hidden="1">""</definedName>
    <definedName name="LevelA4640" comment="0" localSheetId="0" hidden="1">""</definedName>
    <definedName name="LevelA4640C0" comment="NA==" localSheetId="0" hidden="1">""</definedName>
    <definedName name="LevelA4641" comment="0" localSheetId="0" hidden="1">""</definedName>
    <definedName name="LevelA4641C0" comment="NA==" localSheetId="0" hidden="1">""</definedName>
    <definedName name="LevelA4642" comment="0" localSheetId="0" hidden="1">""</definedName>
    <definedName name="LevelA4642C0" comment="NA==" localSheetId="0" hidden="1">""</definedName>
    <definedName name="LevelA4643" comment="0" localSheetId="0" hidden="1">""</definedName>
    <definedName name="LevelA4643C0" comment="NA==" localSheetId="0" hidden="1">""</definedName>
    <definedName name="LevelA4644" comment="0" localSheetId="0" hidden="1">""</definedName>
    <definedName name="LevelA4644C0" comment="NA==" localSheetId="0" hidden="1">""</definedName>
    <definedName name="LevelA4645" comment="0" localSheetId="0" hidden="1">""</definedName>
    <definedName name="LevelA4645C0" comment="NA==" localSheetId="0" hidden="1">""</definedName>
    <definedName name="LevelA4646" comment="0" localSheetId="0" hidden="1">""</definedName>
    <definedName name="LevelA4646C0" comment="NA==" localSheetId="0" hidden="1">""</definedName>
    <definedName name="LevelA4647" comment="0" localSheetId="0" hidden="1">""</definedName>
    <definedName name="LevelA4647C0" comment="NA==" localSheetId="0" hidden="1">""</definedName>
    <definedName name="LevelA4648" comment="0" localSheetId="0" hidden="1">""</definedName>
    <definedName name="LevelA4648C0" comment="NA==" localSheetId="0" hidden="1">""</definedName>
    <definedName name="LevelA4649" comment="0" localSheetId="0" hidden="1">""</definedName>
    <definedName name="LevelA4649C0" comment="NA==" localSheetId="0" hidden="1">""</definedName>
    <definedName name="LevelA464C0" comment="NA==" localSheetId="0" hidden="1">""</definedName>
    <definedName name="LevelA465" comment="0" localSheetId="0" hidden="1">""</definedName>
    <definedName name="LevelA4650" comment="0" localSheetId="0" hidden="1">""</definedName>
    <definedName name="LevelA4650C0" comment="NA==" localSheetId="0" hidden="1">""</definedName>
    <definedName name="LevelA4651" comment="0" localSheetId="0" hidden="1">""</definedName>
    <definedName name="LevelA4651C0" comment="NA==" localSheetId="0" hidden="1">""</definedName>
    <definedName name="LevelA4652" comment="0" localSheetId="0" hidden="1">""</definedName>
    <definedName name="LevelA4652C0" comment="NA==" localSheetId="0" hidden="1">""</definedName>
    <definedName name="LevelA4653" comment="0" localSheetId="0" hidden="1">""</definedName>
    <definedName name="LevelA4653C0" comment="NA==" localSheetId="0" hidden="1">""</definedName>
    <definedName name="LevelA4654" comment="0" localSheetId="0" hidden="1">""</definedName>
    <definedName name="LevelA4654C0" comment="NA==" localSheetId="0" hidden="1">""</definedName>
    <definedName name="LevelA4655" comment="0" localSheetId="0" hidden="1">""</definedName>
    <definedName name="LevelA4655C0" comment="NA==" localSheetId="0" hidden="1">""</definedName>
    <definedName name="LevelA4656" comment="0" localSheetId="0" hidden="1">""</definedName>
    <definedName name="LevelA4656C0" comment="NA==" localSheetId="0" hidden="1">""</definedName>
    <definedName name="LevelA4657" comment="0" localSheetId="0" hidden="1">""</definedName>
    <definedName name="LevelA4657C0" comment="NA==" localSheetId="0" hidden="1">""</definedName>
    <definedName name="LevelA4658" comment="0" localSheetId="0" hidden="1">""</definedName>
    <definedName name="LevelA4658C0" comment="NA==" localSheetId="0" hidden="1">""</definedName>
    <definedName name="LevelA4659" comment="0" localSheetId="0" hidden="1">""</definedName>
    <definedName name="LevelA4659C0" comment="NA==" localSheetId="0" hidden="1">""</definedName>
    <definedName name="LevelA465C0" comment="NA==" localSheetId="0" hidden="1">""</definedName>
    <definedName name="LevelA466" comment="0" localSheetId="0" hidden="1">""</definedName>
    <definedName name="LevelA4660" comment="0" localSheetId="0" hidden="1">""</definedName>
    <definedName name="LevelA4660C0" comment="NA==" localSheetId="0" hidden="1">""</definedName>
    <definedName name="LevelA4661" comment="0" localSheetId="0" hidden="1">""</definedName>
    <definedName name="LevelA4661C0" comment="NA==" localSheetId="0" hidden="1">""</definedName>
    <definedName name="LevelA4662" comment="0" localSheetId="0" hidden="1">""</definedName>
    <definedName name="LevelA4662C0" comment="NA==" localSheetId="0" hidden="1">""</definedName>
    <definedName name="LevelA4663" comment="0" localSheetId="0" hidden="1">""</definedName>
    <definedName name="LevelA4663C0" comment="NA==" localSheetId="0" hidden="1">""</definedName>
    <definedName name="LevelA4664" comment="0" localSheetId="0" hidden="1">""</definedName>
    <definedName name="LevelA4664C0" comment="NA==" localSheetId="0" hidden="1">""</definedName>
    <definedName name="LevelA4665" comment="0" localSheetId="0" hidden="1">""</definedName>
    <definedName name="LevelA4665C0" comment="NA==" localSheetId="0" hidden="1">""</definedName>
    <definedName name="LevelA4666" comment="0" localSheetId="0" hidden="1">""</definedName>
    <definedName name="LevelA4666C0" comment="NA==" localSheetId="0" hidden="1">""</definedName>
    <definedName name="LevelA4667" comment="0" localSheetId="0" hidden="1">""</definedName>
    <definedName name="LevelA4667C0" comment="NA==" localSheetId="0" hidden="1">""</definedName>
    <definedName name="LevelA4668" comment="0" localSheetId="0" hidden="1">""</definedName>
    <definedName name="LevelA4668C0" comment="NA==" localSheetId="0" hidden="1">""</definedName>
    <definedName name="LevelA4669" comment="0" localSheetId="0" hidden="1">""</definedName>
    <definedName name="LevelA4669C0" comment="NA==" localSheetId="0" hidden="1">""</definedName>
    <definedName name="LevelA466C0" comment="NA==" localSheetId="0" hidden="1">""</definedName>
    <definedName name="LevelA467" comment="0" localSheetId="0" hidden="1">""</definedName>
    <definedName name="LevelA4670" comment="0" localSheetId="0" hidden="1">""</definedName>
    <definedName name="LevelA4670C0" comment="NA==" localSheetId="0" hidden="1">""</definedName>
    <definedName name="LevelA4671" comment="0" localSheetId="0" hidden="1">""</definedName>
    <definedName name="LevelA4671C0" comment="NA==" localSheetId="0" hidden="1">""</definedName>
    <definedName name="LevelA4672" comment="0" localSheetId="0" hidden="1">""</definedName>
    <definedName name="LevelA4672C0" comment="NA==" localSheetId="0" hidden="1">""</definedName>
    <definedName name="LevelA4673" comment="0" localSheetId="0" hidden="1">""</definedName>
    <definedName name="LevelA4673C0" comment="NA==" localSheetId="0" hidden="1">""</definedName>
    <definedName name="LevelA4674" comment="0" localSheetId="0" hidden="1">""</definedName>
    <definedName name="LevelA4674C0" comment="NA==" localSheetId="0" hidden="1">""</definedName>
    <definedName name="LevelA4675" comment="0" localSheetId="0" hidden="1">""</definedName>
    <definedName name="LevelA4675C0" comment="NA==" localSheetId="0" hidden="1">""</definedName>
    <definedName name="LevelA4676" comment="0" localSheetId="0" hidden="1">""</definedName>
    <definedName name="LevelA4676C0" comment="NA==" localSheetId="0" hidden="1">""</definedName>
    <definedName name="LevelA4677" comment="0" localSheetId="0" hidden="1">""</definedName>
    <definedName name="LevelA4677C0" comment="NA==" localSheetId="0" hidden="1">""</definedName>
    <definedName name="LevelA4678" comment="0" localSheetId="0" hidden="1">""</definedName>
    <definedName name="LevelA4678C0" comment="NA==" localSheetId="0" hidden="1">""</definedName>
    <definedName name="LevelA4679" comment="0" localSheetId="0" hidden="1">""</definedName>
    <definedName name="LevelA4679C0" comment="NA==" localSheetId="0" hidden="1">""</definedName>
    <definedName name="LevelA467C0" comment="NA==" localSheetId="0" hidden="1">""</definedName>
    <definedName name="LevelA468" comment="0" localSheetId="0" hidden="1">""</definedName>
    <definedName name="LevelA4680" comment="0" localSheetId="0" hidden="1">""</definedName>
    <definedName name="LevelA4680C0" comment="NA==" localSheetId="0" hidden="1">""</definedName>
    <definedName name="LevelA4681" comment="0" localSheetId="0" hidden="1">""</definedName>
    <definedName name="LevelA4681C0" comment="NA==" localSheetId="0" hidden="1">""</definedName>
    <definedName name="LevelA4682" comment="0" localSheetId="0" hidden="1">""</definedName>
    <definedName name="LevelA4682C0" comment="NA==" localSheetId="0" hidden="1">""</definedName>
    <definedName name="LevelA4683" comment="0" localSheetId="0" hidden="1">""</definedName>
    <definedName name="LevelA4683C0" comment="NA==" localSheetId="0" hidden="1">""</definedName>
    <definedName name="LevelA4684" comment="0" localSheetId="0" hidden="1">""</definedName>
    <definedName name="LevelA4684C0" comment="NA==" localSheetId="0" hidden="1">""</definedName>
    <definedName name="LevelA4685" comment="0" localSheetId="0" hidden="1">""</definedName>
    <definedName name="LevelA4685C0" comment="NA==" localSheetId="0" hidden="1">""</definedName>
    <definedName name="LevelA4686" comment="0" localSheetId="0" hidden="1">""</definedName>
    <definedName name="LevelA4686C0" comment="NA==" localSheetId="0" hidden="1">""</definedName>
    <definedName name="LevelA4687" comment="0" localSheetId="0" hidden="1">""</definedName>
    <definedName name="LevelA4687C0" comment="NA==" localSheetId="0" hidden="1">""</definedName>
    <definedName name="LevelA4688" comment="0" localSheetId="0" hidden="1">""</definedName>
    <definedName name="LevelA4688C0" comment="NA==" localSheetId="0" hidden="1">""</definedName>
    <definedName name="LevelA4689" comment="0" localSheetId="0" hidden="1">""</definedName>
    <definedName name="LevelA4689C0" comment="NA==" localSheetId="0" hidden="1">""</definedName>
    <definedName name="LevelA468C0" comment="NA==" localSheetId="0" hidden="1">""</definedName>
    <definedName name="LevelA469" comment="0" localSheetId="0" hidden="1">""</definedName>
    <definedName name="LevelA4690" comment="0" localSheetId="0" hidden="1">""</definedName>
    <definedName name="LevelA4690C0" comment="NA==" localSheetId="0" hidden="1">""</definedName>
    <definedName name="LevelA4691" comment="0" localSheetId="0" hidden="1">""</definedName>
    <definedName name="LevelA4691C0" comment="NA==" localSheetId="0" hidden="1">""</definedName>
    <definedName name="LevelA4692" comment="0" localSheetId="0" hidden="1">""</definedName>
    <definedName name="LevelA4692C0" comment="NA==" localSheetId="0" hidden="1">""</definedName>
    <definedName name="LevelA4693" comment="0" localSheetId="0" hidden="1">""</definedName>
    <definedName name="LevelA4693C0" comment="NA==" localSheetId="0" hidden="1">""</definedName>
    <definedName name="LevelA4694" comment="0" localSheetId="0" hidden="1">""</definedName>
    <definedName name="LevelA4694C0" comment="NA==" localSheetId="0" hidden="1">""</definedName>
    <definedName name="LevelA4695" comment="0" localSheetId="0" hidden="1">""</definedName>
    <definedName name="LevelA4695C0" comment="NA==" localSheetId="0" hidden="1">""</definedName>
    <definedName name="LevelA4696" comment="0" localSheetId="0" hidden="1">""</definedName>
    <definedName name="LevelA4696C0" comment="NA==" localSheetId="0" hidden="1">""</definedName>
    <definedName name="LevelA4697" comment="0" localSheetId="0" hidden="1">""</definedName>
    <definedName name="LevelA4697C0" comment="NA==" localSheetId="0" hidden="1">""</definedName>
    <definedName name="LevelA4698" comment="0" localSheetId="0" hidden="1">""</definedName>
    <definedName name="LevelA4698C0" comment="NA==" localSheetId="0" hidden="1">""</definedName>
    <definedName name="LevelA4699" comment="0" localSheetId="0" hidden="1">""</definedName>
    <definedName name="LevelA4699C0" comment="NA==" localSheetId="0" hidden="1">""</definedName>
    <definedName name="LevelA469C0" comment="NA==" localSheetId="0" hidden="1">""</definedName>
    <definedName name="LevelA46C0" comment="NA==" localSheetId="0" hidden="1">""</definedName>
    <definedName name="LevelA47" comment="0" localSheetId="0" hidden="1">""</definedName>
    <definedName name="LevelA470" comment="0" localSheetId="0" hidden="1">""</definedName>
    <definedName name="LevelA4700" comment="0" localSheetId="0" hidden="1">""</definedName>
    <definedName name="LevelA4700C0" comment="NA==" localSheetId="0" hidden="1">""</definedName>
    <definedName name="LevelA4701" comment="0" localSheetId="0" hidden="1">""</definedName>
    <definedName name="LevelA4701C0" comment="NA==" localSheetId="0" hidden="1">""</definedName>
    <definedName name="LevelA4702" comment="0" localSheetId="0" hidden="1">""</definedName>
    <definedName name="LevelA4702C0" comment="NA==" localSheetId="0" hidden="1">""</definedName>
    <definedName name="LevelA4703" comment="0" localSheetId="0" hidden="1">""</definedName>
    <definedName name="LevelA4703C0" comment="NA==" localSheetId="0" hidden="1">""</definedName>
    <definedName name="LevelA4704" comment="0" localSheetId="0" hidden="1">""</definedName>
    <definedName name="LevelA4704C0" comment="NA==" localSheetId="0" hidden="1">""</definedName>
    <definedName name="LevelA4705" comment="0" localSheetId="0" hidden="1">""</definedName>
    <definedName name="LevelA4705C0" comment="NA==" localSheetId="0" hidden="1">""</definedName>
    <definedName name="LevelA4706" comment="0" localSheetId="0" hidden="1">""</definedName>
    <definedName name="LevelA4706C0" comment="NA==" localSheetId="0" hidden="1">""</definedName>
    <definedName name="LevelA4707" comment="0" localSheetId="0" hidden="1">""</definedName>
    <definedName name="LevelA4707C0" comment="NA==" localSheetId="0" hidden="1">""</definedName>
    <definedName name="LevelA4708" comment="0" localSheetId="0" hidden="1">""</definedName>
    <definedName name="LevelA4708C0" comment="NA==" localSheetId="0" hidden="1">""</definedName>
    <definedName name="LevelA4709" comment="0" localSheetId="0" hidden="1">""</definedName>
    <definedName name="LevelA4709C0" comment="NA==" localSheetId="0" hidden="1">""</definedName>
    <definedName name="LevelA470C0" comment="NA==" localSheetId="0" hidden="1">""</definedName>
    <definedName name="LevelA471" comment="0" localSheetId="0" hidden="1">""</definedName>
    <definedName name="LevelA4710" comment="0" localSheetId="0" hidden="1">""</definedName>
    <definedName name="LevelA4710C0" comment="NA==" localSheetId="0" hidden="1">""</definedName>
    <definedName name="LevelA4711" comment="0" localSheetId="0" hidden="1">""</definedName>
    <definedName name="LevelA4711C0" comment="NA==" localSheetId="0" hidden="1">""</definedName>
    <definedName name="LevelA4712" comment="0" localSheetId="0" hidden="1">""</definedName>
    <definedName name="LevelA4712C0" comment="NA==" localSheetId="0" hidden="1">""</definedName>
    <definedName name="LevelA4713" comment="0" localSheetId="0" hidden="1">""</definedName>
    <definedName name="LevelA4713C0" comment="NA==" localSheetId="0" hidden="1">""</definedName>
    <definedName name="LevelA4714" comment="0" localSheetId="0" hidden="1">""</definedName>
    <definedName name="LevelA4714C0" comment="NA==" localSheetId="0" hidden="1">""</definedName>
    <definedName name="LevelA4715" comment="0" localSheetId="0" hidden="1">""</definedName>
    <definedName name="LevelA4715C0" comment="NA==" localSheetId="0" hidden="1">""</definedName>
    <definedName name="LevelA4716" comment="0" localSheetId="0" hidden="1">""</definedName>
    <definedName name="LevelA4716C0" comment="NA==" localSheetId="0" hidden="1">""</definedName>
    <definedName name="LevelA4717" comment="0" localSheetId="0" hidden="1">""</definedName>
    <definedName name="LevelA4717C0" comment="NA==" localSheetId="0" hidden="1">""</definedName>
    <definedName name="LevelA4718" comment="0" localSheetId="0" hidden="1">""</definedName>
    <definedName name="LevelA4718C0" comment="NA==" localSheetId="0" hidden="1">""</definedName>
    <definedName name="LevelA4719" comment="0" localSheetId="0" hidden="1">""</definedName>
    <definedName name="LevelA4719C0" comment="NA==" localSheetId="0" hidden="1">""</definedName>
    <definedName name="LevelA471C0" comment="NA==" localSheetId="0" hidden="1">""</definedName>
    <definedName name="LevelA472" comment="0" localSheetId="0" hidden="1">""</definedName>
    <definedName name="LevelA4720" comment="0" localSheetId="0" hidden="1">""</definedName>
    <definedName name="LevelA4720C0" comment="NA==" localSheetId="0" hidden="1">""</definedName>
    <definedName name="LevelA4721" comment="0" localSheetId="0" hidden="1">""</definedName>
    <definedName name="LevelA4721C0" comment="NA==" localSheetId="0" hidden="1">""</definedName>
    <definedName name="LevelA4722" comment="0" localSheetId="0" hidden="1">""</definedName>
    <definedName name="LevelA4722C0" comment="NA==" localSheetId="0" hidden="1">""</definedName>
    <definedName name="LevelA4723" comment="0" localSheetId="0" hidden="1">""</definedName>
    <definedName name="LevelA4723C0" comment="NA==" localSheetId="0" hidden="1">""</definedName>
    <definedName name="LevelA4724" comment="0" localSheetId="0" hidden="1">""</definedName>
    <definedName name="LevelA4724C0" comment="NA==" localSheetId="0" hidden="1">""</definedName>
    <definedName name="LevelA4725" comment="0" localSheetId="0" hidden="1">""</definedName>
    <definedName name="LevelA4725C0" comment="NA==" localSheetId="0" hidden="1">""</definedName>
    <definedName name="LevelA4726" comment="0" localSheetId="0" hidden="1">""</definedName>
    <definedName name="LevelA4726C0" comment="NA==" localSheetId="0" hidden="1">""</definedName>
    <definedName name="LevelA4727" comment="0" localSheetId="0" hidden="1">""</definedName>
    <definedName name="LevelA4727C0" comment="NA==" localSheetId="0" hidden="1">""</definedName>
    <definedName name="LevelA4728" comment="0" localSheetId="0" hidden="1">""</definedName>
    <definedName name="LevelA4728C0" comment="NA==" localSheetId="0" hidden="1">""</definedName>
    <definedName name="LevelA4729" comment="0" localSheetId="0" hidden="1">""</definedName>
    <definedName name="LevelA4729C0" comment="NA==" localSheetId="0" hidden="1">""</definedName>
    <definedName name="LevelA472C0" comment="NA==" localSheetId="0" hidden="1">""</definedName>
    <definedName name="LevelA473" comment="0" localSheetId="0" hidden="1">""</definedName>
    <definedName name="LevelA4730" comment="0" localSheetId="0" hidden="1">""</definedName>
    <definedName name="LevelA4730C0" comment="NA==" localSheetId="0" hidden="1">""</definedName>
    <definedName name="LevelA4731" comment="0" localSheetId="0" hidden="1">""</definedName>
    <definedName name="LevelA4731C0" comment="NA==" localSheetId="0" hidden="1">""</definedName>
    <definedName name="LevelA4732" comment="0" localSheetId="0" hidden="1">""</definedName>
    <definedName name="LevelA4732C0" comment="NA==" localSheetId="0" hidden="1">""</definedName>
    <definedName name="LevelA4733" comment="0" localSheetId="0" hidden="1">""</definedName>
    <definedName name="LevelA4733C0" comment="NA==" localSheetId="0" hidden="1">""</definedName>
    <definedName name="LevelA4734" comment="0" localSheetId="0" hidden="1">""</definedName>
    <definedName name="LevelA4734C0" comment="NA==" localSheetId="0" hidden="1">""</definedName>
    <definedName name="LevelA4735" comment="0" localSheetId="0" hidden="1">""</definedName>
    <definedName name="LevelA4735C0" comment="NA==" localSheetId="0" hidden="1">""</definedName>
    <definedName name="LevelA4736" comment="0" localSheetId="0" hidden="1">""</definedName>
    <definedName name="LevelA4736C0" comment="NA==" localSheetId="0" hidden="1">""</definedName>
    <definedName name="LevelA4737" comment="0" localSheetId="0" hidden="1">""</definedName>
    <definedName name="LevelA4737C0" comment="NA==" localSheetId="0" hidden="1">""</definedName>
    <definedName name="LevelA4738" comment="0" localSheetId="0" hidden="1">""</definedName>
    <definedName name="LevelA4738C0" comment="NA==" localSheetId="0" hidden="1">""</definedName>
    <definedName name="LevelA4739" comment="0" localSheetId="0" hidden="1">""</definedName>
    <definedName name="LevelA4739C0" comment="NA==" localSheetId="0" hidden="1">""</definedName>
    <definedName name="LevelA473C0" comment="NA==" localSheetId="0" hidden="1">""</definedName>
    <definedName name="LevelA474" comment="0" localSheetId="0" hidden="1">""</definedName>
    <definedName name="LevelA4740" comment="0" localSheetId="0" hidden="1">""</definedName>
    <definedName name="LevelA4740C0" comment="NA==" localSheetId="0" hidden="1">""</definedName>
    <definedName name="LevelA4741" comment="0" localSheetId="0" hidden="1">""</definedName>
    <definedName name="LevelA4741C0" comment="NA==" localSheetId="0" hidden="1">""</definedName>
    <definedName name="LevelA4742" comment="0" localSheetId="0" hidden="1">""</definedName>
    <definedName name="LevelA4742C0" comment="NA==" localSheetId="0" hidden="1">""</definedName>
    <definedName name="LevelA4743" comment="0" localSheetId="0" hidden="1">""</definedName>
    <definedName name="LevelA4743C0" comment="NA==" localSheetId="0" hidden="1">""</definedName>
    <definedName name="LevelA4744" comment="0" localSheetId="0" hidden="1">""</definedName>
    <definedName name="LevelA4744C0" comment="NA==" localSheetId="0" hidden="1">""</definedName>
    <definedName name="LevelA4745" comment="0" localSheetId="0" hidden="1">""</definedName>
    <definedName name="LevelA4745C0" comment="NA==" localSheetId="0" hidden="1">""</definedName>
    <definedName name="LevelA4746" comment="0" localSheetId="0" hidden="1">""</definedName>
    <definedName name="LevelA4746C0" comment="NA==" localSheetId="0" hidden="1">""</definedName>
    <definedName name="LevelA4747" comment="0" localSheetId="0" hidden="1">""</definedName>
    <definedName name="LevelA4747C0" comment="NA==" localSheetId="0" hidden="1">""</definedName>
    <definedName name="LevelA4748" comment="0" localSheetId="0" hidden="1">""</definedName>
    <definedName name="LevelA4748C0" comment="NA==" localSheetId="0" hidden="1">""</definedName>
    <definedName name="LevelA4749" comment="0" localSheetId="0" hidden="1">""</definedName>
    <definedName name="LevelA4749C0" comment="NA==" localSheetId="0" hidden="1">""</definedName>
    <definedName name="LevelA474C0" comment="NA==" localSheetId="0" hidden="1">""</definedName>
    <definedName name="LevelA475" comment="0" localSheetId="0" hidden="1">""</definedName>
    <definedName name="LevelA4750" comment="0" localSheetId="0" hidden="1">""</definedName>
    <definedName name="LevelA4750C0" comment="NA==" localSheetId="0" hidden="1">""</definedName>
    <definedName name="LevelA4751" comment="0" localSheetId="0" hidden="1">""</definedName>
    <definedName name="LevelA4751C0" comment="NA==" localSheetId="0" hidden="1">""</definedName>
    <definedName name="LevelA4752" comment="0" localSheetId="0" hidden="1">""</definedName>
    <definedName name="LevelA4752C0" comment="NA==" localSheetId="0" hidden="1">""</definedName>
    <definedName name="LevelA4753" comment="0" localSheetId="0" hidden="1">""</definedName>
    <definedName name="LevelA4753C0" comment="NA==" localSheetId="0" hidden="1">""</definedName>
    <definedName name="LevelA4754" comment="0" localSheetId="0" hidden="1">""</definedName>
    <definedName name="LevelA4754C0" comment="NA==" localSheetId="0" hidden="1">""</definedName>
    <definedName name="LevelA4755" comment="0" localSheetId="0" hidden="1">""</definedName>
    <definedName name="LevelA4755C0" comment="NA==" localSheetId="0" hidden="1">""</definedName>
    <definedName name="LevelA4756" comment="0" localSheetId="0" hidden="1">""</definedName>
    <definedName name="LevelA4756C0" comment="NA==" localSheetId="0" hidden="1">""</definedName>
    <definedName name="LevelA4757" comment="0" localSheetId="0" hidden="1">""</definedName>
    <definedName name="LevelA4757C0" comment="NA==" localSheetId="0" hidden="1">""</definedName>
    <definedName name="LevelA4758" comment="0" localSheetId="0" hidden="1">""</definedName>
    <definedName name="LevelA4758C0" comment="NA==" localSheetId="0" hidden="1">""</definedName>
    <definedName name="LevelA4759" comment="0" localSheetId="0" hidden="1">""</definedName>
    <definedName name="LevelA4759C0" comment="NA==" localSheetId="0" hidden="1">""</definedName>
    <definedName name="LevelA475C0" comment="NA==" localSheetId="0" hidden="1">""</definedName>
    <definedName name="LevelA476" comment="0" localSheetId="0" hidden="1">""</definedName>
    <definedName name="LevelA4760" comment="0" localSheetId="0" hidden="1">""</definedName>
    <definedName name="LevelA4760C0" comment="NA==" localSheetId="0" hidden="1">""</definedName>
    <definedName name="LevelA4761" comment="0" localSheetId="0" hidden="1">""</definedName>
    <definedName name="LevelA4761C0" comment="NA==" localSheetId="0" hidden="1">""</definedName>
    <definedName name="LevelA4762" comment="0" localSheetId="0" hidden="1">""</definedName>
    <definedName name="LevelA4762C0" comment="NA==" localSheetId="0" hidden="1">""</definedName>
    <definedName name="LevelA4763" comment="0" localSheetId="0" hidden="1">""</definedName>
    <definedName name="LevelA4763C0" comment="NA==" localSheetId="0" hidden="1">""</definedName>
    <definedName name="LevelA4764" comment="0" localSheetId="0" hidden="1">""</definedName>
    <definedName name="LevelA4764C0" comment="NA==" localSheetId="0" hidden="1">""</definedName>
    <definedName name="LevelA4765" comment="0" localSheetId="0" hidden="1">""</definedName>
    <definedName name="LevelA4765C0" comment="NA==" localSheetId="0" hidden="1">""</definedName>
    <definedName name="LevelA4766" comment="0" localSheetId="0" hidden="1">""</definedName>
    <definedName name="LevelA4766C0" comment="NA==" localSheetId="0" hidden="1">""</definedName>
    <definedName name="LevelA4767" comment="0" localSheetId="0" hidden="1">""</definedName>
    <definedName name="LevelA4767C0" comment="NA==" localSheetId="0" hidden="1">""</definedName>
    <definedName name="LevelA4768" comment="0" localSheetId="0" hidden="1">""</definedName>
    <definedName name="LevelA4768C0" comment="NA==" localSheetId="0" hidden="1">""</definedName>
    <definedName name="LevelA4769" comment="0" localSheetId="0" hidden="1">""</definedName>
    <definedName name="LevelA4769C0" comment="NA==" localSheetId="0" hidden="1">""</definedName>
    <definedName name="LevelA476C0" comment="NA==" localSheetId="0" hidden="1">""</definedName>
    <definedName name="LevelA477" comment="0" localSheetId="0" hidden="1">""</definedName>
    <definedName name="LevelA4770" comment="0" localSheetId="0" hidden="1">""</definedName>
    <definedName name="LevelA4770C0" comment="NA==" localSheetId="0" hidden="1">""</definedName>
    <definedName name="LevelA4771" comment="0" localSheetId="0" hidden="1">""</definedName>
    <definedName name="LevelA4771C0" comment="NA==" localSheetId="0" hidden="1">""</definedName>
    <definedName name="LevelA4772" comment="0" localSheetId="0" hidden="1">""</definedName>
    <definedName name="LevelA4772C0" comment="NA==" localSheetId="0" hidden="1">""</definedName>
    <definedName name="LevelA4773" comment="0" localSheetId="0" hidden="1">""</definedName>
    <definedName name="LevelA4773C0" comment="NA==" localSheetId="0" hidden="1">""</definedName>
    <definedName name="LevelA4774" comment="0" localSheetId="0" hidden="1">""</definedName>
    <definedName name="LevelA4774C0" comment="NA==" localSheetId="0" hidden="1">""</definedName>
    <definedName name="LevelA4775" comment="0" localSheetId="0" hidden="1">""</definedName>
    <definedName name="LevelA4775C0" comment="NA==" localSheetId="0" hidden="1">""</definedName>
    <definedName name="LevelA4776" comment="0" localSheetId="0" hidden="1">""</definedName>
    <definedName name="LevelA4776C0" comment="NA==" localSheetId="0" hidden="1">""</definedName>
    <definedName name="LevelA4777" comment="0" localSheetId="0" hidden="1">""</definedName>
    <definedName name="LevelA4777C0" comment="NA==" localSheetId="0" hidden="1">""</definedName>
    <definedName name="LevelA4778" comment="0" localSheetId="0" hidden="1">""</definedName>
    <definedName name="LevelA4778C0" comment="NA==" localSheetId="0" hidden="1">""</definedName>
    <definedName name="LevelA4779" comment="0" localSheetId="0" hidden="1">""</definedName>
    <definedName name="LevelA4779C0" comment="NA==" localSheetId="0" hidden="1">""</definedName>
    <definedName name="LevelA477C0" comment="NA==" localSheetId="0" hidden="1">""</definedName>
    <definedName name="LevelA478" comment="0" localSheetId="0" hidden="1">""</definedName>
    <definedName name="LevelA4780" comment="0" localSheetId="0" hidden="1">""</definedName>
    <definedName name="LevelA4780C0" comment="NA==" localSheetId="0" hidden="1">""</definedName>
    <definedName name="LevelA4781" comment="0" localSheetId="0" hidden="1">""</definedName>
    <definedName name="LevelA4781C0" comment="NA==" localSheetId="0" hidden="1">""</definedName>
    <definedName name="LevelA4782" comment="0" localSheetId="0" hidden="1">""</definedName>
    <definedName name="LevelA4782C0" comment="NA==" localSheetId="0" hidden="1">""</definedName>
    <definedName name="LevelA4783" comment="0" localSheetId="0" hidden="1">""</definedName>
    <definedName name="LevelA4783C0" comment="NA==" localSheetId="0" hidden="1">""</definedName>
    <definedName name="LevelA4784" comment="0" localSheetId="0" hidden="1">""</definedName>
    <definedName name="LevelA4784C0" comment="NA==" localSheetId="0" hidden="1">""</definedName>
    <definedName name="LevelA4785" comment="0" localSheetId="0" hidden="1">""</definedName>
    <definedName name="LevelA4785C0" comment="NA==" localSheetId="0" hidden="1">""</definedName>
    <definedName name="LevelA4786" comment="0" localSheetId="0" hidden="1">""</definedName>
    <definedName name="LevelA4786C0" comment="NA==" localSheetId="0" hidden="1">""</definedName>
    <definedName name="LevelA4787" comment="0" localSheetId="0" hidden="1">""</definedName>
    <definedName name="LevelA4787C0" comment="NA==" localSheetId="0" hidden="1">""</definedName>
    <definedName name="LevelA4788" comment="0" localSheetId="0" hidden="1">""</definedName>
    <definedName name="LevelA4788C0" comment="NA==" localSheetId="0" hidden="1">""</definedName>
    <definedName name="LevelA4789" comment="0" localSheetId="0" hidden="1">""</definedName>
    <definedName name="LevelA4789C0" comment="NA==" localSheetId="0" hidden="1">""</definedName>
    <definedName name="LevelA478C0" comment="NA==" localSheetId="0" hidden="1">""</definedName>
    <definedName name="LevelA479" comment="0" localSheetId="0" hidden="1">""</definedName>
    <definedName name="LevelA4790" comment="0" localSheetId="0" hidden="1">""</definedName>
    <definedName name="LevelA4790C0" comment="NA==" localSheetId="0" hidden="1">""</definedName>
    <definedName name="LevelA4791" comment="0" localSheetId="0" hidden="1">""</definedName>
    <definedName name="LevelA4791C0" comment="NA==" localSheetId="0" hidden="1">""</definedName>
    <definedName name="LevelA4792" comment="0" localSheetId="0" hidden="1">""</definedName>
    <definedName name="LevelA4792C0" comment="NA==" localSheetId="0" hidden="1">""</definedName>
    <definedName name="LevelA4793" comment="0" localSheetId="0" hidden="1">""</definedName>
    <definedName name="LevelA4793C0" comment="NA==" localSheetId="0" hidden="1">""</definedName>
    <definedName name="LevelA4794" comment="0" localSheetId="0" hidden="1">""</definedName>
    <definedName name="LevelA4794C0" comment="NA==" localSheetId="0" hidden="1">""</definedName>
    <definedName name="LevelA4795" comment="0" localSheetId="0" hidden="1">""</definedName>
    <definedName name="LevelA4795C0" comment="NA==" localSheetId="0" hidden="1">""</definedName>
    <definedName name="LevelA4796" comment="0" localSheetId="0" hidden="1">""</definedName>
    <definedName name="LevelA4796C0" comment="NA==" localSheetId="0" hidden="1">""</definedName>
    <definedName name="LevelA4797" comment="0" localSheetId="0" hidden="1">""</definedName>
    <definedName name="LevelA4797C0" comment="NA==" localSheetId="0" hidden="1">""</definedName>
    <definedName name="LevelA4798" comment="0" localSheetId="0" hidden="1">""</definedName>
    <definedName name="LevelA4798C0" comment="NA==" localSheetId="0" hidden="1">""</definedName>
    <definedName name="LevelA4799" comment="0" localSheetId="0" hidden="1">""</definedName>
    <definedName name="LevelA4799C0" comment="NA==" localSheetId="0" hidden="1">""</definedName>
    <definedName name="LevelA479C0" comment="NA==" localSheetId="0" hidden="1">""</definedName>
    <definedName name="LevelA47C0" comment="NA==" localSheetId="0" hidden="1">""</definedName>
    <definedName name="LevelA48" comment="0" localSheetId="0" hidden="1">""</definedName>
    <definedName name="LevelA480" comment="0" localSheetId="0" hidden="1">""</definedName>
    <definedName name="LevelA4800" comment="0" localSheetId="0" hidden="1">""</definedName>
    <definedName name="LevelA4800C0" comment="NA==" localSheetId="0" hidden="1">""</definedName>
    <definedName name="LevelA4801" comment="0" localSheetId="0" hidden="1">""</definedName>
    <definedName name="LevelA4801C0" comment="NA==" localSheetId="0" hidden="1">""</definedName>
    <definedName name="LevelA4802" comment="0" localSheetId="0" hidden="1">""</definedName>
    <definedName name="LevelA4802C0" comment="NA==" localSheetId="0" hidden="1">""</definedName>
    <definedName name="LevelA4803" comment="0" localSheetId="0" hidden="1">""</definedName>
    <definedName name="LevelA4803C0" comment="NA==" localSheetId="0" hidden="1">""</definedName>
    <definedName name="LevelA4804" comment="0" localSheetId="0" hidden="1">""</definedName>
    <definedName name="LevelA4804C0" comment="NA==" localSheetId="0" hidden="1">""</definedName>
    <definedName name="LevelA4805" comment="0" localSheetId="0" hidden="1">""</definedName>
    <definedName name="LevelA4805C0" comment="NA==" localSheetId="0" hidden="1">""</definedName>
    <definedName name="LevelA4806" comment="0" localSheetId="0" hidden="1">""</definedName>
    <definedName name="LevelA4806C0" comment="NA==" localSheetId="0" hidden="1">""</definedName>
    <definedName name="LevelA4807" comment="0" localSheetId="0" hidden="1">""</definedName>
    <definedName name="LevelA4807C0" comment="NA==" localSheetId="0" hidden="1">""</definedName>
    <definedName name="LevelA4808" comment="0" localSheetId="0" hidden="1">""</definedName>
    <definedName name="LevelA4808C0" comment="NA==" localSheetId="0" hidden="1">""</definedName>
    <definedName name="LevelA4809" comment="0" localSheetId="0" hidden="1">""</definedName>
    <definedName name="LevelA4809C0" comment="NA==" localSheetId="0" hidden="1">""</definedName>
    <definedName name="LevelA480C0" comment="NA==" localSheetId="0" hidden="1">""</definedName>
    <definedName name="LevelA481" comment="0" localSheetId="0" hidden="1">""</definedName>
    <definedName name="LevelA4810" comment="0" localSheetId="0" hidden="1">""</definedName>
    <definedName name="LevelA4810C0" comment="NA==" localSheetId="0" hidden="1">""</definedName>
    <definedName name="LevelA4811" comment="0" localSheetId="0" hidden="1">""</definedName>
    <definedName name="LevelA4811C0" comment="NA==" localSheetId="0" hidden="1">""</definedName>
    <definedName name="LevelA4812" comment="0" localSheetId="0" hidden="1">""</definedName>
    <definedName name="LevelA4812C0" comment="NA==" localSheetId="0" hidden="1">""</definedName>
    <definedName name="LevelA4813" comment="0" localSheetId="0" hidden="1">""</definedName>
    <definedName name="LevelA4813C0" comment="NA==" localSheetId="0" hidden="1">""</definedName>
    <definedName name="LevelA4814" comment="0" localSheetId="0" hidden="1">""</definedName>
    <definedName name="LevelA4814C0" comment="NA==" localSheetId="0" hidden="1">""</definedName>
    <definedName name="LevelA4815" comment="0" localSheetId="0" hidden="1">""</definedName>
    <definedName name="LevelA4815C0" comment="NA==" localSheetId="0" hidden="1">""</definedName>
    <definedName name="LevelA4816" comment="0" localSheetId="0" hidden="1">""</definedName>
    <definedName name="LevelA4816C0" comment="NA==" localSheetId="0" hidden="1">""</definedName>
    <definedName name="LevelA4817" comment="0" localSheetId="0" hidden="1">""</definedName>
    <definedName name="LevelA4817C0" comment="NA==" localSheetId="0" hidden="1">""</definedName>
    <definedName name="LevelA4818" comment="0" localSheetId="0" hidden="1">""</definedName>
    <definedName name="LevelA4818C0" comment="NA==" localSheetId="0" hidden="1">""</definedName>
    <definedName name="LevelA4819" comment="0" localSheetId="0" hidden="1">""</definedName>
    <definedName name="LevelA4819C0" comment="NA==" localSheetId="0" hidden="1">""</definedName>
    <definedName name="LevelA481C0" comment="NA==" localSheetId="0" hidden="1">""</definedName>
    <definedName name="LevelA482" comment="0" localSheetId="0" hidden="1">""</definedName>
    <definedName name="LevelA4820" comment="0" localSheetId="0" hidden="1">""</definedName>
    <definedName name="LevelA4820C0" comment="NA==" localSheetId="0" hidden="1">""</definedName>
    <definedName name="LevelA4821" comment="0" localSheetId="0" hidden="1">""</definedName>
    <definedName name="LevelA4821C0" comment="NA==" localSheetId="0" hidden="1">""</definedName>
    <definedName name="LevelA4822" comment="0" localSheetId="0" hidden="1">""</definedName>
    <definedName name="LevelA4822C0" comment="NA==" localSheetId="0" hidden="1">""</definedName>
    <definedName name="LevelA4823" comment="0" localSheetId="0" hidden="1">""</definedName>
    <definedName name="LevelA4823C0" comment="NA==" localSheetId="0" hidden="1">""</definedName>
    <definedName name="LevelA4824" comment="0" localSheetId="0" hidden="1">""</definedName>
    <definedName name="LevelA4824C0" comment="NA==" localSheetId="0" hidden="1">""</definedName>
    <definedName name="LevelA4825" comment="0" localSheetId="0" hidden="1">""</definedName>
    <definedName name="LevelA4825C0" comment="NA==" localSheetId="0" hidden="1">""</definedName>
    <definedName name="LevelA4826" comment="0" localSheetId="0" hidden="1">""</definedName>
    <definedName name="LevelA4826C0" comment="NA==" localSheetId="0" hidden="1">""</definedName>
    <definedName name="LevelA4827" comment="0" localSheetId="0" hidden="1">""</definedName>
    <definedName name="LevelA4827C0" comment="NA==" localSheetId="0" hidden="1">""</definedName>
    <definedName name="LevelA4828" comment="0" localSheetId="0" hidden="1">""</definedName>
    <definedName name="LevelA4828C0" comment="NA==" localSheetId="0" hidden="1">""</definedName>
    <definedName name="LevelA4829" comment="0" localSheetId="0" hidden="1">""</definedName>
    <definedName name="LevelA4829C0" comment="NA==" localSheetId="0" hidden="1">""</definedName>
    <definedName name="LevelA482C0" comment="NA==" localSheetId="0" hidden="1">""</definedName>
    <definedName name="LevelA483" comment="0" localSheetId="0" hidden="1">""</definedName>
    <definedName name="LevelA4830" comment="0" localSheetId="0" hidden="1">""</definedName>
    <definedName name="LevelA4830C0" comment="NA==" localSheetId="0" hidden="1">""</definedName>
    <definedName name="LevelA4831" comment="0" localSheetId="0" hidden="1">""</definedName>
    <definedName name="LevelA4831C0" comment="NA==" localSheetId="0" hidden="1">""</definedName>
    <definedName name="LevelA4832" comment="0" localSheetId="0" hidden="1">""</definedName>
    <definedName name="LevelA4832C0" comment="NA==" localSheetId="0" hidden="1">""</definedName>
    <definedName name="LevelA4833" comment="0" localSheetId="0" hidden="1">""</definedName>
    <definedName name="LevelA4833C0" comment="NA==" localSheetId="0" hidden="1">""</definedName>
    <definedName name="LevelA4834" comment="0" localSheetId="0" hidden="1">""</definedName>
    <definedName name="LevelA4834C0" comment="NA==" localSheetId="0" hidden="1">""</definedName>
    <definedName name="LevelA4835" comment="0" localSheetId="0" hidden="1">""</definedName>
    <definedName name="LevelA4835C0" comment="NA==" localSheetId="0" hidden="1">""</definedName>
    <definedName name="LevelA4836" comment="0" localSheetId="0" hidden="1">""</definedName>
    <definedName name="LevelA4836C0" comment="NA==" localSheetId="0" hidden="1">""</definedName>
    <definedName name="LevelA4837" comment="0" localSheetId="0" hidden="1">""</definedName>
    <definedName name="LevelA4837C0" comment="NA==" localSheetId="0" hidden="1">""</definedName>
    <definedName name="LevelA4838" comment="0" localSheetId="0" hidden="1">""</definedName>
    <definedName name="LevelA4838C0" comment="NA==" localSheetId="0" hidden="1">""</definedName>
    <definedName name="LevelA4839" comment="0" localSheetId="0" hidden="1">""</definedName>
    <definedName name="LevelA4839C0" comment="NA==" localSheetId="0" hidden="1">""</definedName>
    <definedName name="LevelA483C0" comment="NA==" localSheetId="0" hidden="1">""</definedName>
    <definedName name="LevelA484" comment="0" localSheetId="0" hidden="1">""</definedName>
    <definedName name="LevelA4840" comment="0" localSheetId="0" hidden="1">""</definedName>
    <definedName name="LevelA4840C0" comment="NA==" localSheetId="0" hidden="1">""</definedName>
    <definedName name="LevelA4841" comment="0" localSheetId="0" hidden="1">""</definedName>
    <definedName name="LevelA4841C0" comment="NA==" localSheetId="0" hidden="1">""</definedName>
    <definedName name="LevelA4842" comment="0" localSheetId="0" hidden="1">""</definedName>
    <definedName name="LevelA4842C0" comment="NA==" localSheetId="0" hidden="1">""</definedName>
    <definedName name="LevelA4843" comment="0" localSheetId="0" hidden="1">""</definedName>
    <definedName name="LevelA4843C0" comment="NA==" localSheetId="0" hidden="1">""</definedName>
    <definedName name="LevelA4844" comment="0" localSheetId="0" hidden="1">""</definedName>
    <definedName name="LevelA4844C0" comment="NA==" localSheetId="0" hidden="1">""</definedName>
    <definedName name="LevelA4845" comment="0" localSheetId="0" hidden="1">""</definedName>
    <definedName name="LevelA4845C0" comment="NA==" localSheetId="0" hidden="1">""</definedName>
    <definedName name="LevelA4846" comment="0" localSheetId="0" hidden="1">""</definedName>
    <definedName name="LevelA4846C0" comment="NA==" localSheetId="0" hidden="1">""</definedName>
    <definedName name="LevelA4847" comment="0" localSheetId="0" hidden="1">""</definedName>
    <definedName name="LevelA4847C0" comment="NA==" localSheetId="0" hidden="1">""</definedName>
    <definedName name="LevelA4848" comment="0" localSheetId="0" hidden="1">""</definedName>
    <definedName name="LevelA4848C0" comment="NA==" localSheetId="0" hidden="1">""</definedName>
    <definedName name="LevelA4849" comment="0" localSheetId="0" hidden="1">""</definedName>
    <definedName name="LevelA4849C0" comment="NA==" localSheetId="0" hidden="1">""</definedName>
    <definedName name="LevelA484C0" comment="NA==" localSheetId="0" hidden="1">""</definedName>
    <definedName name="LevelA485" comment="0" localSheetId="0" hidden="1">""</definedName>
    <definedName name="LevelA4850" comment="0" localSheetId="0" hidden="1">""</definedName>
    <definedName name="LevelA4850C0" comment="NA==" localSheetId="0" hidden="1">""</definedName>
    <definedName name="LevelA4851" comment="0" localSheetId="0" hidden="1">""</definedName>
    <definedName name="LevelA4851C0" comment="NA==" localSheetId="0" hidden="1">""</definedName>
    <definedName name="LevelA4852" comment="0" localSheetId="0" hidden="1">""</definedName>
    <definedName name="LevelA4852C0" comment="NA==" localSheetId="0" hidden="1">""</definedName>
    <definedName name="LevelA4853" comment="0" localSheetId="0" hidden="1">""</definedName>
    <definedName name="LevelA4853C0" comment="NA==" localSheetId="0" hidden="1">""</definedName>
    <definedName name="LevelA4854" comment="0" localSheetId="0" hidden="1">""</definedName>
    <definedName name="LevelA4854C0" comment="NA==" localSheetId="0" hidden="1">""</definedName>
    <definedName name="LevelA4855" comment="0" localSheetId="0" hidden="1">""</definedName>
    <definedName name="LevelA4855C0" comment="NA==" localSheetId="0" hidden="1">""</definedName>
    <definedName name="LevelA4856" comment="0" localSheetId="0" hidden="1">""</definedName>
    <definedName name="LevelA4856C0" comment="NA==" localSheetId="0" hidden="1">""</definedName>
    <definedName name="LevelA4857" comment="0" localSheetId="0" hidden="1">""</definedName>
    <definedName name="LevelA4857C0" comment="NA==" localSheetId="0" hidden="1">""</definedName>
    <definedName name="LevelA4858" comment="0" localSheetId="0" hidden="1">""</definedName>
    <definedName name="LevelA4858C0" comment="NA==" localSheetId="0" hidden="1">""</definedName>
    <definedName name="LevelA4859" comment="0" localSheetId="0" hidden="1">""</definedName>
    <definedName name="LevelA4859C0" comment="NA==" localSheetId="0" hidden="1">""</definedName>
    <definedName name="LevelA485C0" comment="NA==" localSheetId="0" hidden="1">""</definedName>
    <definedName name="LevelA486" comment="0" localSheetId="0" hidden="1">""</definedName>
    <definedName name="LevelA4860" comment="0" localSheetId="0" hidden="1">""</definedName>
    <definedName name="LevelA4860C0" comment="NA==" localSheetId="0" hidden="1">""</definedName>
    <definedName name="LevelA4861" comment="0" localSheetId="0" hidden="1">""</definedName>
    <definedName name="LevelA4861C0" comment="NA==" localSheetId="0" hidden="1">""</definedName>
    <definedName name="LevelA4862" comment="0" localSheetId="0" hidden="1">""</definedName>
    <definedName name="LevelA4862C0" comment="NA==" localSheetId="0" hidden="1">""</definedName>
    <definedName name="LevelA4863" comment="0" localSheetId="0" hidden="1">""</definedName>
    <definedName name="LevelA4863C0" comment="NA==" localSheetId="0" hidden="1">""</definedName>
    <definedName name="LevelA4864" comment="0" localSheetId="0" hidden="1">""</definedName>
    <definedName name="LevelA4864C0" comment="NA==" localSheetId="0" hidden="1">""</definedName>
    <definedName name="LevelA4865" comment="0" localSheetId="0" hidden="1">""</definedName>
    <definedName name="LevelA4865C0" comment="NA==" localSheetId="0" hidden="1">""</definedName>
    <definedName name="LevelA4866" comment="0" localSheetId="0" hidden="1">""</definedName>
    <definedName name="LevelA4866C0" comment="NA==" localSheetId="0" hidden="1">""</definedName>
    <definedName name="LevelA4867" comment="0" localSheetId="0" hidden="1">""</definedName>
    <definedName name="LevelA4867C0" comment="NA==" localSheetId="0" hidden="1">""</definedName>
    <definedName name="LevelA4868" comment="0" localSheetId="0" hidden="1">""</definedName>
    <definedName name="LevelA4868C0" comment="NA==" localSheetId="0" hidden="1">""</definedName>
    <definedName name="LevelA4869" comment="0" localSheetId="0" hidden="1">""</definedName>
    <definedName name="LevelA4869C0" comment="NA==" localSheetId="0" hidden="1">""</definedName>
    <definedName name="LevelA486C0" comment="NA==" localSheetId="0" hidden="1">""</definedName>
    <definedName name="LevelA487" comment="0" localSheetId="0" hidden="1">""</definedName>
    <definedName name="LevelA4870" comment="0" localSheetId="0" hidden="1">""</definedName>
    <definedName name="LevelA4870C0" comment="NA==" localSheetId="0" hidden="1">""</definedName>
    <definedName name="LevelA4871" comment="0" localSheetId="0" hidden="1">""</definedName>
    <definedName name="LevelA4871C0" comment="NA==" localSheetId="0" hidden="1">""</definedName>
    <definedName name="LevelA4872" comment="0" localSheetId="0" hidden="1">""</definedName>
    <definedName name="LevelA4872C0" comment="NA==" localSheetId="0" hidden="1">""</definedName>
    <definedName name="LevelA4873" comment="0" localSheetId="0" hidden="1">""</definedName>
    <definedName name="LevelA4873C0" comment="NA==" localSheetId="0" hidden="1">""</definedName>
    <definedName name="LevelA4874" comment="0" localSheetId="0" hidden="1">""</definedName>
    <definedName name="LevelA4874C0" comment="NA==" localSheetId="0" hidden="1">""</definedName>
    <definedName name="LevelA4875" comment="0" localSheetId="0" hidden="1">""</definedName>
    <definedName name="LevelA4875C0" comment="NA==" localSheetId="0" hidden="1">""</definedName>
    <definedName name="LevelA4876" comment="0" localSheetId="0" hidden="1">""</definedName>
    <definedName name="LevelA4876C0" comment="NA==" localSheetId="0" hidden="1">""</definedName>
    <definedName name="LevelA4877" comment="0" localSheetId="0" hidden="1">""</definedName>
    <definedName name="LevelA4877C0" comment="NA==" localSheetId="0" hidden="1">""</definedName>
    <definedName name="LevelA4878" comment="0" localSheetId="0" hidden="1">""</definedName>
    <definedName name="LevelA4878C0" comment="NA==" localSheetId="0" hidden="1">""</definedName>
    <definedName name="LevelA4879" comment="0" localSheetId="0" hidden="1">""</definedName>
    <definedName name="LevelA4879C0" comment="NA==" localSheetId="0" hidden="1">""</definedName>
    <definedName name="LevelA487C0" comment="NA==" localSheetId="0" hidden="1">""</definedName>
    <definedName name="LevelA488" comment="0" localSheetId="0" hidden="1">""</definedName>
    <definedName name="LevelA4880" comment="0" localSheetId="0" hidden="1">""</definedName>
    <definedName name="LevelA4880C0" comment="NA==" localSheetId="0" hidden="1">""</definedName>
    <definedName name="LevelA4881" comment="0" localSheetId="0" hidden="1">""</definedName>
    <definedName name="LevelA4881C0" comment="NA==" localSheetId="0" hidden="1">""</definedName>
    <definedName name="LevelA4882" comment="0" localSheetId="0" hidden="1">""</definedName>
    <definedName name="LevelA4882C0" comment="NA==" localSheetId="0" hidden="1">""</definedName>
    <definedName name="LevelA4883" comment="0" localSheetId="0" hidden="1">""</definedName>
    <definedName name="LevelA4883C0" comment="NA==" localSheetId="0" hidden="1">""</definedName>
    <definedName name="LevelA4884" comment="0" localSheetId="0" hidden="1">""</definedName>
    <definedName name="LevelA4884C0" comment="NA==" localSheetId="0" hidden="1">""</definedName>
    <definedName name="LevelA4885" comment="0" localSheetId="0" hidden="1">""</definedName>
    <definedName name="LevelA4885C0" comment="NA==" localSheetId="0" hidden="1">""</definedName>
    <definedName name="LevelA4886" comment="0" localSheetId="0" hidden="1">""</definedName>
    <definedName name="LevelA4886C0" comment="NA==" localSheetId="0" hidden="1">""</definedName>
    <definedName name="LevelA4887" comment="0" localSheetId="0" hidden="1">""</definedName>
    <definedName name="LevelA4887C0" comment="NA==" localSheetId="0" hidden="1">""</definedName>
    <definedName name="LevelA4888" comment="0" localSheetId="0" hidden="1">""</definedName>
    <definedName name="LevelA4888C0" comment="NA==" localSheetId="0" hidden="1">""</definedName>
    <definedName name="LevelA4889" comment="0" localSheetId="0" hidden="1">""</definedName>
    <definedName name="LevelA4889C0" comment="NA==" localSheetId="0" hidden="1">""</definedName>
    <definedName name="LevelA488C0" comment="NA==" localSheetId="0" hidden="1">""</definedName>
    <definedName name="LevelA489" comment="0" localSheetId="0" hidden="1">""</definedName>
    <definedName name="LevelA4890" comment="0" localSheetId="0" hidden="1">""</definedName>
    <definedName name="LevelA4890C0" comment="NA==" localSheetId="0" hidden="1">""</definedName>
    <definedName name="LevelA4891" comment="0" localSheetId="0" hidden="1">""</definedName>
    <definedName name="LevelA4891C0" comment="NA==" localSheetId="0" hidden="1">""</definedName>
    <definedName name="LevelA4892" comment="0" localSheetId="0" hidden="1">""</definedName>
    <definedName name="LevelA4892C0" comment="NA==" localSheetId="0" hidden="1">""</definedName>
    <definedName name="LevelA4893" comment="0" localSheetId="0" hidden="1">""</definedName>
    <definedName name="LevelA4893C0" comment="NA==" localSheetId="0" hidden="1">""</definedName>
    <definedName name="LevelA4894" comment="0" localSheetId="0" hidden="1">""</definedName>
    <definedName name="LevelA4894C0" comment="NA==" localSheetId="0" hidden="1">""</definedName>
    <definedName name="LevelA4895" comment="0" localSheetId="0" hidden="1">""</definedName>
    <definedName name="LevelA4895C0" comment="NA==" localSheetId="0" hidden="1">""</definedName>
    <definedName name="LevelA4896" comment="0" localSheetId="0" hidden="1">""</definedName>
    <definedName name="LevelA4896C0" comment="NA==" localSheetId="0" hidden="1">""</definedName>
    <definedName name="LevelA4897" comment="0" localSheetId="0" hidden="1">""</definedName>
    <definedName name="LevelA4897C0" comment="NA==" localSheetId="0" hidden="1">""</definedName>
    <definedName name="LevelA4898" comment="0" localSheetId="0" hidden="1">""</definedName>
    <definedName name="LevelA4898C0" comment="NA==" localSheetId="0" hidden="1">""</definedName>
    <definedName name="LevelA4899" comment="0" localSheetId="0" hidden="1">""</definedName>
    <definedName name="LevelA4899C0" comment="NA==" localSheetId="0" hidden="1">""</definedName>
    <definedName name="LevelA489C0" comment="NA==" localSheetId="0" hidden="1">""</definedName>
    <definedName name="LevelA48C0" comment="NA==" localSheetId="0" hidden="1">""</definedName>
    <definedName name="LevelA49" comment="0" localSheetId="0" hidden="1">""</definedName>
    <definedName name="LevelA490" comment="0" localSheetId="0" hidden="1">""</definedName>
    <definedName name="LevelA4900" comment="0" localSheetId="0" hidden="1">""</definedName>
    <definedName name="LevelA4900C0" comment="NA==" localSheetId="0" hidden="1">""</definedName>
    <definedName name="LevelA4901" comment="0" localSheetId="0" hidden="1">""</definedName>
    <definedName name="LevelA4901C0" comment="NA==" localSheetId="0" hidden="1">""</definedName>
    <definedName name="LevelA4902" comment="0" localSheetId="0" hidden="1">""</definedName>
    <definedName name="LevelA4902C0" comment="NA==" localSheetId="0" hidden="1">""</definedName>
    <definedName name="LevelA4903" comment="0" localSheetId="0" hidden="1">""</definedName>
    <definedName name="LevelA4903C0" comment="NA==" localSheetId="0" hidden="1">""</definedName>
    <definedName name="LevelA4904" comment="0" localSheetId="0" hidden="1">""</definedName>
    <definedName name="LevelA4904C0" comment="NA==" localSheetId="0" hidden="1">""</definedName>
    <definedName name="LevelA4905" comment="0" localSheetId="0" hidden="1">""</definedName>
    <definedName name="LevelA4905C0" comment="NA==" localSheetId="0" hidden="1">""</definedName>
    <definedName name="LevelA4906" comment="0" localSheetId="0" hidden="1">""</definedName>
    <definedName name="LevelA4906C0" comment="NA==" localSheetId="0" hidden="1">""</definedName>
    <definedName name="LevelA4907" comment="0" localSheetId="0" hidden="1">""</definedName>
    <definedName name="LevelA4907C0" comment="NA==" localSheetId="0" hidden="1">""</definedName>
    <definedName name="LevelA4908" comment="0" localSheetId="0" hidden="1">""</definedName>
    <definedName name="LevelA4908C0" comment="NA==" localSheetId="0" hidden="1">""</definedName>
    <definedName name="LevelA4909" comment="0" localSheetId="0" hidden="1">""</definedName>
    <definedName name="LevelA4909C0" comment="NA==" localSheetId="0" hidden="1">""</definedName>
    <definedName name="LevelA490C0" comment="NA==" localSheetId="0" hidden="1">""</definedName>
    <definedName name="LevelA491" comment="0" localSheetId="0" hidden="1">""</definedName>
    <definedName name="LevelA4910" comment="0" localSheetId="0" hidden="1">""</definedName>
    <definedName name="LevelA4910C0" comment="NA==" localSheetId="0" hidden="1">""</definedName>
    <definedName name="LevelA4911" comment="0" localSheetId="0" hidden="1">""</definedName>
    <definedName name="LevelA4911C0" comment="NA==" localSheetId="0" hidden="1">""</definedName>
    <definedName name="LevelA4912" comment="0" localSheetId="0" hidden="1">""</definedName>
    <definedName name="LevelA4912C0" comment="NA==" localSheetId="0" hidden="1">""</definedName>
    <definedName name="LevelA4913" comment="0" localSheetId="0" hidden="1">""</definedName>
    <definedName name="LevelA4913C0" comment="NA==" localSheetId="0" hidden="1">""</definedName>
    <definedName name="LevelA4914" comment="0" localSheetId="0" hidden="1">""</definedName>
    <definedName name="LevelA4914C0" comment="NA==" localSheetId="0" hidden="1">""</definedName>
    <definedName name="LevelA4915" comment="0" localSheetId="0" hidden="1">""</definedName>
    <definedName name="LevelA4915C0" comment="NA==" localSheetId="0" hidden="1">""</definedName>
    <definedName name="LevelA4916" comment="0" localSheetId="0" hidden="1">""</definedName>
    <definedName name="LevelA4916C0" comment="NA==" localSheetId="0" hidden="1">""</definedName>
    <definedName name="LevelA4917" comment="0" localSheetId="0" hidden="1">""</definedName>
    <definedName name="LevelA4917C0" comment="NA==" localSheetId="0" hidden="1">""</definedName>
    <definedName name="LevelA4918" comment="0" localSheetId="0" hidden="1">""</definedName>
    <definedName name="LevelA4918C0" comment="NA==" localSheetId="0" hidden="1">""</definedName>
    <definedName name="LevelA4919" comment="0" localSheetId="0" hidden="1">""</definedName>
    <definedName name="LevelA4919C0" comment="NA==" localSheetId="0" hidden="1">""</definedName>
    <definedName name="LevelA491C0" comment="NA==" localSheetId="0" hidden="1">""</definedName>
    <definedName name="LevelA492" comment="0" localSheetId="0" hidden="1">""</definedName>
    <definedName name="LevelA4920" comment="0" localSheetId="0" hidden="1">""</definedName>
    <definedName name="LevelA4920C0" comment="NA==" localSheetId="0" hidden="1">""</definedName>
    <definedName name="LevelA4921" comment="0" localSheetId="0" hidden="1">""</definedName>
    <definedName name="LevelA4921C0" comment="NA==" localSheetId="0" hidden="1">""</definedName>
    <definedName name="LevelA4922" comment="0" localSheetId="0" hidden="1">""</definedName>
    <definedName name="LevelA4922C0" comment="NA==" localSheetId="0" hidden="1">""</definedName>
    <definedName name="LevelA4923" comment="0" localSheetId="0" hidden="1">""</definedName>
    <definedName name="LevelA4923C0" comment="NA==" localSheetId="0" hidden="1">""</definedName>
    <definedName name="LevelA4924" comment="0" localSheetId="0" hidden="1">""</definedName>
    <definedName name="LevelA4924C0" comment="NA==" localSheetId="0" hidden="1">""</definedName>
    <definedName name="LevelA4925" comment="0" localSheetId="0" hidden="1">""</definedName>
    <definedName name="LevelA4925C0" comment="NA==" localSheetId="0" hidden="1">""</definedName>
    <definedName name="LevelA4926" comment="0" localSheetId="0" hidden="1">""</definedName>
    <definedName name="LevelA4926C0" comment="NA==" localSheetId="0" hidden="1">""</definedName>
    <definedName name="LevelA4927" comment="0" localSheetId="0" hidden="1">""</definedName>
    <definedName name="LevelA4927C0" comment="NA==" localSheetId="0" hidden="1">""</definedName>
    <definedName name="LevelA4928" comment="0" localSheetId="0" hidden="1">""</definedName>
    <definedName name="LevelA4928C0" comment="NA==" localSheetId="0" hidden="1">""</definedName>
    <definedName name="LevelA4929" comment="0" localSheetId="0" hidden="1">""</definedName>
    <definedName name="LevelA4929C0" comment="NA==" localSheetId="0" hidden="1">""</definedName>
    <definedName name="LevelA492C0" comment="NA==" localSheetId="0" hidden="1">""</definedName>
    <definedName name="LevelA493" comment="0" localSheetId="0" hidden="1">""</definedName>
    <definedName name="LevelA4930" comment="0" localSheetId="0" hidden="1">""</definedName>
    <definedName name="LevelA4930C0" comment="NA==" localSheetId="0" hidden="1">""</definedName>
    <definedName name="LevelA4931" comment="0" localSheetId="0" hidden="1">""</definedName>
    <definedName name="LevelA4931C0" comment="NA==" localSheetId="0" hidden="1">""</definedName>
    <definedName name="LevelA4932" comment="0" localSheetId="0" hidden="1">""</definedName>
    <definedName name="LevelA4932C0" comment="NA==" localSheetId="0" hidden="1">""</definedName>
    <definedName name="LevelA4933" comment="0" localSheetId="0" hidden="1">""</definedName>
    <definedName name="LevelA4933C0" comment="NA==" localSheetId="0" hidden="1">""</definedName>
    <definedName name="LevelA4934" comment="0" localSheetId="0" hidden="1">""</definedName>
    <definedName name="LevelA4934C0" comment="NA==" localSheetId="0" hidden="1">""</definedName>
    <definedName name="LevelA4935" comment="0" localSheetId="0" hidden="1">""</definedName>
    <definedName name="LevelA4935C0" comment="NA==" localSheetId="0" hidden="1">""</definedName>
    <definedName name="LevelA4936" comment="0" localSheetId="0" hidden="1">""</definedName>
    <definedName name="LevelA4936C0" comment="NA==" localSheetId="0" hidden="1">""</definedName>
    <definedName name="LevelA4937" comment="0" localSheetId="0" hidden="1">""</definedName>
    <definedName name="LevelA4937C0" comment="NA==" localSheetId="0" hidden="1">""</definedName>
    <definedName name="LevelA4938" comment="0" localSheetId="0" hidden="1">""</definedName>
    <definedName name="LevelA4938C0" comment="NA==" localSheetId="0" hidden="1">""</definedName>
    <definedName name="LevelA4939" comment="0" localSheetId="0" hidden="1">""</definedName>
    <definedName name="LevelA4939C0" comment="NA==" localSheetId="0" hidden="1">""</definedName>
    <definedName name="LevelA493C0" comment="NA==" localSheetId="0" hidden="1">""</definedName>
    <definedName name="LevelA494" comment="0" localSheetId="0" hidden="1">""</definedName>
    <definedName name="LevelA4940" comment="0" localSheetId="0" hidden="1">""</definedName>
    <definedName name="LevelA4940C0" comment="NA==" localSheetId="0" hidden="1">""</definedName>
    <definedName name="LevelA4941" comment="0" localSheetId="0" hidden="1">""</definedName>
    <definedName name="LevelA4941C0" comment="NA==" localSheetId="0" hidden="1">""</definedName>
    <definedName name="LevelA4942" comment="0" localSheetId="0" hidden="1">""</definedName>
    <definedName name="LevelA4942C0" comment="NA==" localSheetId="0" hidden="1">""</definedName>
    <definedName name="LevelA4943" comment="0" localSheetId="0" hidden="1">""</definedName>
    <definedName name="LevelA4943C0" comment="NA==" localSheetId="0" hidden="1">""</definedName>
    <definedName name="LevelA4944" comment="0" localSheetId="0" hidden="1">""</definedName>
    <definedName name="LevelA4944C0" comment="NA==" localSheetId="0" hidden="1">""</definedName>
    <definedName name="LevelA4945" comment="0" localSheetId="0" hidden="1">""</definedName>
    <definedName name="LevelA4945C0" comment="NA==" localSheetId="0" hidden="1">""</definedName>
    <definedName name="LevelA4946" comment="0" localSheetId="0" hidden="1">""</definedName>
    <definedName name="LevelA4946C0" comment="NA==" localSheetId="0" hidden="1">""</definedName>
    <definedName name="LevelA4947" comment="0" localSheetId="0" hidden="1">""</definedName>
    <definedName name="LevelA4947C0" comment="NA==" localSheetId="0" hidden="1">""</definedName>
    <definedName name="LevelA4948" comment="0" localSheetId="0" hidden="1">""</definedName>
    <definedName name="LevelA4948C0" comment="NA==" localSheetId="0" hidden="1">""</definedName>
    <definedName name="LevelA4949" comment="0" localSheetId="0" hidden="1">""</definedName>
    <definedName name="LevelA4949C0" comment="NA==" localSheetId="0" hidden="1">""</definedName>
    <definedName name="LevelA494C0" comment="NA==" localSheetId="0" hidden="1">""</definedName>
    <definedName name="LevelA495" comment="0" localSheetId="0" hidden="1">""</definedName>
    <definedName name="LevelA4950" comment="0" localSheetId="0" hidden="1">""</definedName>
    <definedName name="LevelA4950C0" comment="NA==" localSheetId="0" hidden="1">""</definedName>
    <definedName name="LevelA4951" comment="0" localSheetId="0" hidden="1">""</definedName>
    <definedName name="LevelA4951C0" comment="NA==" localSheetId="0" hidden="1">""</definedName>
    <definedName name="LevelA4952" comment="0" localSheetId="0" hidden="1">""</definedName>
    <definedName name="LevelA4952C0" comment="NA==" localSheetId="0" hidden="1">""</definedName>
    <definedName name="LevelA4953" comment="0" localSheetId="0" hidden="1">""</definedName>
    <definedName name="LevelA4953C0" comment="NA==" localSheetId="0" hidden="1">""</definedName>
    <definedName name="LevelA4954" comment="0" localSheetId="0" hidden="1">""</definedName>
    <definedName name="LevelA4954C0" comment="NA==" localSheetId="0" hidden="1">""</definedName>
    <definedName name="LevelA4955" comment="0" localSheetId="0" hidden="1">""</definedName>
    <definedName name="LevelA4955C0" comment="NA==" localSheetId="0" hidden="1">""</definedName>
    <definedName name="LevelA4956" comment="0" localSheetId="0" hidden="1">""</definedName>
    <definedName name="LevelA4956C0" comment="NA==" localSheetId="0" hidden="1">""</definedName>
    <definedName name="LevelA4957" comment="0" localSheetId="0" hidden="1">""</definedName>
    <definedName name="LevelA4957C0" comment="NA==" localSheetId="0" hidden="1">""</definedName>
    <definedName name="LevelA4958" comment="0" localSheetId="0" hidden="1">""</definedName>
    <definedName name="LevelA4958C0" comment="NA==" localSheetId="0" hidden="1">""</definedName>
    <definedName name="LevelA4959" comment="0" localSheetId="0" hidden="1">""</definedName>
    <definedName name="LevelA4959C0" comment="NA==" localSheetId="0" hidden="1">""</definedName>
    <definedName name="LevelA495C0" comment="NA==" localSheetId="0" hidden="1">""</definedName>
    <definedName name="LevelA496" comment="0" localSheetId="0" hidden="1">""</definedName>
    <definedName name="LevelA4960" comment="0" localSheetId="0" hidden="1">""</definedName>
    <definedName name="LevelA4960C0" comment="NA==" localSheetId="0" hidden="1">""</definedName>
    <definedName name="LevelA4961" comment="0" localSheetId="0" hidden="1">""</definedName>
    <definedName name="LevelA4961C0" comment="NA==" localSheetId="0" hidden="1">""</definedName>
    <definedName name="LevelA4962" comment="0" localSheetId="0" hidden="1">""</definedName>
    <definedName name="LevelA4962C0" comment="NA==" localSheetId="0" hidden="1">""</definedName>
    <definedName name="LevelA4963" comment="0" localSheetId="0" hidden="1">""</definedName>
    <definedName name="LevelA4963C0" comment="NA==" localSheetId="0" hidden="1">""</definedName>
    <definedName name="LevelA4964" comment="0" localSheetId="0" hidden="1">""</definedName>
    <definedName name="LevelA4964C0" comment="NA==" localSheetId="0" hidden="1">""</definedName>
    <definedName name="LevelA4965" comment="0" localSheetId="0" hidden="1">""</definedName>
    <definedName name="LevelA4965C0" comment="NA==" localSheetId="0" hidden="1">""</definedName>
    <definedName name="LevelA4966" comment="0" localSheetId="0" hidden="1">""</definedName>
    <definedName name="LevelA4966C0" comment="NA==" localSheetId="0" hidden="1">""</definedName>
    <definedName name="LevelA4967" comment="0" localSheetId="0" hidden="1">""</definedName>
    <definedName name="LevelA4967C0" comment="NA==" localSheetId="0" hidden="1">""</definedName>
    <definedName name="LevelA4968" comment="0" localSheetId="0" hidden="1">""</definedName>
    <definedName name="LevelA4968C0" comment="NA==" localSheetId="0" hidden="1">""</definedName>
    <definedName name="LevelA4969" comment="0" localSheetId="0" hidden="1">""</definedName>
    <definedName name="LevelA4969C0" comment="NA==" localSheetId="0" hidden="1">""</definedName>
    <definedName name="LevelA496C0" comment="NA==" localSheetId="0" hidden="1">""</definedName>
    <definedName name="LevelA497" comment="0" localSheetId="0" hidden="1">""</definedName>
    <definedName name="LevelA4970" comment="0" localSheetId="0" hidden="1">""</definedName>
    <definedName name="LevelA4970C0" comment="NA==" localSheetId="0" hidden="1">""</definedName>
    <definedName name="LevelA4971" comment="0" localSheetId="0" hidden="1">""</definedName>
    <definedName name="LevelA4971C0" comment="NA==" localSheetId="0" hidden="1">""</definedName>
    <definedName name="LevelA4972" comment="0" localSheetId="0" hidden="1">""</definedName>
    <definedName name="LevelA4972C0" comment="NA==" localSheetId="0" hidden="1">""</definedName>
    <definedName name="LevelA4973" comment="0" localSheetId="0" hidden="1">""</definedName>
    <definedName name="LevelA4973C0" comment="NA==" localSheetId="0" hidden="1">""</definedName>
    <definedName name="LevelA4974" comment="0" localSheetId="0" hidden="1">""</definedName>
    <definedName name="LevelA4974C0" comment="NA==" localSheetId="0" hidden="1">""</definedName>
    <definedName name="LevelA4975" comment="0" localSheetId="0" hidden="1">""</definedName>
    <definedName name="LevelA4975C0" comment="NA==" localSheetId="0" hidden="1">""</definedName>
    <definedName name="LevelA4976" comment="0" localSheetId="0" hidden="1">""</definedName>
    <definedName name="LevelA4976C0" comment="NA==" localSheetId="0" hidden="1">""</definedName>
    <definedName name="LevelA4977" comment="0" localSheetId="0" hidden="1">""</definedName>
    <definedName name="LevelA4977C0" comment="NA==" localSheetId="0" hidden="1">""</definedName>
    <definedName name="LevelA4978" comment="0" localSheetId="0" hidden="1">""</definedName>
    <definedName name="LevelA4978C0" comment="NA==" localSheetId="0" hidden="1">""</definedName>
    <definedName name="LevelA4979" comment="0" localSheetId="0" hidden="1">""</definedName>
    <definedName name="LevelA4979C0" comment="NA==" localSheetId="0" hidden="1">""</definedName>
    <definedName name="LevelA497C0" comment="NA==" localSheetId="0" hidden="1">""</definedName>
    <definedName name="LevelA498" comment="0" localSheetId="0" hidden="1">""</definedName>
    <definedName name="LevelA4980" comment="0" localSheetId="0" hidden="1">""</definedName>
    <definedName name="LevelA4980C0" comment="NA==" localSheetId="0" hidden="1">""</definedName>
    <definedName name="LevelA4981" comment="0" localSheetId="0" hidden="1">""</definedName>
    <definedName name="LevelA4981C0" comment="NA==" localSheetId="0" hidden="1">""</definedName>
    <definedName name="LevelA4982" comment="0" localSheetId="0" hidden="1">""</definedName>
    <definedName name="LevelA4982C0" comment="NA==" localSheetId="0" hidden="1">""</definedName>
    <definedName name="LevelA4983" comment="0" localSheetId="0" hidden="1">""</definedName>
    <definedName name="LevelA4983C0" comment="NA==" localSheetId="0" hidden="1">""</definedName>
    <definedName name="LevelA4984" comment="0" localSheetId="0" hidden="1">""</definedName>
    <definedName name="LevelA4984C0" comment="NA==" localSheetId="0" hidden="1">""</definedName>
    <definedName name="LevelA4985" comment="0" localSheetId="0" hidden="1">""</definedName>
    <definedName name="LevelA4985C0" comment="NA==" localSheetId="0" hidden="1">""</definedName>
    <definedName name="LevelA4986" comment="0" localSheetId="0" hidden="1">""</definedName>
    <definedName name="LevelA4986C0" comment="NA==" localSheetId="0" hidden="1">""</definedName>
    <definedName name="LevelA4987" comment="0" localSheetId="0" hidden="1">""</definedName>
    <definedName name="LevelA4987C0" comment="NA==" localSheetId="0" hidden="1">""</definedName>
    <definedName name="LevelA4988" comment="0" localSheetId="0" hidden="1">""</definedName>
    <definedName name="LevelA4988C0" comment="NA==" localSheetId="0" hidden="1">""</definedName>
    <definedName name="LevelA4989" comment="0" localSheetId="0" hidden="1">""</definedName>
    <definedName name="LevelA4989C0" comment="NA==" localSheetId="0" hidden="1">""</definedName>
    <definedName name="LevelA498C0" comment="NA==" localSheetId="0" hidden="1">""</definedName>
    <definedName name="LevelA499" comment="0" localSheetId="0" hidden="1">""</definedName>
    <definedName name="LevelA4990" comment="0" localSheetId="0" hidden="1">""</definedName>
    <definedName name="LevelA4990C0" comment="NA==" localSheetId="0" hidden="1">""</definedName>
    <definedName name="LevelA4991" comment="0" localSheetId="0" hidden="1">""</definedName>
    <definedName name="LevelA4991C0" comment="NA==" localSheetId="0" hidden="1">""</definedName>
    <definedName name="LevelA4992" comment="0" localSheetId="0" hidden="1">""</definedName>
    <definedName name="LevelA4992C0" comment="NA==" localSheetId="0" hidden="1">""</definedName>
    <definedName name="LevelA4993" comment="0" localSheetId="0" hidden="1">""</definedName>
    <definedName name="LevelA4993C0" comment="NA==" localSheetId="0" hidden="1">""</definedName>
    <definedName name="LevelA4994" comment="0" localSheetId="0" hidden="1">""</definedName>
    <definedName name="LevelA4994C0" comment="NA==" localSheetId="0" hidden="1">""</definedName>
    <definedName name="LevelA4995" comment="0" localSheetId="0" hidden="1">""</definedName>
    <definedName name="LevelA4995C0" comment="NA==" localSheetId="0" hidden="1">""</definedName>
    <definedName name="LevelA4996" comment="0" localSheetId="0" hidden="1">""</definedName>
    <definedName name="LevelA4996C0" comment="NA==" localSheetId="0" hidden="1">""</definedName>
    <definedName name="LevelA4997" comment="0" localSheetId="0" hidden="1">""</definedName>
    <definedName name="LevelA4997C0" comment="NA==" localSheetId="0" hidden="1">""</definedName>
    <definedName name="LevelA4998" comment="0" localSheetId="0" hidden="1">""</definedName>
    <definedName name="LevelA4998C0" comment="NA==" localSheetId="0" hidden="1">""</definedName>
    <definedName name="LevelA4999" comment="0" localSheetId="0" hidden="1">""</definedName>
    <definedName name="LevelA4999C0" comment="NA==" localSheetId="0" hidden="1">""</definedName>
    <definedName name="LevelA499C0" comment="NA==" localSheetId="0" hidden="1">""</definedName>
    <definedName name="LevelA49C0" comment="NA==" localSheetId="0" hidden="1">""</definedName>
    <definedName name="LevelA4C0" comment="NA==" localSheetId="0" hidden="1">""</definedName>
    <definedName name="LevelA5" comment="0" localSheetId="0" hidden="1">""</definedName>
    <definedName name="LevelA50" comment="0" localSheetId="0" hidden="1">""</definedName>
    <definedName name="LevelA500" comment="0" localSheetId="0" hidden="1">""</definedName>
    <definedName name="LevelA5000" comment="0" localSheetId="0" hidden="1">""</definedName>
    <definedName name="LevelA5000C0" comment="NA==" localSheetId="0" hidden="1">""</definedName>
    <definedName name="LevelA5001" comment="0" localSheetId="0" hidden="1">""</definedName>
    <definedName name="LevelA5001C0" comment="NA==" localSheetId="0" hidden="1">""</definedName>
    <definedName name="LevelA500C0" comment="NA==" localSheetId="0" hidden="1">""</definedName>
    <definedName name="LevelA501" comment="0" localSheetId="0" hidden="1">""</definedName>
    <definedName name="LevelA501C0" comment="NA==" localSheetId="0" hidden="1">""</definedName>
    <definedName name="LevelA502" comment="0" localSheetId="0" hidden="1">""</definedName>
    <definedName name="LevelA502C0" comment="NA==" localSheetId="0" hidden="1">""</definedName>
    <definedName name="LevelA503" comment="0" localSheetId="0" hidden="1">""</definedName>
    <definedName name="LevelA503C0" comment="NA==" localSheetId="0" hidden="1">""</definedName>
    <definedName name="LevelA504" comment="0" localSheetId="0" hidden="1">""</definedName>
    <definedName name="LevelA504C0" comment="NA==" localSheetId="0" hidden="1">""</definedName>
    <definedName name="LevelA505" comment="0" localSheetId="0" hidden="1">""</definedName>
    <definedName name="LevelA505C0" comment="NA==" localSheetId="0" hidden="1">""</definedName>
    <definedName name="LevelA506" comment="0" localSheetId="0" hidden="1">""</definedName>
    <definedName name="LevelA506C0" comment="NA==" localSheetId="0" hidden="1">""</definedName>
    <definedName name="LevelA507" comment="0" localSheetId="0" hidden="1">""</definedName>
    <definedName name="LevelA507C0" comment="NA==" localSheetId="0" hidden="1">""</definedName>
    <definedName name="LevelA508" comment="0" localSheetId="0" hidden="1">""</definedName>
    <definedName name="LevelA508C0" comment="NA==" localSheetId="0" hidden="1">""</definedName>
    <definedName name="LevelA509" comment="0" localSheetId="0" hidden="1">""</definedName>
    <definedName name="LevelA509C0" comment="NA==" localSheetId="0" hidden="1">""</definedName>
    <definedName name="LevelA50C0" comment="NA==" localSheetId="0" hidden="1">""</definedName>
    <definedName name="LevelA51" comment="0" localSheetId="0" hidden="1">""</definedName>
    <definedName name="LevelA510" comment="0" localSheetId="0" hidden="1">""</definedName>
    <definedName name="LevelA510C0" comment="NA==" localSheetId="0" hidden="1">""</definedName>
    <definedName name="LevelA511" comment="0" localSheetId="0" hidden="1">""</definedName>
    <definedName name="LevelA511C0" comment="NA==" localSheetId="0" hidden="1">""</definedName>
    <definedName name="LevelA512" comment="0" localSheetId="0" hidden="1">""</definedName>
    <definedName name="LevelA512C0" comment="NA==" localSheetId="0" hidden="1">""</definedName>
    <definedName name="LevelA513" comment="0" localSheetId="0" hidden="1">""</definedName>
    <definedName name="LevelA513C0" comment="NA==" localSheetId="0" hidden="1">""</definedName>
    <definedName name="LevelA514" comment="0" localSheetId="0" hidden="1">""</definedName>
    <definedName name="LevelA514C0" comment="NA==" localSheetId="0" hidden="1">""</definedName>
    <definedName name="LevelA515" comment="0" localSheetId="0" hidden="1">""</definedName>
    <definedName name="LevelA515C0" comment="NA==" localSheetId="0" hidden="1">""</definedName>
    <definedName name="LevelA516" comment="0" localSheetId="0" hidden="1">""</definedName>
    <definedName name="LevelA516C0" comment="NA==" localSheetId="0" hidden="1">""</definedName>
    <definedName name="LevelA517" comment="0" localSheetId="0" hidden="1">""</definedName>
    <definedName name="LevelA517C0" comment="NA==" localSheetId="0" hidden="1">""</definedName>
    <definedName name="LevelA518" comment="0" localSheetId="0" hidden="1">""</definedName>
    <definedName name="LevelA518C0" comment="NA==" localSheetId="0" hidden="1">""</definedName>
    <definedName name="LevelA519" comment="0" localSheetId="0" hidden="1">""</definedName>
    <definedName name="LevelA519C0" comment="NA==" localSheetId="0" hidden="1">""</definedName>
    <definedName name="LevelA51C0" comment="NA==" localSheetId="0" hidden="1">""</definedName>
    <definedName name="LevelA52" comment="0" localSheetId="0" hidden="1">""</definedName>
    <definedName name="LevelA520" comment="0" localSheetId="0" hidden="1">""</definedName>
    <definedName name="LevelA520C0" comment="NA==" localSheetId="0" hidden="1">""</definedName>
    <definedName name="LevelA521" comment="0" localSheetId="0" hidden="1">""</definedName>
    <definedName name="LevelA521C0" comment="NA==" localSheetId="0" hidden="1">""</definedName>
    <definedName name="LevelA522" comment="0" localSheetId="0" hidden="1">""</definedName>
    <definedName name="LevelA522C0" comment="NA==" localSheetId="0" hidden="1">""</definedName>
    <definedName name="LevelA523" comment="0" localSheetId="0" hidden="1">""</definedName>
    <definedName name="LevelA523C0" comment="NA==" localSheetId="0" hidden="1">""</definedName>
    <definedName name="LevelA524" comment="0" localSheetId="0" hidden="1">""</definedName>
    <definedName name="LevelA524C0" comment="NA==" localSheetId="0" hidden="1">""</definedName>
    <definedName name="LevelA525" comment="0" localSheetId="0" hidden="1">""</definedName>
    <definedName name="LevelA525C0" comment="NA==" localSheetId="0" hidden="1">""</definedName>
    <definedName name="LevelA526" comment="0" localSheetId="0" hidden="1">""</definedName>
    <definedName name="LevelA526C0" comment="NA==" localSheetId="0" hidden="1">""</definedName>
    <definedName name="LevelA527" comment="0" localSheetId="0" hidden="1">""</definedName>
    <definedName name="LevelA527C0" comment="NA==" localSheetId="0" hidden="1">""</definedName>
    <definedName name="LevelA528" comment="0" localSheetId="0" hidden="1">""</definedName>
    <definedName name="LevelA528C0" comment="NA==" localSheetId="0" hidden="1">""</definedName>
    <definedName name="LevelA529" comment="0" localSheetId="0" hidden="1">""</definedName>
    <definedName name="LevelA529C0" comment="NA==" localSheetId="0" hidden="1">""</definedName>
    <definedName name="LevelA52C0" comment="NA==" localSheetId="0" hidden="1">""</definedName>
    <definedName name="LevelA53" comment="0" localSheetId="0" hidden="1">""</definedName>
    <definedName name="LevelA530" comment="0" localSheetId="0" hidden="1">""</definedName>
    <definedName name="LevelA530C0" comment="NA==" localSheetId="0" hidden="1">""</definedName>
    <definedName name="LevelA531" comment="0" localSheetId="0" hidden="1">""</definedName>
    <definedName name="LevelA531C0" comment="NA==" localSheetId="0" hidden="1">""</definedName>
    <definedName name="LevelA532" comment="0" localSheetId="0" hidden="1">""</definedName>
    <definedName name="LevelA532C0" comment="NA==" localSheetId="0" hidden="1">""</definedName>
    <definedName name="LevelA533" comment="0" localSheetId="0" hidden="1">""</definedName>
    <definedName name="LevelA533C0" comment="NA==" localSheetId="0" hidden="1">""</definedName>
    <definedName name="LevelA534" comment="0" localSheetId="0" hidden="1">""</definedName>
    <definedName name="LevelA534C0" comment="NA==" localSheetId="0" hidden="1">""</definedName>
    <definedName name="LevelA535" comment="0" localSheetId="0" hidden="1">""</definedName>
    <definedName name="LevelA535C0" comment="NA==" localSheetId="0" hidden="1">""</definedName>
    <definedName name="LevelA536" comment="0" localSheetId="0" hidden="1">""</definedName>
    <definedName name="LevelA536C0" comment="NA==" localSheetId="0" hidden="1">""</definedName>
    <definedName name="LevelA537" comment="0" localSheetId="0" hidden="1">""</definedName>
    <definedName name="LevelA537C0" comment="NA==" localSheetId="0" hidden="1">""</definedName>
    <definedName name="LevelA538" comment="0" localSheetId="0" hidden="1">""</definedName>
    <definedName name="LevelA538C0" comment="NA==" localSheetId="0" hidden="1">""</definedName>
    <definedName name="LevelA539" comment="0" localSheetId="0" hidden="1">""</definedName>
    <definedName name="LevelA539C0" comment="NA==" localSheetId="0" hidden="1">""</definedName>
    <definedName name="LevelA53C0" comment="NA==" localSheetId="0" hidden="1">""</definedName>
    <definedName name="LevelA54" comment="0" localSheetId="0" hidden="1">""</definedName>
    <definedName name="LevelA540" comment="0" localSheetId="0" hidden="1">""</definedName>
    <definedName name="LevelA540C0" comment="NA==" localSheetId="0" hidden="1">""</definedName>
    <definedName name="LevelA541" comment="0" localSheetId="0" hidden="1">""</definedName>
    <definedName name="LevelA541C0" comment="NA==" localSheetId="0" hidden="1">""</definedName>
    <definedName name="LevelA542" comment="0" localSheetId="0" hidden="1">""</definedName>
    <definedName name="LevelA542C0" comment="NA==" localSheetId="0" hidden="1">""</definedName>
    <definedName name="LevelA543" comment="0" localSheetId="0" hidden="1">""</definedName>
    <definedName name="LevelA543C0" comment="NA==" localSheetId="0" hidden="1">""</definedName>
    <definedName name="LevelA544" comment="0" localSheetId="0" hidden="1">""</definedName>
    <definedName name="LevelA544C0" comment="NA==" localSheetId="0" hidden="1">""</definedName>
    <definedName name="LevelA545" comment="0" localSheetId="0" hidden="1">""</definedName>
    <definedName name="LevelA545C0" comment="NA==" localSheetId="0" hidden="1">""</definedName>
    <definedName name="LevelA546" comment="0" localSheetId="0" hidden="1">""</definedName>
    <definedName name="LevelA546C0" comment="NA==" localSheetId="0" hidden="1">""</definedName>
    <definedName name="LevelA547" comment="0" localSheetId="0" hidden="1">""</definedName>
    <definedName name="LevelA547C0" comment="NA==" localSheetId="0" hidden="1">""</definedName>
    <definedName name="LevelA548" comment="0" localSheetId="0" hidden="1">""</definedName>
    <definedName name="LevelA548C0" comment="NA==" localSheetId="0" hidden="1">""</definedName>
    <definedName name="LevelA549" comment="0" localSheetId="0" hidden="1">""</definedName>
    <definedName name="LevelA549C0" comment="NA==" localSheetId="0" hidden="1">""</definedName>
    <definedName name="LevelA54C0" comment="NA==" localSheetId="0" hidden="1">""</definedName>
    <definedName name="LevelA55" comment="0" localSheetId="0" hidden="1">""</definedName>
    <definedName name="LevelA550" comment="0" localSheetId="0" hidden="1">""</definedName>
    <definedName name="LevelA550C0" comment="NA==" localSheetId="0" hidden="1">""</definedName>
    <definedName name="LevelA551" comment="0" localSheetId="0" hidden="1">""</definedName>
    <definedName name="LevelA551C0" comment="NA==" localSheetId="0" hidden="1">""</definedName>
    <definedName name="LevelA552" comment="0" localSheetId="0" hidden="1">""</definedName>
    <definedName name="LevelA552C0" comment="NA==" localSheetId="0" hidden="1">""</definedName>
    <definedName name="LevelA553" comment="0" localSheetId="0" hidden="1">""</definedName>
    <definedName name="LevelA553C0" comment="NA==" localSheetId="0" hidden="1">""</definedName>
    <definedName name="LevelA554" comment="0" localSheetId="0" hidden="1">""</definedName>
    <definedName name="LevelA554C0" comment="NA==" localSheetId="0" hidden="1">""</definedName>
    <definedName name="LevelA555" comment="0" localSheetId="0" hidden="1">""</definedName>
    <definedName name="LevelA555C0" comment="NA==" localSheetId="0" hidden="1">""</definedName>
    <definedName name="LevelA556" comment="0" localSheetId="0" hidden="1">""</definedName>
    <definedName name="LevelA556C0" comment="NA==" localSheetId="0" hidden="1">""</definedName>
    <definedName name="LevelA557" comment="0" localSheetId="0" hidden="1">""</definedName>
    <definedName name="LevelA557C0" comment="NA==" localSheetId="0" hidden="1">""</definedName>
    <definedName name="LevelA558" comment="0" localSheetId="0" hidden="1">""</definedName>
    <definedName name="LevelA558C0" comment="NA==" localSheetId="0" hidden="1">""</definedName>
    <definedName name="LevelA559" comment="0" localSheetId="0" hidden="1">""</definedName>
    <definedName name="LevelA559C0" comment="NA==" localSheetId="0" hidden="1">""</definedName>
    <definedName name="LevelA55C0" comment="NA==" localSheetId="0" hidden="1">""</definedName>
    <definedName name="LevelA56" comment="0" localSheetId="0" hidden="1">""</definedName>
    <definedName name="LevelA560" comment="0" localSheetId="0" hidden="1">""</definedName>
    <definedName name="LevelA560C0" comment="NA==" localSheetId="0" hidden="1">""</definedName>
    <definedName name="LevelA561" comment="0" localSheetId="0" hidden="1">""</definedName>
    <definedName name="LevelA561C0" comment="NA==" localSheetId="0" hidden="1">""</definedName>
    <definedName name="LevelA562" comment="0" localSheetId="0" hidden="1">""</definedName>
    <definedName name="LevelA562C0" comment="NA==" localSheetId="0" hidden="1">""</definedName>
    <definedName name="LevelA563" comment="0" localSheetId="0" hidden="1">""</definedName>
    <definedName name="LevelA563C0" comment="NA==" localSheetId="0" hidden="1">""</definedName>
    <definedName name="LevelA564" comment="0" localSheetId="0" hidden="1">""</definedName>
    <definedName name="LevelA564C0" comment="NA==" localSheetId="0" hidden="1">""</definedName>
    <definedName name="LevelA565" comment="0" localSheetId="0" hidden="1">""</definedName>
    <definedName name="LevelA565C0" comment="NA==" localSheetId="0" hidden="1">""</definedName>
    <definedName name="LevelA566" comment="0" localSheetId="0" hidden="1">""</definedName>
    <definedName name="LevelA566C0" comment="NA==" localSheetId="0" hidden="1">""</definedName>
    <definedName name="LevelA567" comment="0" localSheetId="0" hidden="1">""</definedName>
    <definedName name="LevelA567C0" comment="NA==" localSheetId="0" hidden="1">""</definedName>
    <definedName name="LevelA568" comment="0" localSheetId="0" hidden="1">""</definedName>
    <definedName name="LevelA568C0" comment="NA==" localSheetId="0" hidden="1">""</definedName>
    <definedName name="LevelA569" comment="0" localSheetId="0" hidden="1">""</definedName>
    <definedName name="LevelA569C0" comment="NA==" localSheetId="0" hidden="1">""</definedName>
    <definedName name="LevelA56C0" comment="NA==" localSheetId="0" hidden="1">""</definedName>
    <definedName name="LevelA57" comment="0" localSheetId="0" hidden="1">""</definedName>
    <definedName name="LevelA570" comment="0" localSheetId="0" hidden="1">""</definedName>
    <definedName name="LevelA570C0" comment="NA==" localSheetId="0" hidden="1">""</definedName>
    <definedName name="LevelA571" comment="0" localSheetId="0" hidden="1">""</definedName>
    <definedName name="LevelA571C0" comment="NA==" localSheetId="0" hidden="1">""</definedName>
    <definedName name="LevelA572" comment="0" localSheetId="0" hidden="1">""</definedName>
    <definedName name="LevelA572C0" comment="NA==" localSheetId="0" hidden="1">""</definedName>
    <definedName name="LevelA573" comment="0" localSheetId="0" hidden="1">""</definedName>
    <definedName name="LevelA573C0" comment="NA==" localSheetId="0" hidden="1">""</definedName>
    <definedName name="LevelA574" comment="0" localSheetId="0" hidden="1">""</definedName>
    <definedName name="LevelA574C0" comment="NA==" localSheetId="0" hidden="1">""</definedName>
    <definedName name="LevelA575" comment="0" localSheetId="0" hidden="1">""</definedName>
    <definedName name="LevelA575C0" comment="NA==" localSheetId="0" hidden="1">""</definedName>
    <definedName name="LevelA576" comment="0" localSheetId="0" hidden="1">""</definedName>
    <definedName name="LevelA576C0" comment="NA==" localSheetId="0" hidden="1">""</definedName>
    <definedName name="LevelA577" comment="0" localSheetId="0" hidden="1">""</definedName>
    <definedName name="LevelA577C0" comment="NA==" localSheetId="0" hidden="1">""</definedName>
    <definedName name="LevelA578" comment="0" localSheetId="0" hidden="1">""</definedName>
    <definedName name="LevelA578C0" comment="NA==" localSheetId="0" hidden="1">""</definedName>
    <definedName name="LevelA579" comment="0" localSheetId="0" hidden="1">""</definedName>
    <definedName name="LevelA579C0" comment="NA==" localSheetId="0" hidden="1">""</definedName>
    <definedName name="LevelA57C0" comment="NA==" localSheetId="0" hidden="1">""</definedName>
    <definedName name="LevelA58" comment="0" localSheetId="0" hidden="1">""</definedName>
    <definedName name="LevelA580" comment="0" localSheetId="0" hidden="1">""</definedName>
    <definedName name="LevelA580C0" comment="NA==" localSheetId="0" hidden="1">""</definedName>
    <definedName name="LevelA581" comment="0" localSheetId="0" hidden="1">""</definedName>
    <definedName name="LevelA581C0" comment="NA==" localSheetId="0" hidden="1">""</definedName>
    <definedName name="LevelA582" comment="0" localSheetId="0" hidden="1">""</definedName>
    <definedName name="LevelA582C0" comment="NA==" localSheetId="0" hidden="1">""</definedName>
    <definedName name="LevelA583" comment="0" localSheetId="0" hidden="1">""</definedName>
    <definedName name="LevelA583C0" comment="NA==" localSheetId="0" hidden="1">""</definedName>
    <definedName name="LevelA584" comment="0" localSheetId="0" hidden="1">""</definedName>
    <definedName name="LevelA584C0" comment="NA==" localSheetId="0" hidden="1">""</definedName>
    <definedName name="LevelA585" comment="0" localSheetId="0" hidden="1">""</definedName>
    <definedName name="LevelA585C0" comment="NA==" localSheetId="0" hidden="1">""</definedName>
    <definedName name="LevelA586" comment="0" localSheetId="0" hidden="1">""</definedName>
    <definedName name="LevelA586C0" comment="NA==" localSheetId="0" hidden="1">""</definedName>
    <definedName name="LevelA587" comment="0" localSheetId="0" hidden="1">""</definedName>
    <definedName name="LevelA587C0" comment="NA==" localSheetId="0" hidden="1">""</definedName>
    <definedName name="LevelA588" comment="0" localSheetId="0" hidden="1">""</definedName>
    <definedName name="LevelA588C0" comment="NA==" localSheetId="0" hidden="1">""</definedName>
    <definedName name="LevelA589" comment="0" localSheetId="0" hidden="1">""</definedName>
    <definedName name="LevelA589C0" comment="NA==" localSheetId="0" hidden="1">""</definedName>
    <definedName name="LevelA58C0" comment="NA==" localSheetId="0" hidden="1">""</definedName>
    <definedName name="LevelA59" comment="0" localSheetId="0" hidden="1">""</definedName>
    <definedName name="LevelA590" comment="0" localSheetId="0" hidden="1">""</definedName>
    <definedName name="LevelA590C0" comment="NA==" localSheetId="0" hidden="1">""</definedName>
    <definedName name="LevelA591" comment="0" localSheetId="0" hidden="1">""</definedName>
    <definedName name="LevelA591C0" comment="NA==" localSheetId="0" hidden="1">""</definedName>
    <definedName name="LevelA592" comment="0" localSheetId="0" hidden="1">""</definedName>
    <definedName name="LevelA592C0" comment="NA==" localSheetId="0" hidden="1">""</definedName>
    <definedName name="LevelA593" comment="0" localSheetId="0" hidden="1">""</definedName>
    <definedName name="LevelA593C0" comment="NA==" localSheetId="0" hidden="1">""</definedName>
    <definedName name="LevelA594" comment="0" localSheetId="0" hidden="1">""</definedName>
    <definedName name="LevelA594C0" comment="NA==" localSheetId="0" hidden="1">""</definedName>
    <definedName name="LevelA595" comment="0" localSheetId="0" hidden="1">""</definedName>
    <definedName name="LevelA595C0" comment="NA==" localSheetId="0" hidden="1">""</definedName>
    <definedName name="LevelA596" comment="0" localSheetId="0" hidden="1">""</definedName>
    <definedName name="LevelA596C0" comment="NA==" localSheetId="0" hidden="1">""</definedName>
    <definedName name="LevelA597" comment="0" localSheetId="0" hidden="1">""</definedName>
    <definedName name="LevelA597C0" comment="NA==" localSheetId="0" hidden="1">""</definedName>
    <definedName name="LevelA598" comment="0" localSheetId="0" hidden="1">""</definedName>
    <definedName name="LevelA598C0" comment="NA==" localSheetId="0" hidden="1">""</definedName>
    <definedName name="LevelA599" comment="0" localSheetId="0" hidden="1">""</definedName>
    <definedName name="LevelA599C0" comment="NA==" localSheetId="0" hidden="1">""</definedName>
    <definedName name="LevelA59C0" comment="NA==" localSheetId="0" hidden="1">""</definedName>
    <definedName name="LevelA5C0" comment="NA==" localSheetId="0" hidden="1">""</definedName>
    <definedName name="LevelA6" comment="0" localSheetId="0" hidden="1">""</definedName>
    <definedName name="LevelA60" comment="0" localSheetId="0" hidden="1">""</definedName>
    <definedName name="LevelA600" comment="0" localSheetId="0" hidden="1">""</definedName>
    <definedName name="LevelA600C0" comment="NA==" localSheetId="0" hidden="1">""</definedName>
    <definedName name="LevelA601" comment="0" localSheetId="0" hidden="1">""</definedName>
    <definedName name="LevelA601C0" comment="NA==" localSheetId="0" hidden="1">""</definedName>
    <definedName name="LevelA602" comment="0" localSheetId="0" hidden="1">""</definedName>
    <definedName name="LevelA602C0" comment="NA==" localSheetId="0" hidden="1">""</definedName>
    <definedName name="LevelA603" comment="0" localSheetId="0" hidden="1">""</definedName>
    <definedName name="LevelA603C0" comment="NA==" localSheetId="0" hidden="1">""</definedName>
    <definedName name="LevelA604" comment="0" localSheetId="0" hidden="1">""</definedName>
    <definedName name="LevelA604C0" comment="NA==" localSheetId="0" hidden="1">""</definedName>
    <definedName name="LevelA605" comment="0" localSheetId="0" hidden="1">""</definedName>
    <definedName name="LevelA605C0" comment="NA==" localSheetId="0" hidden="1">""</definedName>
    <definedName name="LevelA606" comment="0" localSheetId="0" hidden="1">""</definedName>
    <definedName name="LevelA606C0" comment="NA==" localSheetId="0" hidden="1">""</definedName>
    <definedName name="LevelA607" comment="0" localSheetId="0" hidden="1">""</definedName>
    <definedName name="LevelA607C0" comment="NA==" localSheetId="0" hidden="1">""</definedName>
    <definedName name="LevelA608" comment="0" localSheetId="0" hidden="1">""</definedName>
    <definedName name="LevelA608C0" comment="NA==" localSheetId="0" hidden="1">""</definedName>
    <definedName name="LevelA609" comment="0" localSheetId="0" hidden="1">""</definedName>
    <definedName name="LevelA609C0" comment="NA==" localSheetId="0" hidden="1">""</definedName>
    <definedName name="LevelA60C0" comment="NA==" localSheetId="0" hidden="1">""</definedName>
    <definedName name="LevelA61" comment="0" localSheetId="0" hidden="1">""</definedName>
    <definedName name="LevelA610" comment="0" localSheetId="0" hidden="1">""</definedName>
    <definedName name="LevelA610C0" comment="NA==" localSheetId="0" hidden="1">""</definedName>
    <definedName name="LevelA611" comment="0" localSheetId="0" hidden="1">""</definedName>
    <definedName name="LevelA611C0" comment="NA==" localSheetId="0" hidden="1">""</definedName>
    <definedName name="LevelA612" comment="0" localSheetId="0" hidden="1">""</definedName>
    <definedName name="LevelA612C0" comment="NA==" localSheetId="0" hidden="1">""</definedName>
    <definedName name="LevelA613" comment="0" localSheetId="0" hidden="1">""</definedName>
    <definedName name="LevelA613C0" comment="NA==" localSheetId="0" hidden="1">""</definedName>
    <definedName name="LevelA614" comment="0" localSheetId="0" hidden="1">""</definedName>
    <definedName name="LevelA614C0" comment="NA==" localSheetId="0" hidden="1">""</definedName>
    <definedName name="LevelA615" comment="0" localSheetId="0" hidden="1">""</definedName>
    <definedName name="LevelA615C0" comment="NA==" localSheetId="0" hidden="1">""</definedName>
    <definedName name="LevelA616" comment="0" localSheetId="0" hidden="1">""</definedName>
    <definedName name="LevelA616C0" comment="NA==" localSheetId="0" hidden="1">""</definedName>
    <definedName name="LevelA617" comment="0" localSheetId="0" hidden="1">""</definedName>
    <definedName name="LevelA617C0" comment="NA==" localSheetId="0" hidden="1">""</definedName>
    <definedName name="LevelA618" comment="0" localSheetId="0" hidden="1">""</definedName>
    <definedName name="LevelA618C0" comment="NA==" localSheetId="0" hidden="1">""</definedName>
    <definedName name="LevelA619" comment="0" localSheetId="0" hidden="1">""</definedName>
    <definedName name="LevelA619C0" comment="NA==" localSheetId="0" hidden="1">""</definedName>
    <definedName name="LevelA61C0" comment="NA==" localSheetId="0" hidden="1">""</definedName>
    <definedName name="LevelA62" comment="0" localSheetId="0" hidden="1">""</definedName>
    <definedName name="LevelA620" comment="0" localSheetId="0" hidden="1">""</definedName>
    <definedName name="LevelA620C0" comment="NA==" localSheetId="0" hidden="1">""</definedName>
    <definedName name="LevelA621" comment="0" localSheetId="0" hidden="1">""</definedName>
    <definedName name="LevelA621C0" comment="NA==" localSheetId="0" hidden="1">""</definedName>
    <definedName name="LevelA622" comment="0" localSheetId="0" hidden="1">""</definedName>
    <definedName name="LevelA622C0" comment="NA==" localSheetId="0" hidden="1">""</definedName>
    <definedName name="LevelA623" comment="0" localSheetId="0" hidden="1">""</definedName>
    <definedName name="LevelA623C0" comment="NA==" localSheetId="0" hidden="1">""</definedName>
    <definedName name="LevelA624" comment="0" localSheetId="0" hidden="1">""</definedName>
    <definedName name="LevelA624C0" comment="NA==" localSheetId="0" hidden="1">""</definedName>
    <definedName name="LevelA625" comment="0" localSheetId="0" hidden="1">""</definedName>
    <definedName name="LevelA625C0" comment="NA==" localSheetId="0" hidden="1">""</definedName>
    <definedName name="LevelA626" comment="0" localSheetId="0" hidden="1">""</definedName>
    <definedName name="LevelA626C0" comment="NA==" localSheetId="0" hidden="1">""</definedName>
    <definedName name="LevelA627" comment="0" localSheetId="0" hidden="1">""</definedName>
    <definedName name="LevelA627C0" comment="NA==" localSheetId="0" hidden="1">""</definedName>
    <definedName name="LevelA628" comment="0" localSheetId="0" hidden="1">""</definedName>
    <definedName name="LevelA628C0" comment="NA==" localSheetId="0" hidden="1">""</definedName>
    <definedName name="LevelA629" comment="0" localSheetId="0" hidden="1">""</definedName>
    <definedName name="LevelA629C0" comment="NA==" localSheetId="0" hidden="1">""</definedName>
    <definedName name="LevelA62C0" comment="NA==" localSheetId="0" hidden="1">""</definedName>
    <definedName name="LevelA63" comment="0" localSheetId="0" hidden="1">""</definedName>
    <definedName name="LevelA630" comment="0" localSheetId="0" hidden="1">""</definedName>
    <definedName name="LevelA630C0" comment="NA==" localSheetId="0" hidden="1">""</definedName>
    <definedName name="LevelA631" comment="0" localSheetId="0" hidden="1">""</definedName>
    <definedName name="LevelA631C0" comment="NA==" localSheetId="0" hidden="1">""</definedName>
    <definedName name="LevelA632" comment="0" localSheetId="0" hidden="1">""</definedName>
    <definedName name="LevelA632C0" comment="NA==" localSheetId="0" hidden="1">""</definedName>
    <definedName name="LevelA633" comment="0" localSheetId="0" hidden="1">""</definedName>
    <definedName name="LevelA633C0" comment="NA==" localSheetId="0" hidden="1">""</definedName>
    <definedName name="LevelA634" comment="0" localSheetId="0" hidden="1">""</definedName>
    <definedName name="LevelA634C0" comment="NA==" localSheetId="0" hidden="1">""</definedName>
    <definedName name="LevelA635" comment="0" localSheetId="0" hidden="1">""</definedName>
    <definedName name="LevelA635C0" comment="NA==" localSheetId="0" hidden="1">""</definedName>
    <definedName name="LevelA636" comment="0" localSheetId="0" hidden="1">""</definedName>
    <definedName name="LevelA636C0" comment="NA==" localSheetId="0" hidden="1">""</definedName>
    <definedName name="LevelA637" comment="0" localSheetId="0" hidden="1">""</definedName>
    <definedName name="LevelA637C0" comment="NA==" localSheetId="0" hidden="1">""</definedName>
    <definedName name="LevelA638" comment="0" localSheetId="0" hidden="1">""</definedName>
    <definedName name="LevelA638C0" comment="NA==" localSheetId="0" hidden="1">""</definedName>
    <definedName name="LevelA639" comment="0" localSheetId="0" hidden="1">""</definedName>
    <definedName name="LevelA639C0" comment="NA==" localSheetId="0" hidden="1">""</definedName>
    <definedName name="LevelA63C0" comment="NA==" localSheetId="0" hidden="1">""</definedName>
    <definedName name="LevelA64" comment="0" localSheetId="0" hidden="1">""</definedName>
    <definedName name="LevelA640" comment="0" localSheetId="0" hidden="1">""</definedName>
    <definedName name="LevelA640C0" comment="NA==" localSheetId="0" hidden="1">""</definedName>
    <definedName name="LevelA641" comment="0" localSheetId="0" hidden="1">""</definedName>
    <definedName name="LevelA641C0" comment="NA==" localSheetId="0" hidden="1">""</definedName>
    <definedName name="LevelA642" comment="0" localSheetId="0" hidden="1">""</definedName>
    <definedName name="LevelA642C0" comment="NA==" localSheetId="0" hidden="1">""</definedName>
    <definedName name="LevelA643" comment="0" localSheetId="0" hidden="1">""</definedName>
    <definedName name="LevelA643C0" comment="NA==" localSheetId="0" hidden="1">""</definedName>
    <definedName name="LevelA644" comment="0" localSheetId="0" hidden="1">""</definedName>
    <definedName name="LevelA644C0" comment="NA==" localSheetId="0" hidden="1">""</definedName>
    <definedName name="LevelA645" comment="0" localSheetId="0" hidden="1">""</definedName>
    <definedName name="LevelA645C0" comment="NA==" localSheetId="0" hidden="1">""</definedName>
    <definedName name="LevelA646" comment="0" localSheetId="0" hidden="1">""</definedName>
    <definedName name="LevelA646C0" comment="NA==" localSheetId="0" hidden="1">""</definedName>
    <definedName name="LevelA647" comment="0" localSheetId="0" hidden="1">""</definedName>
    <definedName name="LevelA647C0" comment="NA==" localSheetId="0" hidden="1">""</definedName>
    <definedName name="LevelA648" comment="0" localSheetId="0" hidden="1">""</definedName>
    <definedName name="LevelA648C0" comment="NA==" localSheetId="0" hidden="1">""</definedName>
    <definedName name="LevelA649" comment="0" localSheetId="0" hidden="1">""</definedName>
    <definedName name="LevelA649C0" comment="NA==" localSheetId="0" hidden="1">""</definedName>
    <definedName name="LevelA64C0" comment="NA==" localSheetId="0" hidden="1">""</definedName>
    <definedName name="LevelA65" comment="0" localSheetId="0" hidden="1">""</definedName>
    <definedName name="LevelA650" comment="0" localSheetId="0" hidden="1">""</definedName>
    <definedName name="LevelA650C0" comment="NA==" localSheetId="0" hidden="1">""</definedName>
    <definedName name="LevelA651" comment="0" localSheetId="0" hidden="1">""</definedName>
    <definedName name="LevelA651C0" comment="NA==" localSheetId="0" hidden="1">""</definedName>
    <definedName name="LevelA652" comment="0" localSheetId="0" hidden="1">""</definedName>
    <definedName name="LevelA652C0" comment="NA==" localSheetId="0" hidden="1">""</definedName>
    <definedName name="LevelA653" comment="0" localSheetId="0" hidden="1">""</definedName>
    <definedName name="LevelA653C0" comment="NA==" localSheetId="0" hidden="1">""</definedName>
    <definedName name="LevelA654" comment="0" localSheetId="0" hidden="1">""</definedName>
    <definedName name="LevelA654C0" comment="NA==" localSheetId="0" hidden="1">""</definedName>
    <definedName name="LevelA655" comment="0" localSheetId="0" hidden="1">""</definedName>
    <definedName name="LevelA655C0" comment="NA==" localSheetId="0" hidden="1">""</definedName>
    <definedName name="LevelA656" comment="0" localSheetId="0" hidden="1">""</definedName>
    <definedName name="LevelA656C0" comment="NA==" localSheetId="0" hidden="1">""</definedName>
    <definedName name="LevelA657" comment="0" localSheetId="0" hidden="1">""</definedName>
    <definedName name="LevelA657C0" comment="NA==" localSheetId="0" hidden="1">""</definedName>
    <definedName name="LevelA658" comment="0" localSheetId="0" hidden="1">""</definedName>
    <definedName name="LevelA658C0" comment="NA==" localSheetId="0" hidden="1">""</definedName>
    <definedName name="LevelA659" comment="0" localSheetId="0" hidden="1">""</definedName>
    <definedName name="LevelA659C0" comment="NA==" localSheetId="0" hidden="1">""</definedName>
    <definedName name="LevelA65C0" comment="NA==" localSheetId="0" hidden="1">""</definedName>
    <definedName name="LevelA66" comment="0" localSheetId="0" hidden="1">""</definedName>
    <definedName name="LevelA660" comment="0" localSheetId="0" hidden="1">""</definedName>
    <definedName name="LevelA660C0" comment="NA==" localSheetId="0" hidden="1">""</definedName>
    <definedName name="LevelA661" comment="0" localSheetId="0" hidden="1">""</definedName>
    <definedName name="LevelA661C0" comment="NA==" localSheetId="0" hidden="1">""</definedName>
    <definedName name="LevelA662" comment="0" localSheetId="0" hidden="1">""</definedName>
    <definedName name="LevelA662C0" comment="NA==" localSheetId="0" hidden="1">""</definedName>
    <definedName name="LevelA663" comment="0" localSheetId="0" hidden="1">""</definedName>
    <definedName name="LevelA663C0" comment="NA==" localSheetId="0" hidden="1">""</definedName>
    <definedName name="LevelA664" comment="0" localSheetId="0" hidden="1">""</definedName>
    <definedName name="LevelA664C0" comment="NA==" localSheetId="0" hidden="1">""</definedName>
    <definedName name="LevelA665" comment="0" localSheetId="0" hidden="1">""</definedName>
    <definedName name="LevelA665C0" comment="NA==" localSheetId="0" hidden="1">""</definedName>
    <definedName name="LevelA666" comment="0" localSheetId="0" hidden="1">""</definedName>
    <definedName name="LevelA666C0" comment="NA==" localSheetId="0" hidden="1">""</definedName>
    <definedName name="LevelA667" comment="0" localSheetId="0" hidden="1">""</definedName>
    <definedName name="LevelA667C0" comment="NA==" localSheetId="0" hidden="1">""</definedName>
    <definedName name="LevelA668" comment="0" localSheetId="0" hidden="1">""</definedName>
    <definedName name="LevelA668C0" comment="NA==" localSheetId="0" hidden="1">""</definedName>
    <definedName name="LevelA669" comment="0" localSheetId="0" hidden="1">""</definedName>
    <definedName name="LevelA669C0" comment="NA==" localSheetId="0" hidden="1">""</definedName>
    <definedName name="LevelA66C0" comment="NA==" localSheetId="0" hidden="1">""</definedName>
    <definedName name="LevelA67" comment="0" localSheetId="0" hidden="1">""</definedName>
    <definedName name="LevelA670" comment="0" localSheetId="0" hidden="1">""</definedName>
    <definedName name="LevelA670C0" comment="NA==" localSheetId="0" hidden="1">""</definedName>
    <definedName name="LevelA671" comment="0" localSheetId="0" hidden="1">""</definedName>
    <definedName name="LevelA671C0" comment="NA==" localSheetId="0" hidden="1">""</definedName>
    <definedName name="LevelA672" comment="0" localSheetId="0" hidden="1">""</definedName>
    <definedName name="LevelA672C0" comment="NA==" localSheetId="0" hidden="1">""</definedName>
    <definedName name="LevelA673" comment="0" localSheetId="0" hidden="1">""</definedName>
    <definedName name="LevelA673C0" comment="NA==" localSheetId="0" hidden="1">""</definedName>
    <definedName name="LevelA674" comment="0" localSheetId="0" hidden="1">""</definedName>
    <definedName name="LevelA674C0" comment="NA==" localSheetId="0" hidden="1">""</definedName>
    <definedName name="LevelA675" comment="0" localSheetId="0" hidden="1">""</definedName>
    <definedName name="LevelA675C0" comment="NA==" localSheetId="0" hidden="1">""</definedName>
    <definedName name="LevelA676" comment="0" localSheetId="0" hidden="1">""</definedName>
    <definedName name="LevelA676C0" comment="NA==" localSheetId="0" hidden="1">""</definedName>
    <definedName name="LevelA677" comment="0" localSheetId="0" hidden="1">""</definedName>
    <definedName name="LevelA677C0" comment="NA==" localSheetId="0" hidden="1">""</definedName>
    <definedName name="LevelA678" comment="0" localSheetId="0" hidden="1">""</definedName>
    <definedName name="LevelA678C0" comment="NA==" localSheetId="0" hidden="1">""</definedName>
    <definedName name="LevelA679" comment="0" localSheetId="0" hidden="1">""</definedName>
    <definedName name="LevelA679C0" comment="NA==" localSheetId="0" hidden="1">""</definedName>
    <definedName name="LevelA67C0" comment="NA==" localSheetId="0" hidden="1">""</definedName>
    <definedName name="LevelA68" comment="0" localSheetId="0" hidden="1">""</definedName>
    <definedName name="LevelA680" comment="0" localSheetId="0" hidden="1">""</definedName>
    <definedName name="LevelA680C0" comment="NA==" localSheetId="0" hidden="1">""</definedName>
    <definedName name="LevelA681" comment="0" localSheetId="0" hidden="1">""</definedName>
    <definedName name="LevelA681C0" comment="NA==" localSheetId="0" hidden="1">""</definedName>
    <definedName name="LevelA682" comment="0" localSheetId="0" hidden="1">""</definedName>
    <definedName name="LevelA682C0" comment="NA==" localSheetId="0" hidden="1">""</definedName>
    <definedName name="LevelA683" comment="0" localSheetId="0" hidden="1">""</definedName>
    <definedName name="LevelA683C0" comment="NA==" localSheetId="0" hidden="1">""</definedName>
    <definedName name="LevelA684" comment="0" localSheetId="0" hidden="1">""</definedName>
    <definedName name="LevelA684C0" comment="NA==" localSheetId="0" hidden="1">""</definedName>
    <definedName name="LevelA685" comment="0" localSheetId="0" hidden="1">""</definedName>
    <definedName name="LevelA685C0" comment="NA==" localSheetId="0" hidden="1">""</definedName>
    <definedName name="LevelA686" comment="0" localSheetId="0" hidden="1">""</definedName>
    <definedName name="LevelA686C0" comment="NA==" localSheetId="0" hidden="1">""</definedName>
    <definedName name="LevelA687" comment="0" localSheetId="0" hidden="1">""</definedName>
    <definedName name="LevelA687C0" comment="NA==" localSheetId="0" hidden="1">""</definedName>
    <definedName name="LevelA688" comment="0" localSheetId="0" hidden="1">""</definedName>
    <definedName name="LevelA688C0" comment="NA==" localSheetId="0" hidden="1">""</definedName>
    <definedName name="LevelA689" comment="0" localSheetId="0" hidden="1">""</definedName>
    <definedName name="LevelA689C0" comment="NA==" localSheetId="0" hidden="1">""</definedName>
    <definedName name="LevelA68C0" comment="NA==" localSheetId="0" hidden="1">""</definedName>
    <definedName name="LevelA69" comment="0" localSheetId="0" hidden="1">""</definedName>
    <definedName name="LevelA690" comment="0" localSheetId="0" hidden="1">""</definedName>
    <definedName name="LevelA690C0" comment="NA==" localSheetId="0" hidden="1">""</definedName>
    <definedName name="LevelA691" comment="0" localSheetId="0" hidden="1">""</definedName>
    <definedName name="LevelA691C0" comment="NA==" localSheetId="0" hidden="1">""</definedName>
    <definedName name="LevelA692" comment="0" localSheetId="0" hidden="1">""</definedName>
    <definedName name="LevelA692C0" comment="NA==" localSheetId="0" hidden="1">""</definedName>
    <definedName name="LevelA693" comment="0" localSheetId="0" hidden="1">""</definedName>
    <definedName name="LevelA693C0" comment="NA==" localSheetId="0" hidden="1">""</definedName>
    <definedName name="LevelA694" comment="0" localSheetId="0" hidden="1">""</definedName>
    <definedName name="LevelA694C0" comment="NA==" localSheetId="0" hidden="1">""</definedName>
    <definedName name="LevelA695" comment="0" localSheetId="0" hidden="1">""</definedName>
    <definedName name="LevelA695C0" comment="NA==" localSheetId="0" hidden="1">""</definedName>
    <definedName name="LevelA696" comment="0" localSheetId="0" hidden="1">""</definedName>
    <definedName name="LevelA696C0" comment="NA==" localSheetId="0" hidden="1">""</definedName>
    <definedName name="LevelA697" comment="0" localSheetId="0" hidden="1">""</definedName>
    <definedName name="LevelA697C0" comment="NA==" localSheetId="0" hidden="1">""</definedName>
    <definedName name="LevelA698" comment="0" localSheetId="0" hidden="1">""</definedName>
    <definedName name="LevelA698C0" comment="NA==" localSheetId="0" hidden="1">""</definedName>
    <definedName name="LevelA699" comment="0" localSheetId="0" hidden="1">""</definedName>
    <definedName name="LevelA699C0" comment="NA==" localSheetId="0" hidden="1">""</definedName>
    <definedName name="LevelA69C0" comment="NA==" localSheetId="0" hidden="1">""</definedName>
    <definedName name="LevelA6C0" comment="NA==" localSheetId="0" hidden="1">""</definedName>
    <definedName name="LevelA7" comment="0" localSheetId="0" hidden="1">""</definedName>
    <definedName name="LevelA70" comment="0" localSheetId="0" hidden="1">""</definedName>
    <definedName name="LevelA700" comment="0" localSheetId="0" hidden="1">""</definedName>
    <definedName name="LevelA700C0" comment="NA==" localSheetId="0" hidden="1">""</definedName>
    <definedName name="LevelA701" comment="0" localSheetId="0" hidden="1">""</definedName>
    <definedName name="LevelA701C0" comment="NA==" localSheetId="0" hidden="1">""</definedName>
    <definedName name="LevelA702" comment="0" localSheetId="0" hidden="1">""</definedName>
    <definedName name="LevelA702C0" comment="NA==" localSheetId="0" hidden="1">""</definedName>
    <definedName name="LevelA703" comment="0" localSheetId="0" hidden="1">""</definedName>
    <definedName name="LevelA703C0" comment="NA==" localSheetId="0" hidden="1">""</definedName>
    <definedName name="LevelA704" comment="0" localSheetId="0" hidden="1">""</definedName>
    <definedName name="LevelA704C0" comment="NA==" localSheetId="0" hidden="1">""</definedName>
    <definedName name="LevelA705" comment="0" localSheetId="0" hidden="1">""</definedName>
    <definedName name="LevelA705C0" comment="NA==" localSheetId="0" hidden="1">""</definedName>
    <definedName name="LevelA706" comment="0" localSheetId="0" hidden="1">""</definedName>
    <definedName name="LevelA706C0" comment="NA==" localSheetId="0" hidden="1">""</definedName>
    <definedName name="LevelA707" comment="0" localSheetId="0" hidden="1">""</definedName>
    <definedName name="LevelA707C0" comment="NA==" localSheetId="0" hidden="1">""</definedName>
    <definedName name="LevelA708" comment="0" localSheetId="0" hidden="1">""</definedName>
    <definedName name="LevelA708C0" comment="NA==" localSheetId="0" hidden="1">""</definedName>
    <definedName name="LevelA709" comment="0" localSheetId="0" hidden="1">""</definedName>
    <definedName name="LevelA709C0" comment="NA==" localSheetId="0" hidden="1">""</definedName>
    <definedName name="LevelA70C0" comment="NA==" localSheetId="0" hidden="1">""</definedName>
    <definedName name="LevelA71" comment="0" localSheetId="0" hidden="1">""</definedName>
    <definedName name="LevelA710" comment="0" localSheetId="0" hidden="1">""</definedName>
    <definedName name="LevelA710C0" comment="NA==" localSheetId="0" hidden="1">""</definedName>
    <definedName name="LevelA711" comment="0" localSheetId="0" hidden="1">""</definedName>
    <definedName name="LevelA711C0" comment="NA==" localSheetId="0" hidden="1">""</definedName>
    <definedName name="LevelA712" comment="0" localSheetId="0" hidden="1">""</definedName>
    <definedName name="LevelA712C0" comment="NA==" localSheetId="0" hidden="1">""</definedName>
    <definedName name="LevelA713" comment="0" localSheetId="0" hidden="1">""</definedName>
    <definedName name="LevelA713C0" comment="NA==" localSheetId="0" hidden="1">""</definedName>
    <definedName name="LevelA714" comment="0" localSheetId="0" hidden="1">""</definedName>
    <definedName name="LevelA714C0" comment="NA==" localSheetId="0" hidden="1">""</definedName>
    <definedName name="LevelA715" comment="0" localSheetId="0" hidden="1">""</definedName>
    <definedName name="LevelA715C0" comment="NA==" localSheetId="0" hidden="1">""</definedName>
    <definedName name="LevelA716" comment="0" localSheetId="0" hidden="1">""</definedName>
    <definedName name="LevelA716C0" comment="NA==" localSheetId="0" hidden="1">""</definedName>
    <definedName name="LevelA717" comment="0" localSheetId="0" hidden="1">""</definedName>
    <definedName name="LevelA717C0" comment="NA==" localSheetId="0" hidden="1">""</definedName>
    <definedName name="LevelA718" comment="0" localSheetId="0" hidden="1">""</definedName>
    <definedName name="LevelA718C0" comment="NA==" localSheetId="0" hidden="1">""</definedName>
    <definedName name="LevelA719" comment="0" localSheetId="0" hidden="1">""</definedName>
    <definedName name="LevelA719C0" comment="NA==" localSheetId="0" hidden="1">""</definedName>
    <definedName name="LevelA71C0" comment="NA==" localSheetId="0" hidden="1">""</definedName>
    <definedName name="LevelA72" comment="0" localSheetId="0" hidden="1">""</definedName>
    <definedName name="LevelA720" comment="0" localSheetId="0" hidden="1">""</definedName>
    <definedName name="LevelA720C0" comment="NA==" localSheetId="0" hidden="1">""</definedName>
    <definedName name="LevelA721" comment="0" localSheetId="0" hidden="1">""</definedName>
    <definedName name="LevelA721C0" comment="NA==" localSheetId="0" hidden="1">""</definedName>
    <definedName name="LevelA722" comment="0" localSheetId="0" hidden="1">""</definedName>
    <definedName name="LevelA722C0" comment="NA==" localSheetId="0" hidden="1">""</definedName>
    <definedName name="LevelA723" comment="0" localSheetId="0" hidden="1">""</definedName>
    <definedName name="LevelA723C0" comment="NA==" localSheetId="0" hidden="1">""</definedName>
    <definedName name="LevelA724" comment="0" localSheetId="0" hidden="1">""</definedName>
    <definedName name="LevelA724C0" comment="NA==" localSheetId="0" hidden="1">""</definedName>
    <definedName name="LevelA725" comment="0" localSheetId="0" hidden="1">""</definedName>
    <definedName name="LevelA725C0" comment="NA==" localSheetId="0" hidden="1">""</definedName>
    <definedName name="LevelA726" comment="0" localSheetId="0" hidden="1">""</definedName>
    <definedName name="LevelA726C0" comment="NA==" localSheetId="0" hidden="1">""</definedName>
    <definedName name="LevelA727" comment="0" localSheetId="0" hidden="1">""</definedName>
    <definedName name="LevelA727C0" comment="NA==" localSheetId="0" hidden="1">""</definedName>
    <definedName name="LevelA728" comment="0" localSheetId="0" hidden="1">""</definedName>
    <definedName name="LevelA728C0" comment="NA==" localSheetId="0" hidden="1">""</definedName>
    <definedName name="LevelA729" comment="0" localSheetId="0" hidden="1">""</definedName>
    <definedName name="LevelA729C0" comment="NA==" localSheetId="0" hidden="1">""</definedName>
    <definedName name="LevelA72C0" comment="NA==" localSheetId="0" hidden="1">""</definedName>
    <definedName name="LevelA73" comment="0" localSheetId="0" hidden="1">""</definedName>
    <definedName name="LevelA730" comment="0" localSheetId="0" hidden="1">""</definedName>
    <definedName name="LevelA730C0" comment="NA==" localSheetId="0" hidden="1">""</definedName>
    <definedName name="LevelA731" comment="0" localSheetId="0" hidden="1">""</definedName>
    <definedName name="LevelA731C0" comment="NA==" localSheetId="0" hidden="1">""</definedName>
    <definedName name="LevelA732" comment="0" localSheetId="0" hidden="1">""</definedName>
    <definedName name="LevelA732C0" comment="NA==" localSheetId="0" hidden="1">""</definedName>
    <definedName name="LevelA733" comment="0" localSheetId="0" hidden="1">""</definedName>
    <definedName name="LevelA733C0" comment="NA==" localSheetId="0" hidden="1">""</definedName>
    <definedName name="LevelA734" comment="0" localSheetId="0" hidden="1">""</definedName>
    <definedName name="LevelA734C0" comment="NA==" localSheetId="0" hidden="1">""</definedName>
    <definedName name="LevelA735" comment="0" localSheetId="0" hidden="1">""</definedName>
    <definedName name="LevelA735C0" comment="NA==" localSheetId="0" hidden="1">""</definedName>
    <definedName name="LevelA736" comment="0" localSheetId="0" hidden="1">""</definedName>
    <definedName name="LevelA736C0" comment="NA==" localSheetId="0" hidden="1">""</definedName>
    <definedName name="LevelA737" comment="0" localSheetId="0" hidden="1">""</definedName>
    <definedName name="LevelA737C0" comment="NA==" localSheetId="0" hidden="1">""</definedName>
    <definedName name="LevelA738" comment="0" localSheetId="0" hidden="1">""</definedName>
    <definedName name="LevelA738C0" comment="NA==" localSheetId="0" hidden="1">""</definedName>
    <definedName name="LevelA739" comment="0" localSheetId="0" hidden="1">""</definedName>
    <definedName name="LevelA739C0" comment="NA==" localSheetId="0" hidden="1">""</definedName>
    <definedName name="LevelA73C0" comment="NA==" localSheetId="0" hidden="1">""</definedName>
    <definedName name="LevelA74" comment="0" localSheetId="0" hidden="1">""</definedName>
    <definedName name="LevelA740" comment="0" localSheetId="0" hidden="1">""</definedName>
    <definedName name="LevelA740C0" comment="NA==" localSheetId="0" hidden="1">""</definedName>
    <definedName name="LevelA741" comment="0" localSheetId="0" hidden="1">""</definedName>
    <definedName name="LevelA741C0" comment="NA==" localSheetId="0" hidden="1">""</definedName>
    <definedName name="LevelA742" comment="0" localSheetId="0" hidden="1">""</definedName>
    <definedName name="LevelA742C0" comment="NA==" localSheetId="0" hidden="1">""</definedName>
    <definedName name="LevelA743" comment="0" localSheetId="0" hidden="1">""</definedName>
    <definedName name="LevelA743C0" comment="NA==" localSheetId="0" hidden="1">""</definedName>
    <definedName name="LevelA744" comment="0" localSheetId="0" hidden="1">""</definedName>
    <definedName name="LevelA744C0" comment="NA==" localSheetId="0" hidden="1">""</definedName>
    <definedName name="LevelA745" comment="0" localSheetId="0" hidden="1">""</definedName>
    <definedName name="LevelA745C0" comment="NA==" localSheetId="0" hidden="1">""</definedName>
    <definedName name="LevelA746" comment="0" localSheetId="0" hidden="1">""</definedName>
    <definedName name="LevelA746C0" comment="NA==" localSheetId="0" hidden="1">""</definedName>
    <definedName name="LevelA747" comment="0" localSheetId="0" hidden="1">""</definedName>
    <definedName name="LevelA747C0" comment="NA==" localSheetId="0" hidden="1">""</definedName>
    <definedName name="LevelA748" comment="0" localSheetId="0" hidden="1">""</definedName>
    <definedName name="LevelA748C0" comment="NA==" localSheetId="0" hidden="1">""</definedName>
    <definedName name="LevelA749" comment="0" localSheetId="0" hidden="1">""</definedName>
    <definedName name="LevelA749C0" comment="NA==" localSheetId="0" hidden="1">""</definedName>
    <definedName name="LevelA74C0" comment="NA==" localSheetId="0" hidden="1">""</definedName>
    <definedName name="LevelA75" comment="0" localSheetId="0" hidden="1">""</definedName>
    <definedName name="LevelA750" comment="0" localSheetId="0" hidden="1">""</definedName>
    <definedName name="LevelA750C0" comment="NA==" localSheetId="0" hidden="1">""</definedName>
    <definedName name="LevelA751" comment="0" localSheetId="0" hidden="1">""</definedName>
    <definedName name="LevelA751C0" comment="NA==" localSheetId="0" hidden="1">""</definedName>
    <definedName name="LevelA752" comment="0" localSheetId="0" hidden="1">""</definedName>
    <definedName name="LevelA752C0" comment="NA==" localSheetId="0" hidden="1">""</definedName>
    <definedName name="LevelA753" comment="0" localSheetId="0" hidden="1">""</definedName>
    <definedName name="LevelA753C0" comment="NA==" localSheetId="0" hidden="1">""</definedName>
    <definedName name="LevelA754" comment="0" localSheetId="0" hidden="1">""</definedName>
    <definedName name="LevelA754C0" comment="NA==" localSheetId="0" hidden="1">""</definedName>
    <definedName name="LevelA755" comment="0" localSheetId="0" hidden="1">""</definedName>
    <definedName name="LevelA755C0" comment="NA==" localSheetId="0" hidden="1">""</definedName>
    <definedName name="LevelA756" comment="0" localSheetId="0" hidden="1">""</definedName>
    <definedName name="LevelA756C0" comment="NA==" localSheetId="0" hidden="1">""</definedName>
    <definedName name="LevelA757" comment="0" localSheetId="0" hidden="1">""</definedName>
    <definedName name="LevelA757C0" comment="NA==" localSheetId="0" hidden="1">""</definedName>
    <definedName name="LevelA758" comment="0" localSheetId="0" hidden="1">""</definedName>
    <definedName name="LevelA758C0" comment="NA==" localSheetId="0" hidden="1">""</definedName>
    <definedName name="LevelA759" comment="0" localSheetId="0" hidden="1">""</definedName>
    <definedName name="LevelA759C0" comment="NA==" localSheetId="0" hidden="1">""</definedName>
    <definedName name="LevelA75C0" comment="NA==" localSheetId="0" hidden="1">""</definedName>
    <definedName name="LevelA76" comment="0" localSheetId="0" hidden="1">""</definedName>
    <definedName name="LevelA760" comment="0" localSheetId="0" hidden="1">""</definedName>
    <definedName name="LevelA760C0" comment="NA==" localSheetId="0" hidden="1">""</definedName>
    <definedName name="LevelA761" comment="0" localSheetId="0" hidden="1">""</definedName>
    <definedName name="LevelA761C0" comment="NA==" localSheetId="0" hidden="1">""</definedName>
    <definedName name="LevelA762" comment="0" localSheetId="0" hidden="1">""</definedName>
    <definedName name="LevelA762C0" comment="NA==" localSheetId="0" hidden="1">""</definedName>
    <definedName name="LevelA763" comment="0" localSheetId="0" hidden="1">""</definedName>
    <definedName name="LevelA763C0" comment="NA==" localSheetId="0" hidden="1">""</definedName>
    <definedName name="LevelA764" comment="0" localSheetId="0" hidden="1">""</definedName>
    <definedName name="LevelA764C0" comment="NA==" localSheetId="0" hidden="1">""</definedName>
    <definedName name="LevelA765" comment="0" localSheetId="0" hidden="1">""</definedName>
    <definedName name="LevelA765C0" comment="NA==" localSheetId="0" hidden="1">""</definedName>
    <definedName name="LevelA766" comment="0" localSheetId="0" hidden="1">""</definedName>
    <definedName name="LevelA766C0" comment="NA==" localSheetId="0" hidden="1">""</definedName>
    <definedName name="LevelA767" comment="0" localSheetId="0" hidden="1">""</definedName>
    <definedName name="LevelA767C0" comment="NA==" localSheetId="0" hidden="1">""</definedName>
    <definedName name="LevelA768" comment="0" localSheetId="0" hidden="1">""</definedName>
    <definedName name="LevelA768C0" comment="NA==" localSheetId="0" hidden="1">""</definedName>
    <definedName name="LevelA769" comment="0" localSheetId="0" hidden="1">""</definedName>
    <definedName name="LevelA769C0" comment="NA==" localSheetId="0" hidden="1">""</definedName>
    <definedName name="LevelA76C0" comment="NA==" localSheetId="0" hidden="1">""</definedName>
    <definedName name="LevelA77" comment="0" localSheetId="0" hidden="1">""</definedName>
    <definedName name="LevelA770" comment="0" localSheetId="0" hidden="1">""</definedName>
    <definedName name="LevelA770C0" comment="NA==" localSheetId="0" hidden="1">""</definedName>
    <definedName name="LevelA771" comment="0" localSheetId="0" hidden="1">""</definedName>
    <definedName name="LevelA771C0" comment="NA==" localSheetId="0" hidden="1">""</definedName>
    <definedName name="LevelA772" comment="0" localSheetId="0" hidden="1">""</definedName>
    <definedName name="LevelA772C0" comment="NA==" localSheetId="0" hidden="1">""</definedName>
    <definedName name="LevelA773" comment="0" localSheetId="0" hidden="1">""</definedName>
    <definedName name="LevelA773C0" comment="NA==" localSheetId="0" hidden="1">""</definedName>
    <definedName name="LevelA774" comment="0" localSheetId="0" hidden="1">""</definedName>
    <definedName name="LevelA774C0" comment="NA==" localSheetId="0" hidden="1">""</definedName>
    <definedName name="LevelA775" comment="0" localSheetId="0" hidden="1">""</definedName>
    <definedName name="LevelA775C0" comment="NA==" localSheetId="0" hidden="1">""</definedName>
    <definedName name="LevelA776" comment="0" localSheetId="0" hidden="1">""</definedName>
    <definedName name="LevelA776C0" comment="NA==" localSheetId="0" hidden="1">""</definedName>
    <definedName name="LevelA777" comment="0" localSheetId="0" hidden="1">""</definedName>
    <definedName name="LevelA777C0" comment="NA==" localSheetId="0" hidden="1">""</definedName>
    <definedName name="LevelA778" comment="0" localSheetId="0" hidden="1">""</definedName>
    <definedName name="LevelA778C0" comment="NA==" localSheetId="0" hidden="1">""</definedName>
    <definedName name="LevelA779" comment="0" localSheetId="0" hidden="1">""</definedName>
    <definedName name="LevelA779C0" comment="NA==" localSheetId="0" hidden="1">""</definedName>
    <definedName name="LevelA77C0" comment="NA==" localSheetId="0" hidden="1">""</definedName>
    <definedName name="LevelA78" comment="0" localSheetId="0" hidden="1">""</definedName>
    <definedName name="LevelA780" comment="0" localSheetId="0" hidden="1">""</definedName>
    <definedName name="LevelA780C0" comment="NA==" localSheetId="0" hidden="1">""</definedName>
    <definedName name="LevelA781" comment="0" localSheetId="0" hidden="1">""</definedName>
    <definedName name="LevelA781C0" comment="NA==" localSheetId="0" hidden="1">""</definedName>
    <definedName name="LevelA782" comment="0" localSheetId="0" hidden="1">""</definedName>
    <definedName name="LevelA782C0" comment="NA==" localSheetId="0" hidden="1">""</definedName>
    <definedName name="LevelA783" comment="0" localSheetId="0" hidden="1">""</definedName>
    <definedName name="LevelA783C0" comment="NA==" localSheetId="0" hidden="1">""</definedName>
    <definedName name="LevelA784" comment="0" localSheetId="0" hidden="1">""</definedName>
    <definedName name="LevelA784C0" comment="NA==" localSheetId="0" hidden="1">""</definedName>
    <definedName name="LevelA785" comment="0" localSheetId="0" hidden="1">""</definedName>
    <definedName name="LevelA785C0" comment="NA==" localSheetId="0" hidden="1">""</definedName>
    <definedName name="LevelA786" comment="0" localSheetId="0" hidden="1">""</definedName>
    <definedName name="LevelA786C0" comment="NA==" localSheetId="0" hidden="1">""</definedName>
    <definedName name="LevelA787" comment="0" localSheetId="0" hidden="1">""</definedName>
    <definedName name="LevelA787C0" comment="NA==" localSheetId="0" hidden="1">""</definedName>
    <definedName name="LevelA788" comment="0" localSheetId="0" hidden="1">""</definedName>
    <definedName name="LevelA788C0" comment="NA==" localSheetId="0" hidden="1">""</definedName>
    <definedName name="LevelA789" comment="0" localSheetId="0" hidden="1">""</definedName>
    <definedName name="LevelA789C0" comment="NA==" localSheetId="0" hidden="1">""</definedName>
    <definedName name="LevelA78C0" comment="NA==" localSheetId="0" hidden="1">""</definedName>
    <definedName name="LevelA79" comment="0" localSheetId="0" hidden="1">""</definedName>
    <definedName name="LevelA790" comment="0" localSheetId="0" hidden="1">""</definedName>
    <definedName name="LevelA790C0" comment="NA==" localSheetId="0" hidden="1">""</definedName>
    <definedName name="LevelA791" comment="0" localSheetId="0" hidden="1">""</definedName>
    <definedName name="LevelA791C0" comment="NA==" localSheetId="0" hidden="1">""</definedName>
    <definedName name="LevelA792" comment="0" localSheetId="0" hidden="1">""</definedName>
    <definedName name="LevelA792C0" comment="NA==" localSheetId="0" hidden="1">""</definedName>
    <definedName name="LevelA793" comment="0" localSheetId="0" hidden="1">""</definedName>
    <definedName name="LevelA793C0" comment="NA==" localSheetId="0" hidden="1">""</definedName>
    <definedName name="LevelA794" comment="0" localSheetId="0" hidden="1">""</definedName>
    <definedName name="LevelA794C0" comment="NA==" localSheetId="0" hidden="1">""</definedName>
    <definedName name="LevelA795" comment="0" localSheetId="0" hidden="1">""</definedName>
    <definedName name="LevelA795C0" comment="NA==" localSheetId="0" hidden="1">""</definedName>
    <definedName name="LevelA796" comment="0" localSheetId="0" hidden="1">""</definedName>
    <definedName name="LevelA796C0" comment="NA==" localSheetId="0" hidden="1">""</definedName>
    <definedName name="LevelA797" comment="0" localSheetId="0" hidden="1">""</definedName>
    <definedName name="LevelA797C0" comment="NA==" localSheetId="0" hidden="1">""</definedName>
    <definedName name="LevelA798" comment="0" localSheetId="0" hidden="1">""</definedName>
    <definedName name="LevelA798C0" comment="NA==" localSheetId="0" hidden="1">""</definedName>
    <definedName name="LevelA799" comment="0" localSheetId="0" hidden="1">""</definedName>
    <definedName name="LevelA799C0" comment="NA==" localSheetId="0" hidden="1">""</definedName>
    <definedName name="LevelA79C0" comment="NA==" localSheetId="0" hidden="1">""</definedName>
    <definedName name="LevelA7C0" comment="NA==" localSheetId="0" hidden="1">""</definedName>
    <definedName name="LevelA8" comment="0" localSheetId="0" hidden="1">""</definedName>
    <definedName name="LevelA80" comment="0" localSheetId="0" hidden="1">""</definedName>
    <definedName name="LevelA800" comment="0" localSheetId="0" hidden="1">""</definedName>
    <definedName name="LevelA800C0" comment="NA==" localSheetId="0" hidden="1">""</definedName>
    <definedName name="LevelA801" comment="0" localSheetId="0" hidden="1">""</definedName>
    <definedName name="LevelA801C0" comment="NA==" localSheetId="0" hidden="1">""</definedName>
    <definedName name="LevelA802" comment="0" localSheetId="0" hidden="1">""</definedName>
    <definedName name="LevelA802C0" comment="NA==" localSheetId="0" hidden="1">""</definedName>
    <definedName name="LevelA803" comment="0" localSheetId="0" hidden="1">""</definedName>
    <definedName name="LevelA803C0" comment="NA==" localSheetId="0" hidden="1">""</definedName>
    <definedName name="LevelA804" comment="0" localSheetId="0" hidden="1">""</definedName>
    <definedName name="LevelA804C0" comment="NA==" localSheetId="0" hidden="1">""</definedName>
    <definedName name="LevelA805" comment="0" localSheetId="0" hidden="1">""</definedName>
    <definedName name="LevelA805C0" comment="NA==" localSheetId="0" hidden="1">""</definedName>
    <definedName name="LevelA806" comment="0" localSheetId="0" hidden="1">""</definedName>
    <definedName name="LevelA806C0" comment="NA==" localSheetId="0" hidden="1">""</definedName>
    <definedName name="LevelA807" comment="0" localSheetId="0" hidden="1">""</definedName>
    <definedName name="LevelA807C0" comment="NA==" localSheetId="0" hidden="1">""</definedName>
    <definedName name="LevelA808" comment="0" localSheetId="0" hidden="1">""</definedName>
    <definedName name="LevelA808C0" comment="NA==" localSheetId="0" hidden="1">""</definedName>
    <definedName name="LevelA809" comment="0" localSheetId="0" hidden="1">""</definedName>
    <definedName name="LevelA809C0" comment="NA==" localSheetId="0" hidden="1">""</definedName>
    <definedName name="LevelA80C0" comment="NA==" localSheetId="0" hidden="1">""</definedName>
    <definedName name="LevelA81" comment="0" localSheetId="0" hidden="1">""</definedName>
    <definedName name="LevelA810" comment="0" localSheetId="0" hidden="1">""</definedName>
    <definedName name="LevelA810C0" comment="NA==" localSheetId="0" hidden="1">""</definedName>
    <definedName name="LevelA811" comment="0" localSheetId="0" hidden="1">""</definedName>
    <definedName name="LevelA811C0" comment="NA==" localSheetId="0" hidden="1">""</definedName>
    <definedName name="LevelA812" comment="0" localSheetId="0" hidden="1">""</definedName>
    <definedName name="LevelA812C0" comment="NA==" localSheetId="0" hidden="1">""</definedName>
    <definedName name="LevelA813" comment="0" localSheetId="0" hidden="1">""</definedName>
    <definedName name="LevelA813C0" comment="NA==" localSheetId="0" hidden="1">""</definedName>
    <definedName name="LevelA814" comment="0" localSheetId="0" hidden="1">""</definedName>
    <definedName name="LevelA814C0" comment="NA==" localSheetId="0" hidden="1">""</definedName>
    <definedName name="LevelA815" comment="0" localSheetId="0" hidden="1">""</definedName>
    <definedName name="LevelA815C0" comment="NA==" localSheetId="0" hidden="1">""</definedName>
    <definedName name="LevelA816" comment="0" localSheetId="0" hidden="1">""</definedName>
    <definedName name="LevelA816C0" comment="NA==" localSheetId="0" hidden="1">""</definedName>
    <definedName name="LevelA817" comment="0" localSheetId="0" hidden="1">""</definedName>
    <definedName name="LevelA817C0" comment="NA==" localSheetId="0" hidden="1">""</definedName>
    <definedName name="LevelA818" comment="0" localSheetId="0" hidden="1">""</definedName>
    <definedName name="LevelA818C0" comment="NA==" localSheetId="0" hidden="1">""</definedName>
    <definedName name="LevelA819" comment="0" localSheetId="0" hidden="1">""</definedName>
    <definedName name="LevelA819C0" comment="NA==" localSheetId="0" hidden="1">""</definedName>
    <definedName name="LevelA81C0" comment="NA==" localSheetId="0" hidden="1">""</definedName>
    <definedName name="LevelA82" comment="0" localSheetId="0" hidden="1">""</definedName>
    <definedName name="LevelA820" comment="0" localSheetId="0" hidden="1">""</definedName>
    <definedName name="LevelA820C0" comment="NA==" localSheetId="0" hidden="1">""</definedName>
    <definedName name="LevelA821" comment="0" localSheetId="0" hidden="1">""</definedName>
    <definedName name="LevelA821C0" comment="NA==" localSheetId="0" hidden="1">""</definedName>
    <definedName name="LevelA822" comment="0" localSheetId="0" hidden="1">""</definedName>
    <definedName name="LevelA822C0" comment="NA==" localSheetId="0" hidden="1">""</definedName>
    <definedName name="LevelA823" comment="0" localSheetId="0" hidden="1">""</definedName>
    <definedName name="LevelA823C0" comment="NA==" localSheetId="0" hidden="1">""</definedName>
    <definedName name="LevelA824" comment="0" localSheetId="0" hidden="1">""</definedName>
    <definedName name="LevelA824C0" comment="NA==" localSheetId="0" hidden="1">""</definedName>
    <definedName name="LevelA825" comment="0" localSheetId="0" hidden="1">""</definedName>
    <definedName name="LevelA825C0" comment="NA==" localSheetId="0" hidden="1">""</definedName>
    <definedName name="LevelA826" comment="0" localSheetId="0" hidden="1">""</definedName>
    <definedName name="LevelA826C0" comment="NA==" localSheetId="0" hidden="1">""</definedName>
    <definedName name="LevelA827" comment="0" localSheetId="0" hidden="1">""</definedName>
    <definedName name="LevelA827C0" comment="NA==" localSheetId="0" hidden="1">""</definedName>
    <definedName name="LevelA828" comment="0" localSheetId="0" hidden="1">""</definedName>
    <definedName name="LevelA828C0" comment="NA==" localSheetId="0" hidden="1">""</definedName>
    <definedName name="LevelA829" comment="0" localSheetId="0" hidden="1">""</definedName>
    <definedName name="LevelA829C0" comment="NA==" localSheetId="0" hidden="1">""</definedName>
    <definedName name="LevelA82C0" comment="NA==" localSheetId="0" hidden="1">""</definedName>
    <definedName name="LevelA83" comment="0" localSheetId="0" hidden="1">""</definedName>
    <definedName name="LevelA830" comment="0" localSheetId="0" hidden="1">""</definedName>
    <definedName name="LevelA830C0" comment="NA==" localSheetId="0" hidden="1">""</definedName>
    <definedName name="LevelA831" comment="0" localSheetId="0" hidden="1">""</definedName>
    <definedName name="LevelA831C0" comment="NA==" localSheetId="0" hidden="1">""</definedName>
    <definedName name="LevelA832" comment="0" localSheetId="0" hidden="1">""</definedName>
    <definedName name="LevelA832C0" comment="NA==" localSheetId="0" hidden="1">""</definedName>
    <definedName name="LevelA833" comment="0" localSheetId="0" hidden="1">""</definedName>
    <definedName name="LevelA833C0" comment="NA==" localSheetId="0" hidden="1">""</definedName>
    <definedName name="LevelA834" comment="0" localSheetId="0" hidden="1">""</definedName>
    <definedName name="LevelA834C0" comment="NA==" localSheetId="0" hidden="1">""</definedName>
    <definedName name="LevelA835" comment="0" localSheetId="0" hidden="1">""</definedName>
    <definedName name="LevelA835C0" comment="NA==" localSheetId="0" hidden="1">""</definedName>
    <definedName name="LevelA836" comment="0" localSheetId="0" hidden="1">""</definedName>
    <definedName name="LevelA836C0" comment="NA==" localSheetId="0" hidden="1">""</definedName>
    <definedName name="LevelA837" comment="0" localSheetId="0" hidden="1">""</definedName>
    <definedName name="LevelA837C0" comment="NA==" localSheetId="0" hidden="1">""</definedName>
    <definedName name="LevelA838" comment="0" localSheetId="0" hidden="1">""</definedName>
    <definedName name="LevelA838C0" comment="NA==" localSheetId="0" hidden="1">""</definedName>
    <definedName name="LevelA839" comment="0" localSheetId="0" hidden="1">""</definedName>
    <definedName name="LevelA839C0" comment="NA==" localSheetId="0" hidden="1">""</definedName>
    <definedName name="LevelA83C0" comment="NA==" localSheetId="0" hidden="1">""</definedName>
    <definedName name="LevelA84" comment="0" localSheetId="0" hidden="1">""</definedName>
    <definedName name="LevelA840" comment="0" localSheetId="0" hidden="1">""</definedName>
    <definedName name="LevelA840C0" comment="NA==" localSheetId="0" hidden="1">""</definedName>
    <definedName name="LevelA841" comment="0" localSheetId="0" hidden="1">""</definedName>
    <definedName name="LevelA841C0" comment="NA==" localSheetId="0" hidden="1">""</definedName>
    <definedName name="LevelA842" comment="0" localSheetId="0" hidden="1">""</definedName>
    <definedName name="LevelA842C0" comment="NA==" localSheetId="0" hidden="1">""</definedName>
    <definedName name="LevelA843" comment="0" localSheetId="0" hidden="1">""</definedName>
    <definedName name="LevelA843C0" comment="NA==" localSheetId="0" hidden="1">""</definedName>
    <definedName name="LevelA844" comment="0" localSheetId="0" hidden="1">""</definedName>
    <definedName name="LevelA844C0" comment="NA==" localSheetId="0" hidden="1">""</definedName>
    <definedName name="LevelA845" comment="0" localSheetId="0" hidden="1">""</definedName>
    <definedName name="LevelA845C0" comment="NA==" localSheetId="0" hidden="1">""</definedName>
    <definedName name="LevelA846" comment="0" localSheetId="0" hidden="1">""</definedName>
    <definedName name="LevelA846C0" comment="NA==" localSheetId="0" hidden="1">""</definedName>
    <definedName name="LevelA847" comment="0" localSheetId="0" hidden="1">""</definedName>
    <definedName name="LevelA847C0" comment="NA==" localSheetId="0" hidden="1">""</definedName>
    <definedName name="LevelA848" comment="0" localSheetId="0" hidden="1">""</definedName>
    <definedName name="LevelA848C0" comment="NA==" localSheetId="0" hidden="1">""</definedName>
    <definedName name="LevelA849" comment="0" localSheetId="0" hidden="1">""</definedName>
    <definedName name="LevelA849C0" comment="NA==" localSheetId="0" hidden="1">""</definedName>
    <definedName name="LevelA84C0" comment="NA==" localSheetId="0" hidden="1">""</definedName>
    <definedName name="LevelA85" comment="0" localSheetId="0" hidden="1">""</definedName>
    <definedName name="LevelA850" comment="0" localSheetId="0" hidden="1">""</definedName>
    <definedName name="LevelA850C0" comment="NA==" localSheetId="0" hidden="1">""</definedName>
    <definedName name="LevelA851" comment="0" localSheetId="0" hidden="1">""</definedName>
    <definedName name="LevelA851C0" comment="NA==" localSheetId="0" hidden="1">""</definedName>
    <definedName name="LevelA852" comment="0" localSheetId="0" hidden="1">""</definedName>
    <definedName name="LevelA852C0" comment="NA==" localSheetId="0" hidden="1">""</definedName>
    <definedName name="LevelA853" comment="0" localSheetId="0" hidden="1">""</definedName>
    <definedName name="LevelA853C0" comment="NA==" localSheetId="0" hidden="1">""</definedName>
    <definedName name="LevelA854" comment="0" localSheetId="0" hidden="1">""</definedName>
    <definedName name="LevelA854C0" comment="NA==" localSheetId="0" hidden="1">""</definedName>
    <definedName name="LevelA855" comment="0" localSheetId="0" hidden="1">""</definedName>
    <definedName name="LevelA855C0" comment="NA==" localSheetId="0" hidden="1">""</definedName>
    <definedName name="LevelA856" comment="0" localSheetId="0" hidden="1">""</definedName>
    <definedName name="LevelA856C0" comment="NA==" localSheetId="0" hidden="1">""</definedName>
    <definedName name="LevelA857" comment="0" localSheetId="0" hidden="1">""</definedName>
    <definedName name="LevelA857C0" comment="NA==" localSheetId="0" hidden="1">""</definedName>
    <definedName name="LevelA858" comment="0" localSheetId="0" hidden="1">""</definedName>
    <definedName name="LevelA858C0" comment="NA==" localSheetId="0" hidden="1">""</definedName>
    <definedName name="LevelA859" comment="0" localSheetId="0" hidden="1">""</definedName>
    <definedName name="LevelA859C0" comment="NA==" localSheetId="0" hidden="1">""</definedName>
    <definedName name="LevelA85C0" comment="NA==" localSheetId="0" hidden="1">""</definedName>
    <definedName name="LevelA86" comment="0" localSheetId="0" hidden="1">""</definedName>
    <definedName name="LevelA860" comment="0" localSheetId="0" hidden="1">""</definedName>
    <definedName name="LevelA860C0" comment="NA==" localSheetId="0" hidden="1">""</definedName>
    <definedName name="LevelA861" comment="0" localSheetId="0" hidden="1">""</definedName>
    <definedName name="LevelA861C0" comment="NA==" localSheetId="0" hidden="1">""</definedName>
    <definedName name="LevelA862" comment="0" localSheetId="0" hidden="1">""</definedName>
    <definedName name="LevelA862C0" comment="NA==" localSheetId="0" hidden="1">""</definedName>
    <definedName name="LevelA863" comment="0" localSheetId="0" hidden="1">""</definedName>
    <definedName name="LevelA863C0" comment="NA==" localSheetId="0" hidden="1">""</definedName>
    <definedName name="LevelA864" comment="0" localSheetId="0" hidden="1">""</definedName>
    <definedName name="LevelA864C0" comment="NA==" localSheetId="0" hidden="1">""</definedName>
    <definedName name="LevelA865" comment="0" localSheetId="0" hidden="1">""</definedName>
    <definedName name="LevelA865C0" comment="NA==" localSheetId="0" hidden="1">""</definedName>
    <definedName name="LevelA866" comment="0" localSheetId="0" hidden="1">""</definedName>
    <definedName name="LevelA866C0" comment="NA==" localSheetId="0" hidden="1">""</definedName>
    <definedName name="LevelA867" comment="0" localSheetId="0" hidden="1">""</definedName>
    <definedName name="LevelA867C0" comment="NA==" localSheetId="0" hidden="1">""</definedName>
    <definedName name="LevelA868" comment="0" localSheetId="0" hidden="1">""</definedName>
    <definedName name="LevelA868C0" comment="NA==" localSheetId="0" hidden="1">""</definedName>
    <definedName name="LevelA869" comment="0" localSheetId="0" hidden="1">""</definedName>
    <definedName name="LevelA869C0" comment="NA==" localSheetId="0" hidden="1">""</definedName>
    <definedName name="LevelA86C0" comment="NA==" localSheetId="0" hidden="1">""</definedName>
    <definedName name="LevelA87" comment="0" localSheetId="0" hidden="1">""</definedName>
    <definedName name="LevelA870" comment="0" localSheetId="0" hidden="1">""</definedName>
    <definedName name="LevelA870C0" comment="NA==" localSheetId="0" hidden="1">""</definedName>
    <definedName name="LevelA871" comment="0" localSheetId="0" hidden="1">""</definedName>
    <definedName name="LevelA871C0" comment="NA==" localSheetId="0" hidden="1">""</definedName>
    <definedName name="LevelA872" comment="0" localSheetId="0" hidden="1">""</definedName>
    <definedName name="LevelA872C0" comment="NA==" localSheetId="0" hidden="1">""</definedName>
    <definedName name="LevelA873" comment="0" localSheetId="0" hidden="1">""</definedName>
    <definedName name="LevelA873C0" comment="NA==" localSheetId="0" hidden="1">""</definedName>
    <definedName name="LevelA874" comment="0" localSheetId="0" hidden="1">""</definedName>
    <definedName name="LevelA874C0" comment="NA==" localSheetId="0" hidden="1">""</definedName>
    <definedName name="LevelA875" comment="0" localSheetId="0" hidden="1">""</definedName>
    <definedName name="LevelA875C0" comment="NA==" localSheetId="0" hidden="1">""</definedName>
    <definedName name="LevelA876" comment="0" localSheetId="0" hidden="1">""</definedName>
    <definedName name="LevelA876C0" comment="NA==" localSheetId="0" hidden="1">""</definedName>
    <definedName name="LevelA877" comment="0" localSheetId="0" hidden="1">""</definedName>
    <definedName name="LevelA877C0" comment="NA==" localSheetId="0" hidden="1">""</definedName>
    <definedName name="LevelA878" comment="0" localSheetId="0" hidden="1">""</definedName>
    <definedName name="LevelA878C0" comment="NA==" localSheetId="0" hidden="1">""</definedName>
    <definedName name="LevelA879" comment="0" localSheetId="0" hidden="1">""</definedName>
    <definedName name="LevelA879C0" comment="NA==" localSheetId="0" hidden="1">""</definedName>
    <definedName name="LevelA87C0" comment="NA==" localSheetId="0" hidden="1">""</definedName>
    <definedName name="LevelA88" comment="0" localSheetId="0" hidden="1">""</definedName>
    <definedName name="LevelA880" comment="0" localSheetId="0" hidden="1">""</definedName>
    <definedName name="LevelA880C0" comment="NA==" localSheetId="0" hidden="1">""</definedName>
    <definedName name="LevelA881" comment="0" localSheetId="0" hidden="1">""</definedName>
    <definedName name="LevelA881C0" comment="NA==" localSheetId="0" hidden="1">""</definedName>
    <definedName name="LevelA882" comment="0" localSheetId="0" hidden="1">""</definedName>
    <definedName name="LevelA882C0" comment="NA==" localSheetId="0" hidden="1">""</definedName>
    <definedName name="LevelA883" comment="0" localSheetId="0" hidden="1">""</definedName>
    <definedName name="LevelA883C0" comment="NA==" localSheetId="0" hidden="1">""</definedName>
    <definedName name="LevelA884" comment="0" localSheetId="0" hidden="1">""</definedName>
    <definedName name="LevelA884C0" comment="NA==" localSheetId="0" hidden="1">""</definedName>
    <definedName name="LevelA885" comment="0" localSheetId="0" hidden="1">""</definedName>
    <definedName name="LevelA885C0" comment="NA==" localSheetId="0" hidden="1">""</definedName>
    <definedName name="LevelA886" comment="0" localSheetId="0" hidden="1">""</definedName>
    <definedName name="LevelA886C0" comment="NA==" localSheetId="0" hidden="1">""</definedName>
    <definedName name="LevelA887" comment="0" localSheetId="0" hidden="1">""</definedName>
    <definedName name="LevelA887C0" comment="NA==" localSheetId="0" hidden="1">""</definedName>
    <definedName name="LevelA888" comment="0" localSheetId="0" hidden="1">""</definedName>
    <definedName name="LevelA888C0" comment="NA==" localSheetId="0" hidden="1">""</definedName>
    <definedName name="LevelA889" comment="0" localSheetId="0" hidden="1">""</definedName>
    <definedName name="LevelA889C0" comment="NA==" localSheetId="0" hidden="1">""</definedName>
    <definedName name="LevelA88C0" comment="NA==" localSheetId="0" hidden="1">""</definedName>
    <definedName name="LevelA89" comment="0" localSheetId="0" hidden="1">""</definedName>
    <definedName name="LevelA890" comment="0" localSheetId="0" hidden="1">""</definedName>
    <definedName name="LevelA890C0" comment="NA==" localSheetId="0" hidden="1">""</definedName>
    <definedName name="LevelA891" comment="0" localSheetId="0" hidden="1">""</definedName>
    <definedName name="LevelA891C0" comment="NA==" localSheetId="0" hidden="1">""</definedName>
    <definedName name="LevelA892" comment="0" localSheetId="0" hidden="1">""</definedName>
    <definedName name="LevelA892C0" comment="NA==" localSheetId="0" hidden="1">""</definedName>
    <definedName name="LevelA893" comment="0" localSheetId="0" hidden="1">""</definedName>
    <definedName name="LevelA893C0" comment="NA==" localSheetId="0" hidden="1">""</definedName>
    <definedName name="LevelA894" comment="0" localSheetId="0" hidden="1">""</definedName>
    <definedName name="LevelA894C0" comment="NA==" localSheetId="0" hidden="1">""</definedName>
    <definedName name="LevelA895" comment="0" localSheetId="0" hidden="1">""</definedName>
    <definedName name="LevelA895C0" comment="NA==" localSheetId="0" hidden="1">""</definedName>
    <definedName name="LevelA896" comment="0" localSheetId="0" hidden="1">""</definedName>
    <definedName name="LevelA896C0" comment="NA==" localSheetId="0" hidden="1">""</definedName>
    <definedName name="LevelA897" comment="0" localSheetId="0" hidden="1">""</definedName>
    <definedName name="LevelA897C0" comment="NA==" localSheetId="0" hidden="1">""</definedName>
    <definedName name="LevelA898" comment="0" localSheetId="0" hidden="1">""</definedName>
    <definedName name="LevelA898C0" comment="NA==" localSheetId="0" hidden="1">""</definedName>
    <definedName name="LevelA899" comment="0" localSheetId="0" hidden="1">""</definedName>
    <definedName name="LevelA899C0" comment="NA==" localSheetId="0" hidden="1">""</definedName>
    <definedName name="LevelA89C0" comment="NA==" localSheetId="0" hidden="1">""</definedName>
    <definedName name="LevelA8C0" comment="NA==" localSheetId="0" hidden="1">""</definedName>
    <definedName name="LevelA9" comment="0" localSheetId="0" hidden="1">""</definedName>
    <definedName name="LevelA90" comment="0" localSheetId="0" hidden="1">""</definedName>
    <definedName name="LevelA900" comment="0" localSheetId="0" hidden="1">""</definedName>
    <definedName name="LevelA900C0" comment="NA==" localSheetId="0" hidden="1">""</definedName>
    <definedName name="LevelA901" comment="0" localSheetId="0" hidden="1">""</definedName>
    <definedName name="LevelA901C0" comment="NA==" localSheetId="0" hidden="1">""</definedName>
    <definedName name="LevelA902" comment="0" localSheetId="0" hidden="1">""</definedName>
    <definedName name="LevelA902C0" comment="NA==" localSheetId="0" hidden="1">""</definedName>
    <definedName name="LevelA903" comment="0" localSheetId="0" hidden="1">""</definedName>
    <definedName name="LevelA903C0" comment="NA==" localSheetId="0" hidden="1">""</definedName>
    <definedName name="LevelA904" comment="0" localSheetId="0" hidden="1">""</definedName>
    <definedName name="LevelA904C0" comment="NA==" localSheetId="0" hidden="1">""</definedName>
    <definedName name="LevelA905" comment="0" localSheetId="0" hidden="1">""</definedName>
    <definedName name="LevelA905C0" comment="NA==" localSheetId="0" hidden="1">""</definedName>
    <definedName name="LevelA906" comment="0" localSheetId="0" hidden="1">""</definedName>
    <definedName name="LevelA906C0" comment="NA==" localSheetId="0" hidden="1">""</definedName>
    <definedName name="LevelA907" comment="0" localSheetId="0" hidden="1">""</definedName>
    <definedName name="LevelA907C0" comment="NA==" localSheetId="0" hidden="1">""</definedName>
    <definedName name="LevelA908" comment="0" localSheetId="0" hidden="1">""</definedName>
    <definedName name="LevelA908C0" comment="NA==" localSheetId="0" hidden="1">""</definedName>
    <definedName name="LevelA909" comment="0" localSheetId="0" hidden="1">""</definedName>
    <definedName name="LevelA909C0" comment="NA==" localSheetId="0" hidden="1">""</definedName>
    <definedName name="LevelA90C0" comment="NA==" localSheetId="0" hidden="1">""</definedName>
    <definedName name="LevelA91" comment="0" localSheetId="0" hidden="1">""</definedName>
    <definedName name="LevelA910" comment="0" localSheetId="0" hidden="1">""</definedName>
    <definedName name="LevelA910C0" comment="NA==" localSheetId="0" hidden="1">""</definedName>
    <definedName name="LevelA911" comment="0" localSheetId="0" hidden="1">""</definedName>
    <definedName name="LevelA911C0" comment="NA==" localSheetId="0" hidden="1">""</definedName>
    <definedName name="LevelA912" comment="0" localSheetId="0" hidden="1">""</definedName>
    <definedName name="LevelA912C0" comment="NA==" localSheetId="0" hidden="1">""</definedName>
    <definedName name="LevelA913" comment="0" localSheetId="0" hidden="1">""</definedName>
    <definedName name="LevelA913C0" comment="NA==" localSheetId="0" hidden="1">""</definedName>
    <definedName name="LevelA914" comment="0" localSheetId="0" hidden="1">""</definedName>
    <definedName name="LevelA914C0" comment="NA==" localSheetId="0" hidden="1">""</definedName>
    <definedName name="LevelA915" comment="0" localSheetId="0" hidden="1">""</definedName>
    <definedName name="LevelA915C0" comment="NA==" localSheetId="0" hidden="1">""</definedName>
    <definedName name="LevelA916" comment="0" localSheetId="0" hidden="1">""</definedName>
    <definedName name="LevelA916C0" comment="NA==" localSheetId="0" hidden="1">""</definedName>
    <definedName name="LevelA917" comment="0" localSheetId="0" hidden="1">""</definedName>
    <definedName name="LevelA917C0" comment="NA==" localSheetId="0" hidden="1">""</definedName>
    <definedName name="LevelA918" comment="0" localSheetId="0" hidden="1">""</definedName>
    <definedName name="LevelA918C0" comment="NA==" localSheetId="0" hidden="1">""</definedName>
    <definedName name="LevelA919" comment="0" localSheetId="0" hidden="1">""</definedName>
    <definedName name="LevelA919C0" comment="NA==" localSheetId="0" hidden="1">""</definedName>
    <definedName name="LevelA91C0" comment="NA==" localSheetId="0" hidden="1">""</definedName>
    <definedName name="LevelA92" comment="0" localSheetId="0" hidden="1">""</definedName>
    <definedName name="LevelA920" comment="0" localSheetId="0" hidden="1">""</definedName>
    <definedName name="LevelA920C0" comment="NA==" localSheetId="0" hidden="1">""</definedName>
    <definedName name="LevelA921" comment="0" localSheetId="0" hidden="1">""</definedName>
    <definedName name="LevelA921C0" comment="NA==" localSheetId="0" hidden="1">""</definedName>
    <definedName name="LevelA922" comment="0" localSheetId="0" hidden="1">""</definedName>
    <definedName name="LevelA922C0" comment="NA==" localSheetId="0" hidden="1">""</definedName>
    <definedName name="LevelA923" comment="0" localSheetId="0" hidden="1">""</definedName>
    <definedName name="LevelA923C0" comment="NA==" localSheetId="0" hidden="1">""</definedName>
    <definedName name="LevelA924" comment="0" localSheetId="0" hidden="1">""</definedName>
    <definedName name="LevelA924C0" comment="NA==" localSheetId="0" hidden="1">""</definedName>
    <definedName name="LevelA925" comment="0" localSheetId="0" hidden="1">""</definedName>
    <definedName name="LevelA925C0" comment="NA==" localSheetId="0" hidden="1">""</definedName>
    <definedName name="LevelA926" comment="0" localSheetId="0" hidden="1">""</definedName>
    <definedName name="LevelA926C0" comment="NA==" localSheetId="0" hidden="1">""</definedName>
    <definedName name="LevelA927" comment="0" localSheetId="0" hidden="1">""</definedName>
    <definedName name="LevelA927C0" comment="NA==" localSheetId="0" hidden="1">""</definedName>
    <definedName name="LevelA928" comment="0" localSheetId="0" hidden="1">""</definedName>
    <definedName name="LevelA928C0" comment="NA==" localSheetId="0" hidden="1">""</definedName>
    <definedName name="LevelA929" comment="0" localSheetId="0" hidden="1">""</definedName>
    <definedName name="LevelA929C0" comment="NA==" localSheetId="0" hidden="1">""</definedName>
    <definedName name="LevelA92C0" comment="NA==" localSheetId="0" hidden="1">""</definedName>
    <definedName name="LevelA93" comment="0" localSheetId="0" hidden="1">""</definedName>
    <definedName name="LevelA930" comment="0" localSheetId="0" hidden="1">""</definedName>
    <definedName name="LevelA930C0" comment="NA==" localSheetId="0" hidden="1">""</definedName>
    <definedName name="LevelA931" comment="0" localSheetId="0" hidden="1">""</definedName>
    <definedName name="LevelA931C0" comment="NA==" localSheetId="0" hidden="1">""</definedName>
    <definedName name="LevelA932" comment="0" localSheetId="0" hidden="1">""</definedName>
    <definedName name="LevelA932C0" comment="NA==" localSheetId="0" hidden="1">""</definedName>
    <definedName name="LevelA933" comment="0" localSheetId="0" hidden="1">""</definedName>
    <definedName name="LevelA933C0" comment="NA==" localSheetId="0" hidden="1">""</definedName>
    <definedName name="LevelA934" comment="0" localSheetId="0" hidden="1">""</definedName>
    <definedName name="LevelA934C0" comment="NA==" localSheetId="0" hidden="1">""</definedName>
    <definedName name="LevelA935" comment="0" localSheetId="0" hidden="1">""</definedName>
    <definedName name="LevelA935C0" comment="NA==" localSheetId="0" hidden="1">""</definedName>
    <definedName name="LevelA936" comment="0" localSheetId="0" hidden="1">""</definedName>
    <definedName name="LevelA936C0" comment="NA==" localSheetId="0" hidden="1">""</definedName>
    <definedName name="LevelA937" comment="0" localSheetId="0" hidden="1">""</definedName>
    <definedName name="LevelA937C0" comment="NA==" localSheetId="0" hidden="1">""</definedName>
    <definedName name="LevelA938" comment="0" localSheetId="0" hidden="1">""</definedName>
    <definedName name="LevelA938C0" comment="NA==" localSheetId="0" hidden="1">""</definedName>
    <definedName name="LevelA939" comment="0" localSheetId="0" hidden="1">""</definedName>
    <definedName name="LevelA939C0" comment="NA==" localSheetId="0" hidden="1">""</definedName>
    <definedName name="LevelA93C0" comment="NA==" localSheetId="0" hidden="1">""</definedName>
    <definedName name="LevelA94" comment="0" localSheetId="0" hidden="1">""</definedName>
    <definedName name="LevelA940" comment="0" localSheetId="0" hidden="1">""</definedName>
    <definedName name="LevelA940C0" comment="NA==" localSheetId="0" hidden="1">""</definedName>
    <definedName name="LevelA941" comment="0" localSheetId="0" hidden="1">""</definedName>
    <definedName name="LevelA941C0" comment="NA==" localSheetId="0" hidden="1">""</definedName>
    <definedName name="LevelA942" comment="0" localSheetId="0" hidden="1">""</definedName>
    <definedName name="LevelA942C0" comment="NA==" localSheetId="0" hidden="1">""</definedName>
    <definedName name="LevelA943" comment="0" localSheetId="0" hidden="1">""</definedName>
    <definedName name="LevelA943C0" comment="NA==" localSheetId="0" hidden="1">""</definedName>
    <definedName name="LevelA944" comment="0" localSheetId="0" hidden="1">""</definedName>
    <definedName name="LevelA944C0" comment="NA==" localSheetId="0" hidden="1">""</definedName>
    <definedName name="LevelA945" comment="0" localSheetId="0" hidden="1">""</definedName>
    <definedName name="LevelA945C0" comment="NA==" localSheetId="0" hidden="1">""</definedName>
    <definedName name="LevelA946" comment="0" localSheetId="0" hidden="1">""</definedName>
    <definedName name="LevelA946C0" comment="NA==" localSheetId="0" hidden="1">""</definedName>
    <definedName name="LevelA947" comment="0" localSheetId="0" hidden="1">""</definedName>
    <definedName name="LevelA947C0" comment="NA==" localSheetId="0" hidden="1">""</definedName>
    <definedName name="LevelA948" comment="0" localSheetId="0" hidden="1">""</definedName>
    <definedName name="LevelA948C0" comment="NA==" localSheetId="0" hidden="1">""</definedName>
    <definedName name="LevelA949" comment="0" localSheetId="0" hidden="1">""</definedName>
    <definedName name="LevelA949C0" comment="NA==" localSheetId="0" hidden="1">""</definedName>
    <definedName name="LevelA94C0" comment="NA==" localSheetId="0" hidden="1">""</definedName>
    <definedName name="LevelA95" comment="0" localSheetId="0" hidden="1">""</definedName>
    <definedName name="LevelA950" comment="0" localSheetId="0" hidden="1">""</definedName>
    <definedName name="LevelA950C0" comment="NA==" localSheetId="0" hidden="1">""</definedName>
    <definedName name="LevelA951" comment="0" localSheetId="0" hidden="1">""</definedName>
    <definedName name="LevelA951C0" comment="NA==" localSheetId="0" hidden="1">""</definedName>
    <definedName name="LevelA952" comment="0" localSheetId="0" hidden="1">""</definedName>
    <definedName name="LevelA952C0" comment="NA==" localSheetId="0" hidden="1">""</definedName>
    <definedName name="LevelA953" comment="0" localSheetId="0" hidden="1">""</definedName>
    <definedName name="LevelA953C0" comment="NA==" localSheetId="0" hidden="1">""</definedName>
    <definedName name="LevelA954" comment="0" localSheetId="0" hidden="1">""</definedName>
    <definedName name="LevelA954C0" comment="NA==" localSheetId="0" hidden="1">""</definedName>
    <definedName name="LevelA955" comment="0" localSheetId="0" hidden="1">""</definedName>
    <definedName name="LevelA955C0" comment="NA==" localSheetId="0" hidden="1">""</definedName>
    <definedName name="LevelA956" comment="0" localSheetId="0" hidden="1">""</definedName>
    <definedName name="LevelA956C0" comment="NA==" localSheetId="0" hidden="1">""</definedName>
    <definedName name="LevelA957" comment="0" localSheetId="0" hidden="1">""</definedName>
    <definedName name="LevelA957C0" comment="NA==" localSheetId="0" hidden="1">""</definedName>
    <definedName name="LevelA958" comment="0" localSheetId="0" hidden="1">""</definedName>
    <definedName name="LevelA958C0" comment="NA==" localSheetId="0" hidden="1">""</definedName>
    <definedName name="LevelA959" comment="0" localSheetId="0" hidden="1">""</definedName>
    <definedName name="LevelA959C0" comment="NA==" localSheetId="0" hidden="1">""</definedName>
    <definedName name="LevelA95C0" comment="NA==" localSheetId="0" hidden="1">""</definedName>
    <definedName name="LevelA96" comment="0" localSheetId="0" hidden="1">""</definedName>
    <definedName name="LevelA960" comment="0" localSheetId="0" hidden="1">""</definedName>
    <definedName name="LevelA960C0" comment="NA==" localSheetId="0" hidden="1">""</definedName>
    <definedName name="LevelA961" comment="0" localSheetId="0" hidden="1">""</definedName>
    <definedName name="LevelA961C0" comment="NA==" localSheetId="0" hidden="1">""</definedName>
    <definedName name="LevelA962" comment="0" localSheetId="0" hidden="1">""</definedName>
    <definedName name="LevelA962C0" comment="NA==" localSheetId="0" hidden="1">""</definedName>
    <definedName name="LevelA963" comment="0" localSheetId="0" hidden="1">""</definedName>
    <definedName name="LevelA963C0" comment="NA==" localSheetId="0" hidden="1">""</definedName>
    <definedName name="LevelA964" comment="0" localSheetId="0" hidden="1">""</definedName>
    <definedName name="LevelA964C0" comment="NA==" localSheetId="0" hidden="1">""</definedName>
    <definedName name="LevelA965" comment="0" localSheetId="0" hidden="1">""</definedName>
    <definedName name="LevelA965C0" comment="NA==" localSheetId="0" hidden="1">""</definedName>
    <definedName name="LevelA966" comment="0" localSheetId="0" hidden="1">""</definedName>
    <definedName name="LevelA966C0" comment="NA==" localSheetId="0" hidden="1">""</definedName>
    <definedName name="LevelA967" comment="0" localSheetId="0" hidden="1">""</definedName>
    <definedName name="LevelA967C0" comment="NA==" localSheetId="0" hidden="1">""</definedName>
    <definedName name="LevelA968" comment="0" localSheetId="0" hidden="1">""</definedName>
    <definedName name="LevelA968C0" comment="NA==" localSheetId="0" hidden="1">""</definedName>
    <definedName name="LevelA969" comment="0" localSheetId="0" hidden="1">""</definedName>
    <definedName name="LevelA969C0" comment="NA==" localSheetId="0" hidden="1">""</definedName>
    <definedName name="LevelA96C0" comment="NA==" localSheetId="0" hidden="1">""</definedName>
    <definedName name="LevelA97" comment="0" localSheetId="0" hidden="1">""</definedName>
    <definedName name="LevelA970" comment="0" localSheetId="0" hidden="1">""</definedName>
    <definedName name="LevelA970C0" comment="NA==" localSheetId="0" hidden="1">""</definedName>
    <definedName name="LevelA971" comment="0" localSheetId="0" hidden="1">""</definedName>
    <definedName name="LevelA971C0" comment="NA==" localSheetId="0" hidden="1">""</definedName>
    <definedName name="LevelA972" comment="0" localSheetId="0" hidden="1">""</definedName>
    <definedName name="LevelA972C0" comment="NA==" localSheetId="0" hidden="1">""</definedName>
    <definedName name="LevelA973" comment="0" localSheetId="0" hidden="1">""</definedName>
    <definedName name="LevelA973C0" comment="NA==" localSheetId="0" hidden="1">""</definedName>
    <definedName name="LevelA974" comment="0" localSheetId="0" hidden="1">""</definedName>
    <definedName name="LevelA974C0" comment="NA==" localSheetId="0" hidden="1">""</definedName>
    <definedName name="LevelA975" comment="0" localSheetId="0" hidden="1">""</definedName>
    <definedName name="LevelA975C0" comment="NA==" localSheetId="0" hidden="1">""</definedName>
    <definedName name="LevelA976" comment="0" localSheetId="0" hidden="1">""</definedName>
    <definedName name="LevelA976C0" comment="NA==" localSheetId="0" hidden="1">""</definedName>
    <definedName name="LevelA977" comment="0" localSheetId="0" hidden="1">""</definedName>
    <definedName name="LevelA977C0" comment="NA==" localSheetId="0" hidden="1">""</definedName>
    <definedName name="LevelA978" comment="0" localSheetId="0" hidden="1">""</definedName>
    <definedName name="LevelA978C0" comment="NA==" localSheetId="0" hidden="1">""</definedName>
    <definedName name="LevelA979" comment="0" localSheetId="0" hidden="1">""</definedName>
    <definedName name="LevelA979C0" comment="NA==" localSheetId="0" hidden="1">""</definedName>
    <definedName name="LevelA97C0" comment="NA==" localSheetId="0" hidden="1">""</definedName>
    <definedName name="LevelA98" comment="0" localSheetId="0" hidden="1">""</definedName>
    <definedName name="LevelA980" comment="0" localSheetId="0" hidden="1">""</definedName>
    <definedName name="LevelA980C0" comment="NA==" localSheetId="0" hidden="1">""</definedName>
    <definedName name="LevelA981" comment="0" localSheetId="0" hidden="1">""</definedName>
    <definedName name="LevelA981C0" comment="NA==" localSheetId="0" hidden="1">""</definedName>
    <definedName name="LevelA982" comment="0" localSheetId="0" hidden="1">""</definedName>
    <definedName name="LevelA982C0" comment="NA==" localSheetId="0" hidden="1">""</definedName>
    <definedName name="LevelA983" comment="0" localSheetId="0" hidden="1">""</definedName>
    <definedName name="LevelA983C0" comment="NA==" localSheetId="0" hidden="1">""</definedName>
    <definedName name="LevelA984" comment="0" localSheetId="0" hidden="1">""</definedName>
    <definedName name="LevelA984C0" comment="NA==" localSheetId="0" hidden="1">""</definedName>
    <definedName name="LevelA985" comment="0" localSheetId="0" hidden="1">""</definedName>
    <definedName name="LevelA985C0" comment="NA==" localSheetId="0" hidden="1">""</definedName>
    <definedName name="LevelA986" comment="0" localSheetId="0" hidden="1">""</definedName>
    <definedName name="LevelA986C0" comment="NA==" localSheetId="0" hidden="1">""</definedName>
    <definedName name="LevelA987" comment="0" localSheetId="0" hidden="1">""</definedName>
    <definedName name="LevelA987C0" comment="NA==" localSheetId="0" hidden="1">""</definedName>
    <definedName name="LevelA988" comment="0" localSheetId="0" hidden="1">""</definedName>
    <definedName name="LevelA988C0" comment="NA==" localSheetId="0" hidden="1">""</definedName>
    <definedName name="LevelA989" comment="0" localSheetId="0" hidden="1">""</definedName>
    <definedName name="LevelA989C0" comment="NA==" localSheetId="0" hidden="1">""</definedName>
    <definedName name="LevelA98C0" comment="NA==" localSheetId="0" hidden="1">""</definedName>
    <definedName name="LevelA99" comment="0" localSheetId="0" hidden="1">""</definedName>
    <definedName name="LevelA990" comment="0" localSheetId="0" hidden="1">""</definedName>
    <definedName name="LevelA990C0" comment="NA==" localSheetId="0" hidden="1">""</definedName>
    <definedName name="LevelA991" comment="0" localSheetId="0" hidden="1">""</definedName>
    <definedName name="LevelA991C0" comment="NA==" localSheetId="0" hidden="1">""</definedName>
    <definedName name="LevelA992" comment="0" localSheetId="0" hidden="1">""</definedName>
    <definedName name="LevelA992C0" comment="NA==" localSheetId="0" hidden="1">""</definedName>
    <definedName name="LevelA993" comment="0" localSheetId="0" hidden="1">""</definedName>
    <definedName name="LevelA993C0" comment="NA==" localSheetId="0" hidden="1">""</definedName>
    <definedName name="LevelA994" comment="0" localSheetId="0" hidden="1">""</definedName>
    <definedName name="LevelA994C0" comment="NA==" localSheetId="0" hidden="1">""</definedName>
    <definedName name="LevelA995" comment="0" localSheetId="0" hidden="1">""</definedName>
    <definedName name="LevelA995C0" comment="NA==" localSheetId="0" hidden="1">""</definedName>
    <definedName name="LevelA996" comment="0" localSheetId="0" hidden="1">""</definedName>
    <definedName name="LevelA996C0" comment="NA==" localSheetId="0" hidden="1">""</definedName>
    <definedName name="LevelA997" comment="0" localSheetId="0" hidden="1">""</definedName>
    <definedName name="LevelA997C0" comment="NA==" localSheetId="0" hidden="1">""</definedName>
    <definedName name="LevelA998" comment="0" localSheetId="0" hidden="1">""</definedName>
    <definedName name="LevelA998C0" comment="NA==" localSheetId="0" hidden="1">""</definedName>
    <definedName name="LevelA999" comment="0" localSheetId="0" hidden="1">""</definedName>
    <definedName name="LevelA999C0" comment="NA==" localSheetId="0" hidden="1">""</definedName>
    <definedName name="LevelA99C0" comment="NA==" localSheetId="0" hidden="1">""</definedName>
    <definedName name="LevelA9C0" comment="NA==" localSheetId="0" hidden="1">""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87" i="1" l="1"/>
  <c r="C6373" i="1"/>
  <c r="C2586" i="1"/>
  <c r="C5906" i="1"/>
  <c r="C1831" i="1"/>
  <c r="C5905" i="1"/>
  <c r="C6624" i="1"/>
  <c r="C5904" i="1"/>
  <c r="C1830" i="1"/>
  <c r="C1829" i="1"/>
  <c r="C5903" i="1"/>
  <c r="C5902" i="1"/>
  <c r="C5901" i="1"/>
  <c r="C5900" i="1"/>
  <c r="C5899" i="1"/>
  <c r="C2585" i="1"/>
  <c r="C6324" i="1"/>
  <c r="C6323" i="1"/>
  <c r="C1828" i="1"/>
  <c r="C1827" i="1"/>
  <c r="C1826" i="1"/>
  <c r="C6514" i="1"/>
  <c r="C6513" i="1"/>
  <c r="C6623" i="1"/>
  <c r="C1825" i="1"/>
  <c r="C6322" i="1"/>
  <c r="C5898" i="1"/>
  <c r="C6372" i="1"/>
  <c r="C1824" i="1"/>
  <c r="C5897" i="1"/>
  <c r="C1823" i="1"/>
  <c r="C5896" i="1"/>
  <c r="C5895" i="1"/>
  <c r="C5894" i="1"/>
  <c r="C6321" i="1"/>
  <c r="C1822" i="1"/>
  <c r="C1821" i="1"/>
  <c r="C5893" i="1"/>
  <c r="C1820" i="1"/>
  <c r="C5892" i="1"/>
  <c r="C5891" i="1"/>
  <c r="C1819" i="1"/>
  <c r="C1818" i="1"/>
  <c r="C5890" i="1"/>
  <c r="C5889" i="1"/>
  <c r="C5888" i="1"/>
  <c r="C5887" i="1"/>
  <c r="C5886" i="1"/>
  <c r="C5885" i="1"/>
  <c r="C5884" i="1"/>
  <c r="C1817" i="1"/>
  <c r="C1816" i="1"/>
  <c r="C1815" i="1"/>
  <c r="C5883" i="1"/>
  <c r="C6320" i="1"/>
  <c r="C6622" i="1"/>
  <c r="C1814" i="1"/>
  <c r="C2595" i="1"/>
  <c r="C5882" i="1"/>
  <c r="C1813" i="1"/>
  <c r="C1812" i="1"/>
  <c r="C5881" i="1"/>
  <c r="C5880" i="1"/>
  <c r="C5879" i="1"/>
  <c r="C5878" i="1"/>
  <c r="C5877" i="1"/>
  <c r="C5876" i="1"/>
  <c r="C5875" i="1"/>
  <c r="C5874" i="1"/>
  <c r="C2584" i="1"/>
  <c r="C6621" i="1"/>
  <c r="C6620" i="1"/>
  <c r="C5873" i="1"/>
  <c r="C1811" i="1"/>
  <c r="C5872" i="1"/>
  <c r="C1810" i="1"/>
  <c r="C6319" i="1"/>
  <c r="C1809" i="1"/>
  <c r="C5871" i="1"/>
  <c r="C6619" i="1"/>
  <c r="C5870" i="1"/>
  <c r="C2583" i="1"/>
  <c r="C5869" i="1"/>
  <c r="C5868" i="1"/>
  <c r="C1808" i="1"/>
  <c r="C1807" i="1"/>
  <c r="C6318" i="1"/>
  <c r="C2582" i="1"/>
  <c r="C1806" i="1"/>
  <c r="C6618" i="1"/>
  <c r="C1805" i="1"/>
  <c r="C5867" i="1"/>
  <c r="C6617" i="1"/>
  <c r="C5866" i="1"/>
  <c r="C5865" i="1"/>
  <c r="C5864" i="1"/>
  <c r="C6616" i="1"/>
  <c r="C6615" i="1"/>
  <c r="C1804" i="1"/>
  <c r="C5863" i="1"/>
  <c r="C5862" i="1"/>
  <c r="C5861" i="1"/>
  <c r="C5860" i="1"/>
  <c r="C1803" i="1"/>
  <c r="C6317" i="1"/>
  <c r="C1802" i="1"/>
  <c r="C5859" i="1"/>
  <c r="C5858" i="1"/>
  <c r="C6316" i="1"/>
  <c r="C1801" i="1"/>
  <c r="C1800" i="1"/>
  <c r="C6614" i="1"/>
  <c r="C1799" i="1"/>
  <c r="C5857" i="1"/>
  <c r="C1798" i="1"/>
  <c r="C1797" i="1"/>
  <c r="C1796" i="1"/>
  <c r="C1795" i="1"/>
  <c r="C1794" i="1"/>
  <c r="C6613" i="1"/>
  <c r="C6512" i="1"/>
  <c r="C1793" i="1"/>
  <c r="C1792" i="1"/>
  <c r="C1791" i="1"/>
  <c r="C1790" i="1"/>
  <c r="C1789" i="1"/>
  <c r="C6612" i="1"/>
  <c r="C6611" i="1"/>
  <c r="C1788" i="1"/>
  <c r="C5856" i="1"/>
  <c r="C2581" i="1"/>
  <c r="C1787" i="1"/>
  <c r="C5855" i="1"/>
  <c r="C1786" i="1"/>
  <c r="C5854" i="1"/>
  <c r="C2580" i="1"/>
  <c r="C5853" i="1"/>
  <c r="C6511" i="1"/>
  <c r="C1785" i="1"/>
  <c r="C5852" i="1"/>
  <c r="C5851" i="1"/>
  <c r="C1784" i="1"/>
  <c r="C1783" i="1"/>
  <c r="C1782" i="1"/>
  <c r="C5850" i="1"/>
  <c r="C6610" i="1"/>
  <c r="C1781" i="1"/>
  <c r="C6315" i="1"/>
  <c r="C2579" i="1"/>
  <c r="C5849" i="1"/>
  <c r="C5848" i="1"/>
  <c r="C1780" i="1"/>
  <c r="C6609" i="1"/>
  <c r="C2578" i="1"/>
  <c r="C5847" i="1"/>
  <c r="C6314" i="1"/>
  <c r="C2577" i="1"/>
  <c r="C6313" i="1"/>
  <c r="C1779" i="1"/>
  <c r="C1778" i="1"/>
  <c r="C2576" i="1"/>
  <c r="C2575" i="1"/>
  <c r="C2574" i="1"/>
  <c r="C2573" i="1"/>
  <c r="C5846" i="1"/>
  <c r="C5845" i="1"/>
  <c r="C5844" i="1"/>
  <c r="C2572" i="1"/>
  <c r="C5843" i="1"/>
  <c r="C5842" i="1"/>
  <c r="C1777" i="1"/>
  <c r="C5841" i="1"/>
  <c r="C2571" i="1"/>
  <c r="C5840" i="1"/>
  <c r="C2570" i="1"/>
  <c r="C2569" i="1"/>
  <c r="C1776" i="1"/>
  <c r="C5839" i="1"/>
  <c r="C5838" i="1"/>
  <c r="C1775" i="1"/>
  <c r="C5837" i="1"/>
  <c r="C5836" i="1"/>
  <c r="C2568" i="1"/>
  <c r="C6312" i="1"/>
  <c r="C6311" i="1"/>
  <c r="C5835" i="1"/>
  <c r="C1774" i="1"/>
  <c r="C6310" i="1"/>
  <c r="C1773" i="1"/>
  <c r="C2567" i="1"/>
  <c r="C5834" i="1"/>
  <c r="C5833" i="1"/>
  <c r="C5832" i="1"/>
  <c r="C5831" i="1"/>
  <c r="C1772" i="1"/>
  <c r="C1771" i="1"/>
  <c r="C1770" i="1"/>
  <c r="C5830" i="1"/>
  <c r="C5829" i="1"/>
  <c r="C5828" i="1"/>
  <c r="C1769" i="1"/>
  <c r="C6309" i="1"/>
  <c r="C1768" i="1"/>
  <c r="C5827" i="1"/>
  <c r="C1767" i="1"/>
  <c r="C5826" i="1"/>
  <c r="C5825" i="1"/>
  <c r="C1766" i="1"/>
  <c r="C1765" i="1"/>
  <c r="C5824" i="1"/>
  <c r="C1764" i="1"/>
  <c r="C5823" i="1"/>
  <c r="C1763" i="1"/>
  <c r="C1762" i="1"/>
  <c r="C2566" i="1"/>
  <c r="C5822" i="1"/>
  <c r="C5821" i="1"/>
  <c r="C5820" i="1"/>
  <c r="C1761" i="1"/>
  <c r="C6308" i="1"/>
  <c r="C6307" i="1"/>
  <c r="C6306" i="1"/>
  <c r="C6305" i="1"/>
  <c r="C2565" i="1"/>
  <c r="C1760" i="1"/>
  <c r="C1759" i="1"/>
  <c r="C5819" i="1"/>
  <c r="C2687" i="1"/>
  <c r="C1758" i="1"/>
  <c r="C6304" i="1"/>
  <c r="C1757" i="1"/>
  <c r="C5818" i="1"/>
  <c r="C2564" i="1"/>
  <c r="C5817" i="1"/>
  <c r="C5816" i="1"/>
  <c r="C5815" i="1"/>
  <c r="C2563" i="1"/>
  <c r="C5814" i="1"/>
  <c r="C6303" i="1"/>
  <c r="C5813" i="1"/>
  <c r="C5812" i="1"/>
  <c r="C1756" i="1"/>
  <c r="C5811" i="1"/>
  <c r="C5810" i="1"/>
  <c r="C5809" i="1"/>
  <c r="C6608" i="1"/>
  <c r="C6607" i="1"/>
  <c r="C1755" i="1"/>
  <c r="C5808" i="1"/>
  <c r="C1754" i="1"/>
  <c r="C1753" i="1"/>
  <c r="C1752" i="1"/>
  <c r="C6302" i="1"/>
  <c r="C5807" i="1"/>
  <c r="C1751" i="1"/>
  <c r="C1750" i="1"/>
  <c r="C5806" i="1"/>
  <c r="C1749" i="1"/>
  <c r="C1748" i="1"/>
  <c r="C1747" i="1"/>
  <c r="C2562" i="1"/>
  <c r="C1746" i="1"/>
  <c r="C2561" i="1"/>
  <c r="C5805" i="1"/>
  <c r="C1745" i="1"/>
  <c r="C1744" i="1"/>
  <c r="C1743" i="1"/>
  <c r="C5804" i="1"/>
  <c r="C1742" i="1"/>
  <c r="C6606" i="1"/>
  <c r="C1741" i="1"/>
  <c r="C1740" i="1"/>
  <c r="C1739" i="1"/>
  <c r="C5803" i="1"/>
  <c r="C1738" i="1"/>
  <c r="C1737" i="1"/>
  <c r="C1736" i="1"/>
  <c r="C5802" i="1"/>
  <c r="C2560" i="1"/>
  <c r="C6605" i="1"/>
  <c r="C6301" i="1"/>
  <c r="C5801" i="1"/>
  <c r="C5800" i="1"/>
  <c r="C5799" i="1"/>
  <c r="C1735" i="1"/>
  <c r="C5798" i="1"/>
  <c r="C5797" i="1"/>
  <c r="C1734" i="1"/>
  <c r="C1733" i="1"/>
  <c r="C2559" i="1"/>
  <c r="C6300" i="1"/>
  <c r="C6299" i="1"/>
  <c r="C1732" i="1"/>
  <c r="C1731" i="1"/>
  <c r="C1730" i="1"/>
  <c r="C1729" i="1"/>
  <c r="C1728" i="1"/>
  <c r="C5796" i="1"/>
  <c r="C5795" i="1"/>
  <c r="C1727" i="1"/>
  <c r="C1726" i="1"/>
  <c r="C5794" i="1"/>
  <c r="C6298" i="1"/>
  <c r="C2558" i="1"/>
  <c r="C1725" i="1"/>
  <c r="C1724" i="1"/>
  <c r="C1723" i="1"/>
  <c r="C1722" i="1"/>
  <c r="C5793" i="1"/>
  <c r="C5792" i="1"/>
  <c r="C1721" i="1"/>
  <c r="C1720" i="1"/>
  <c r="C1719" i="1"/>
  <c r="C1718" i="1"/>
  <c r="C5791" i="1"/>
  <c r="C6297" i="1"/>
  <c r="C1717" i="1"/>
  <c r="C1716" i="1"/>
  <c r="C2557" i="1"/>
  <c r="C5790" i="1"/>
  <c r="C5789" i="1"/>
  <c r="C1715" i="1"/>
  <c r="C2686" i="1"/>
  <c r="C5788" i="1"/>
  <c r="C1714" i="1"/>
  <c r="C6604" i="1"/>
  <c r="C5787" i="1"/>
  <c r="C5786" i="1"/>
  <c r="C5785" i="1"/>
  <c r="C5784" i="1"/>
  <c r="C5783" i="1"/>
  <c r="C6603" i="1"/>
  <c r="C1713" i="1"/>
  <c r="C5782" i="1"/>
  <c r="C5781" i="1"/>
  <c r="C5780" i="1"/>
  <c r="C1712" i="1"/>
  <c r="C1711" i="1"/>
  <c r="C5779" i="1"/>
  <c r="C5778" i="1"/>
  <c r="C5777" i="1"/>
  <c r="C2556" i="1"/>
  <c r="C1710" i="1"/>
  <c r="C5776" i="1"/>
  <c r="C1709" i="1"/>
  <c r="C1708" i="1"/>
  <c r="C5775" i="1"/>
  <c r="C1707" i="1"/>
  <c r="C2555" i="1"/>
  <c r="C6296" i="1"/>
  <c r="C1706" i="1"/>
  <c r="C5774" i="1"/>
  <c r="C5773" i="1"/>
  <c r="C1705" i="1"/>
  <c r="C6371" i="1"/>
  <c r="C5772" i="1"/>
  <c r="C1704" i="1"/>
  <c r="C5771" i="1"/>
  <c r="C5770" i="1"/>
  <c r="C6295" i="1"/>
  <c r="C1703" i="1"/>
  <c r="C1702" i="1"/>
  <c r="C1701" i="1"/>
  <c r="C1700" i="1"/>
  <c r="C5769" i="1"/>
  <c r="C1699" i="1"/>
  <c r="C1698" i="1"/>
  <c r="C6294" i="1"/>
  <c r="C6293" i="1"/>
  <c r="C6292" i="1"/>
  <c r="C6291" i="1"/>
  <c r="C1697" i="1"/>
  <c r="C2554" i="1"/>
  <c r="C5768" i="1"/>
  <c r="C1696" i="1"/>
  <c r="C1695" i="1"/>
  <c r="C6370" i="1"/>
  <c r="C6369" i="1"/>
  <c r="C6368" i="1"/>
  <c r="C1694" i="1"/>
  <c r="C5767" i="1"/>
  <c r="C5766" i="1"/>
  <c r="C1693" i="1"/>
  <c r="C5765" i="1"/>
  <c r="C5764" i="1"/>
  <c r="C5763" i="1"/>
  <c r="C6602" i="1"/>
  <c r="C5762" i="1"/>
  <c r="C1692" i="1"/>
  <c r="C5761" i="1"/>
  <c r="C5760" i="1"/>
  <c r="C5759" i="1"/>
  <c r="C5758" i="1"/>
  <c r="C5757" i="1"/>
  <c r="C2685" i="1"/>
  <c r="C2684" i="1"/>
  <c r="C2683" i="1"/>
  <c r="C2682" i="1"/>
  <c r="C2681" i="1"/>
  <c r="C6290" i="1"/>
  <c r="C1691" i="1"/>
  <c r="C5756" i="1"/>
  <c r="C5755" i="1"/>
  <c r="C2553" i="1"/>
  <c r="C2552" i="1"/>
  <c r="C6289" i="1"/>
  <c r="C5754" i="1"/>
  <c r="C5753" i="1"/>
  <c r="C1690" i="1"/>
  <c r="C1689" i="1"/>
  <c r="C2551" i="1"/>
  <c r="C5752" i="1"/>
  <c r="C5751" i="1"/>
  <c r="C1688" i="1"/>
  <c r="C1687" i="1"/>
  <c r="C6288" i="1"/>
  <c r="C5750" i="1"/>
  <c r="C1686" i="1"/>
  <c r="C6287" i="1"/>
  <c r="C1685" i="1"/>
  <c r="C1684" i="1"/>
  <c r="C5749" i="1"/>
  <c r="C5748" i="1"/>
  <c r="C5747" i="1"/>
  <c r="C1683" i="1"/>
  <c r="C5746" i="1"/>
  <c r="C5745" i="1"/>
  <c r="C1682" i="1"/>
  <c r="C1681" i="1"/>
  <c r="C5744" i="1"/>
  <c r="C5743" i="1"/>
  <c r="C5742" i="1"/>
  <c r="C1680" i="1"/>
  <c r="C1679" i="1"/>
  <c r="C5741" i="1"/>
  <c r="C1678" i="1"/>
  <c r="C1677" i="1"/>
  <c r="C1676" i="1"/>
  <c r="C1675" i="1"/>
  <c r="C1674" i="1"/>
  <c r="C5740" i="1"/>
  <c r="C1673" i="1"/>
  <c r="C5739" i="1"/>
  <c r="C6286" i="1"/>
  <c r="C1672" i="1"/>
  <c r="C1671" i="1"/>
  <c r="C1670" i="1"/>
  <c r="C6285" i="1"/>
  <c r="C5738" i="1"/>
  <c r="C1669" i="1"/>
  <c r="C5737" i="1"/>
  <c r="C5736" i="1"/>
  <c r="C1668" i="1"/>
  <c r="C1667" i="1"/>
  <c r="C5735" i="1"/>
  <c r="C1666" i="1"/>
  <c r="C5734" i="1"/>
  <c r="C5733" i="1"/>
  <c r="C1665" i="1"/>
  <c r="C1664" i="1"/>
  <c r="C1663" i="1"/>
  <c r="C1662" i="1"/>
  <c r="C1661" i="1"/>
  <c r="C1660" i="1"/>
  <c r="C6284" i="1"/>
  <c r="C6283" i="1"/>
  <c r="C6282" i="1"/>
  <c r="C6601" i="1"/>
  <c r="C5732" i="1"/>
  <c r="C5731" i="1"/>
  <c r="C2550" i="1"/>
  <c r="C2549" i="1"/>
  <c r="C1659" i="1"/>
  <c r="C5730" i="1"/>
  <c r="C5729" i="1"/>
  <c r="C1658" i="1"/>
  <c r="C1657" i="1"/>
  <c r="C1656" i="1"/>
  <c r="C5728" i="1"/>
  <c r="C6281" i="1"/>
  <c r="C6280" i="1"/>
  <c r="C6279" i="1"/>
  <c r="C6278" i="1"/>
  <c r="C5727" i="1"/>
  <c r="C5726" i="1"/>
  <c r="C5725" i="1"/>
  <c r="C5724" i="1"/>
  <c r="C1655" i="1"/>
  <c r="C1654" i="1"/>
  <c r="C1653" i="1"/>
  <c r="C5723" i="1"/>
  <c r="C1652" i="1"/>
  <c r="C1651" i="1"/>
  <c r="C1650" i="1"/>
  <c r="C1649" i="1"/>
  <c r="C5722" i="1"/>
  <c r="C6277" i="1"/>
  <c r="C6276" i="1"/>
  <c r="C6275" i="1"/>
  <c r="C6274" i="1"/>
  <c r="C1648" i="1"/>
  <c r="C1647" i="1"/>
  <c r="C1646" i="1"/>
  <c r="C1645" i="1"/>
  <c r="C1644" i="1"/>
  <c r="C1643" i="1"/>
  <c r="C1642" i="1"/>
  <c r="C1641" i="1"/>
  <c r="C6367" i="1"/>
  <c r="C6366" i="1"/>
  <c r="C6365" i="1"/>
  <c r="C1640" i="1"/>
  <c r="C1639" i="1"/>
  <c r="C1638" i="1"/>
  <c r="C1637" i="1"/>
  <c r="C1636" i="1"/>
  <c r="C1635" i="1"/>
  <c r="C1634" i="1"/>
  <c r="C1633" i="1"/>
  <c r="C1632" i="1"/>
  <c r="C5721" i="1"/>
  <c r="C1631" i="1"/>
  <c r="C1630" i="1"/>
  <c r="C1629" i="1"/>
  <c r="C5720" i="1"/>
  <c r="C1628" i="1"/>
  <c r="C1627" i="1"/>
  <c r="C6273" i="1"/>
  <c r="C1626" i="1"/>
  <c r="C1625" i="1"/>
  <c r="C5719" i="1"/>
  <c r="C1624" i="1"/>
  <c r="C5718" i="1"/>
  <c r="C5717" i="1"/>
  <c r="C6272" i="1"/>
  <c r="C6510" i="1"/>
  <c r="C5716" i="1"/>
  <c r="C2548" i="1"/>
  <c r="C5715" i="1"/>
  <c r="C2547" i="1"/>
  <c r="C2546" i="1"/>
  <c r="C2545" i="1"/>
  <c r="C5714" i="1"/>
  <c r="C5713" i="1"/>
  <c r="C1623" i="1"/>
  <c r="C2544" i="1"/>
  <c r="C5712" i="1"/>
  <c r="C2543" i="1"/>
  <c r="C2542" i="1"/>
  <c r="C6509" i="1"/>
  <c r="C1622" i="1"/>
  <c r="C1621" i="1"/>
  <c r="C5711" i="1"/>
  <c r="C5710" i="1"/>
  <c r="C5709" i="1"/>
  <c r="C5708" i="1"/>
  <c r="C5707" i="1"/>
  <c r="C5706" i="1"/>
  <c r="C5705" i="1"/>
  <c r="C5704" i="1"/>
  <c r="C5703" i="1"/>
  <c r="C5702" i="1"/>
  <c r="C5701" i="1"/>
  <c r="C1620" i="1"/>
  <c r="C6271" i="1"/>
  <c r="C2541" i="1"/>
  <c r="C2540" i="1"/>
  <c r="C1619" i="1"/>
  <c r="C5700" i="1"/>
  <c r="C1618" i="1"/>
  <c r="C5699" i="1"/>
  <c r="C2539" i="1"/>
  <c r="C2538" i="1"/>
  <c r="C5698" i="1"/>
  <c r="C1617" i="1"/>
  <c r="C5697" i="1"/>
  <c r="C5696" i="1"/>
  <c r="C5695" i="1"/>
  <c r="C2537" i="1"/>
  <c r="C5694" i="1"/>
  <c r="C1616" i="1"/>
  <c r="C2536" i="1"/>
  <c r="C2535" i="1"/>
  <c r="C1615" i="1"/>
  <c r="C5693" i="1"/>
  <c r="C5692" i="1"/>
  <c r="C5691" i="1"/>
  <c r="C2534" i="1"/>
  <c r="C5690" i="1"/>
  <c r="C5689" i="1"/>
  <c r="C5688" i="1"/>
  <c r="C5687" i="1"/>
  <c r="C2533" i="1"/>
  <c r="C5686" i="1"/>
  <c r="C5685" i="1"/>
  <c r="C2532" i="1"/>
  <c r="C1614" i="1"/>
  <c r="C5684" i="1"/>
  <c r="C2531" i="1"/>
  <c r="C2530" i="1"/>
  <c r="C2529" i="1"/>
  <c r="C1613" i="1"/>
  <c r="C5683" i="1"/>
  <c r="C2680" i="1"/>
  <c r="C5682" i="1"/>
  <c r="C6508" i="1"/>
  <c r="C6600" i="1"/>
  <c r="C6599" i="1"/>
  <c r="C1612" i="1"/>
  <c r="C5681" i="1"/>
  <c r="C5680" i="1"/>
  <c r="C2528" i="1"/>
  <c r="C2527" i="1"/>
  <c r="C2526" i="1"/>
  <c r="C5679" i="1"/>
  <c r="C1611" i="1"/>
  <c r="C2679" i="1"/>
  <c r="C1610" i="1"/>
  <c r="C6270" i="1"/>
  <c r="C6269" i="1"/>
  <c r="C6268" i="1"/>
  <c r="C6267" i="1"/>
  <c r="C6266" i="1"/>
  <c r="C5678" i="1"/>
  <c r="C5677" i="1"/>
  <c r="C1609" i="1"/>
  <c r="C5676" i="1"/>
  <c r="C5675" i="1"/>
  <c r="C2525" i="1"/>
  <c r="C2524" i="1"/>
  <c r="C6265" i="1"/>
  <c r="C1608" i="1"/>
  <c r="C2523" i="1"/>
  <c r="C5674" i="1"/>
  <c r="C5673" i="1"/>
  <c r="C5672" i="1"/>
  <c r="C5671" i="1"/>
  <c r="C5670" i="1"/>
  <c r="C1607" i="1"/>
  <c r="C5669" i="1"/>
  <c r="C1606" i="1"/>
  <c r="C1605" i="1"/>
  <c r="C1604" i="1"/>
  <c r="C5668" i="1"/>
  <c r="C6264" i="1"/>
  <c r="C6263" i="1"/>
  <c r="C2522" i="1"/>
  <c r="C1603" i="1"/>
  <c r="C5667" i="1"/>
  <c r="C5666" i="1"/>
  <c r="C1602" i="1"/>
  <c r="C5665" i="1"/>
  <c r="C5664" i="1"/>
  <c r="C5663" i="1"/>
  <c r="C5662" i="1"/>
  <c r="C5661" i="1"/>
  <c r="C2521" i="1"/>
  <c r="C5660" i="1"/>
  <c r="C5659" i="1"/>
  <c r="C1601" i="1"/>
  <c r="C5658" i="1"/>
  <c r="C1600" i="1"/>
  <c r="C6262" i="1"/>
  <c r="C6507" i="1"/>
  <c r="C5657" i="1"/>
  <c r="C5656" i="1"/>
  <c r="C5655" i="1"/>
  <c r="C6506" i="1"/>
  <c r="C5654" i="1"/>
  <c r="C5653" i="1"/>
  <c r="C5652" i="1"/>
  <c r="C5651" i="1"/>
  <c r="C5650" i="1"/>
  <c r="C1599" i="1"/>
  <c r="C1598" i="1"/>
  <c r="C1597" i="1"/>
  <c r="C1596" i="1"/>
  <c r="C1595" i="1"/>
  <c r="C1594" i="1"/>
  <c r="C5649" i="1"/>
  <c r="C1593" i="1"/>
  <c r="C5648" i="1"/>
  <c r="C5647" i="1"/>
  <c r="C5646" i="1"/>
  <c r="C1592" i="1"/>
  <c r="C5645" i="1"/>
  <c r="C5644" i="1"/>
  <c r="C6364" i="1"/>
  <c r="C1591" i="1"/>
  <c r="C1590" i="1"/>
  <c r="C1589" i="1"/>
  <c r="C1588" i="1"/>
  <c r="C1587" i="1"/>
  <c r="C5643" i="1"/>
  <c r="C5642" i="1"/>
  <c r="C5641" i="1"/>
  <c r="C5640" i="1"/>
  <c r="C5639" i="1"/>
  <c r="C1586" i="1"/>
  <c r="C1585" i="1"/>
  <c r="C1584" i="1"/>
  <c r="C5638" i="1"/>
  <c r="C5637" i="1"/>
  <c r="C1583" i="1"/>
  <c r="C2678" i="1"/>
  <c r="C2677" i="1"/>
  <c r="C6261" i="1"/>
  <c r="C5636" i="1"/>
  <c r="C6260" i="1"/>
  <c r="C5635" i="1"/>
  <c r="C5634" i="1"/>
  <c r="C5633" i="1"/>
  <c r="C5632" i="1"/>
  <c r="C5631" i="1"/>
  <c r="C5630" i="1"/>
  <c r="C5629" i="1"/>
  <c r="C5628" i="1"/>
  <c r="C2520" i="1"/>
  <c r="C5627" i="1"/>
  <c r="C6259" i="1"/>
  <c r="C2519" i="1"/>
  <c r="C1582" i="1"/>
  <c r="C5626" i="1"/>
  <c r="C5625" i="1"/>
  <c r="C5624" i="1"/>
  <c r="C1581" i="1"/>
  <c r="C5623" i="1"/>
  <c r="C5622" i="1"/>
  <c r="C5621" i="1"/>
  <c r="C5620" i="1"/>
  <c r="C2518" i="1"/>
  <c r="C5619" i="1"/>
  <c r="C1580" i="1"/>
  <c r="C5618" i="1"/>
  <c r="C1579" i="1"/>
  <c r="C6505" i="1"/>
  <c r="C5617" i="1"/>
  <c r="C5616" i="1"/>
  <c r="C5615" i="1"/>
  <c r="C1578" i="1"/>
  <c r="C5614" i="1"/>
  <c r="C2517" i="1"/>
  <c r="C2516" i="1"/>
  <c r="C5613" i="1"/>
  <c r="C2515" i="1"/>
  <c r="C5612" i="1"/>
  <c r="C2514" i="1"/>
  <c r="C1577" i="1"/>
  <c r="C1576" i="1"/>
  <c r="C5611" i="1"/>
  <c r="C5610" i="1"/>
  <c r="C5609" i="1"/>
  <c r="C5608" i="1"/>
  <c r="C5607" i="1"/>
  <c r="C5606" i="1"/>
  <c r="C1575" i="1"/>
  <c r="C5605" i="1"/>
  <c r="C1574" i="1"/>
  <c r="C5604" i="1"/>
  <c r="C1573" i="1"/>
  <c r="C1572" i="1"/>
  <c r="C1571" i="1"/>
  <c r="C1570" i="1"/>
  <c r="C6258" i="1"/>
  <c r="C2513" i="1"/>
  <c r="C5603" i="1"/>
  <c r="C1569" i="1"/>
  <c r="C6598" i="1"/>
  <c r="C5602" i="1"/>
  <c r="C1568" i="1"/>
  <c r="C1567" i="1"/>
  <c r="C5601" i="1"/>
  <c r="C1566" i="1"/>
  <c r="C5600" i="1"/>
  <c r="C6257" i="1"/>
  <c r="C5599" i="1"/>
  <c r="C1565" i="1"/>
  <c r="C5598" i="1"/>
  <c r="C5597" i="1"/>
  <c r="C5596" i="1"/>
  <c r="C5595" i="1"/>
  <c r="C5594" i="1"/>
  <c r="C5593" i="1"/>
  <c r="C1564" i="1"/>
  <c r="C5592" i="1"/>
  <c r="C5591" i="1"/>
  <c r="C1563" i="1"/>
  <c r="C1562" i="1"/>
  <c r="C1561" i="1"/>
  <c r="C5590" i="1"/>
  <c r="C5589" i="1"/>
  <c r="C1560" i="1"/>
  <c r="C5588" i="1"/>
  <c r="C1559" i="1"/>
  <c r="C1558" i="1"/>
  <c r="C6363" i="1"/>
  <c r="C1557" i="1"/>
  <c r="C5587" i="1"/>
  <c r="C1556" i="1"/>
  <c r="C5586" i="1"/>
  <c r="C5585" i="1"/>
  <c r="C5584" i="1"/>
  <c r="C5583" i="1"/>
  <c r="C1555" i="1"/>
  <c r="C6256" i="1"/>
  <c r="C2512" i="1"/>
  <c r="C2511" i="1"/>
  <c r="C6255" i="1"/>
  <c r="C1554" i="1"/>
  <c r="C1553" i="1"/>
  <c r="C5582" i="1"/>
  <c r="C5581" i="1"/>
  <c r="C5580" i="1"/>
  <c r="C5579" i="1"/>
  <c r="C6362" i="1"/>
  <c r="C5578" i="1"/>
  <c r="C1552" i="1"/>
  <c r="C2510" i="1"/>
  <c r="C1551" i="1"/>
  <c r="C1550" i="1"/>
  <c r="C2676" i="1"/>
  <c r="C2675" i="1"/>
  <c r="C5577" i="1"/>
  <c r="C5576" i="1"/>
  <c r="C1549" i="1"/>
  <c r="C1548" i="1"/>
  <c r="C2509" i="1"/>
  <c r="C2508" i="1"/>
  <c r="C2507" i="1"/>
  <c r="C2506" i="1"/>
  <c r="C2505" i="1"/>
  <c r="C2504" i="1"/>
  <c r="C5575" i="1"/>
  <c r="C2503" i="1"/>
  <c r="C5574" i="1"/>
  <c r="C5573" i="1"/>
  <c r="C6504" i="1"/>
  <c r="C5572" i="1"/>
  <c r="C5571" i="1"/>
  <c r="C5570" i="1"/>
  <c r="C1547" i="1"/>
  <c r="C5569" i="1"/>
  <c r="C5568" i="1"/>
  <c r="C5567" i="1"/>
  <c r="C5566" i="1"/>
  <c r="C1546" i="1"/>
  <c r="C5565" i="1"/>
  <c r="C5564" i="1"/>
  <c r="C5563" i="1"/>
  <c r="C5562" i="1"/>
  <c r="C5561" i="1"/>
  <c r="C5560" i="1"/>
  <c r="C6254" i="1"/>
  <c r="C5559" i="1"/>
  <c r="C5558" i="1"/>
  <c r="C5557" i="1"/>
  <c r="C2502" i="1"/>
  <c r="C2501" i="1"/>
  <c r="C2500" i="1"/>
  <c r="C5556" i="1"/>
  <c r="C1545" i="1"/>
  <c r="C5555" i="1"/>
  <c r="C5554" i="1"/>
  <c r="C5553" i="1"/>
  <c r="C5552" i="1"/>
  <c r="C5551" i="1"/>
  <c r="C5550" i="1"/>
  <c r="C5549" i="1"/>
  <c r="C5548" i="1"/>
  <c r="C5547" i="1"/>
  <c r="C6253" i="1"/>
  <c r="C6252" i="1"/>
  <c r="C1544" i="1"/>
  <c r="C5546" i="1"/>
  <c r="C1543" i="1"/>
  <c r="C1542" i="1"/>
  <c r="C5545" i="1"/>
  <c r="C5544" i="1"/>
  <c r="C5543" i="1"/>
  <c r="C1541" i="1"/>
  <c r="C1540" i="1"/>
  <c r="C1539" i="1"/>
  <c r="C5542" i="1"/>
  <c r="C5541" i="1"/>
  <c r="C5540" i="1"/>
  <c r="C6251" i="1"/>
  <c r="C6250" i="1"/>
  <c r="C6361" i="1"/>
  <c r="C6360" i="1"/>
  <c r="C1538" i="1"/>
  <c r="C6249" i="1"/>
  <c r="C5539" i="1"/>
  <c r="C5538" i="1"/>
  <c r="C5537" i="1"/>
  <c r="C5536" i="1"/>
  <c r="C1537" i="1"/>
  <c r="C5535" i="1"/>
  <c r="C1536" i="1"/>
  <c r="C1535" i="1"/>
  <c r="C5534" i="1"/>
  <c r="C5533" i="1"/>
  <c r="C5532" i="1"/>
  <c r="C6503" i="1"/>
  <c r="C2499" i="1"/>
  <c r="C1534" i="1"/>
  <c r="C5531" i="1"/>
  <c r="C5530" i="1"/>
  <c r="C5529" i="1"/>
  <c r="C5528" i="1"/>
  <c r="C5527" i="1"/>
  <c r="C5526" i="1"/>
  <c r="C2674" i="1"/>
  <c r="C2673" i="1"/>
  <c r="C6359" i="1"/>
  <c r="C5525" i="1"/>
  <c r="C1533" i="1"/>
  <c r="C1532" i="1"/>
  <c r="C5524" i="1"/>
  <c r="C1531" i="1"/>
  <c r="C5523" i="1"/>
  <c r="C5522" i="1"/>
  <c r="C2498" i="1"/>
  <c r="C5521" i="1"/>
  <c r="C1530" i="1"/>
  <c r="C5520" i="1"/>
  <c r="C1529" i="1"/>
  <c r="C1528" i="1"/>
  <c r="C2672" i="1"/>
  <c r="C5519" i="1"/>
  <c r="C2497" i="1"/>
  <c r="C5518" i="1"/>
  <c r="C5517" i="1"/>
  <c r="C1527" i="1"/>
  <c r="C5516" i="1"/>
  <c r="C5515" i="1"/>
  <c r="C5514" i="1"/>
  <c r="C5513" i="1"/>
  <c r="C1526" i="1"/>
  <c r="C5512" i="1"/>
  <c r="C5511" i="1"/>
  <c r="C6248" i="1"/>
  <c r="C6247" i="1"/>
  <c r="C6502" i="1"/>
  <c r="C6246" i="1"/>
  <c r="C6358" i="1"/>
  <c r="C2496" i="1"/>
  <c r="C5510" i="1"/>
  <c r="C6245" i="1"/>
  <c r="C1525" i="1"/>
  <c r="C5509" i="1"/>
  <c r="C5508" i="1"/>
  <c r="C5507" i="1"/>
  <c r="C1524" i="1"/>
  <c r="C1523" i="1"/>
  <c r="C1522" i="1"/>
  <c r="C5506" i="1"/>
  <c r="C1521" i="1"/>
  <c r="C5505" i="1"/>
  <c r="C5504" i="1"/>
  <c r="C5503" i="1"/>
  <c r="C1520" i="1"/>
  <c r="C5502" i="1"/>
  <c r="C6357" i="1"/>
  <c r="C6356" i="1"/>
  <c r="C5909" i="1"/>
  <c r="C5501" i="1"/>
  <c r="C5500" i="1"/>
  <c r="C5499" i="1"/>
  <c r="C5498" i="1"/>
  <c r="C2495" i="1"/>
  <c r="C2494" i="1"/>
  <c r="C5497" i="1"/>
  <c r="C5496" i="1"/>
  <c r="C5495" i="1"/>
  <c r="C1519" i="1"/>
  <c r="C6244" i="1"/>
  <c r="C1518" i="1"/>
  <c r="C5494" i="1"/>
  <c r="C6243" i="1"/>
  <c r="C1517" i="1"/>
  <c r="C5493" i="1"/>
  <c r="C5492" i="1"/>
  <c r="C5491" i="1"/>
  <c r="C1516" i="1"/>
  <c r="C1515" i="1"/>
  <c r="C5490" i="1"/>
  <c r="C5489" i="1"/>
  <c r="C5488" i="1"/>
  <c r="C1514" i="1"/>
  <c r="C6242" i="1"/>
  <c r="C1513" i="1"/>
  <c r="C1512" i="1"/>
  <c r="C6501" i="1"/>
  <c r="C6500" i="1"/>
  <c r="C6499" i="1"/>
  <c r="C1511" i="1"/>
  <c r="C1510" i="1"/>
  <c r="C6355" i="1"/>
  <c r="C1509" i="1"/>
  <c r="C1508" i="1"/>
  <c r="C1507" i="1"/>
  <c r="C5487" i="1"/>
  <c r="C2493" i="1"/>
  <c r="C5486" i="1"/>
  <c r="C1506" i="1"/>
  <c r="C5485" i="1"/>
  <c r="C5484" i="1"/>
  <c r="C5483" i="1"/>
  <c r="C1505" i="1"/>
  <c r="C5482" i="1"/>
  <c r="C5481" i="1"/>
  <c r="C5480" i="1"/>
  <c r="C5479" i="1"/>
  <c r="C1504" i="1"/>
  <c r="C5478" i="1"/>
  <c r="C5477" i="1"/>
  <c r="C1503" i="1"/>
  <c r="C1502" i="1"/>
  <c r="C2492" i="1"/>
  <c r="C5476" i="1"/>
  <c r="C5475" i="1"/>
  <c r="C5474" i="1"/>
  <c r="C5473" i="1"/>
  <c r="C5472" i="1"/>
  <c r="C5471" i="1"/>
  <c r="C1501" i="1"/>
  <c r="C5470" i="1"/>
  <c r="C6241" i="1"/>
  <c r="C5469" i="1"/>
  <c r="C5468" i="1"/>
  <c r="C5467" i="1"/>
  <c r="C5466" i="1"/>
  <c r="C5465" i="1"/>
  <c r="C1500" i="1"/>
  <c r="C5464" i="1"/>
  <c r="C1499" i="1"/>
  <c r="C1498" i="1"/>
  <c r="C5463" i="1"/>
  <c r="C1497" i="1"/>
  <c r="C1496" i="1"/>
  <c r="C1495" i="1"/>
  <c r="C5462" i="1"/>
  <c r="C1494" i="1"/>
  <c r="C1493" i="1"/>
  <c r="C1492" i="1"/>
  <c r="C5461" i="1"/>
  <c r="C5460" i="1"/>
  <c r="C5459" i="1"/>
  <c r="C6240" i="1"/>
  <c r="C1491" i="1"/>
  <c r="C5458" i="1"/>
  <c r="C6498" i="1"/>
  <c r="C1490" i="1"/>
  <c r="C6497" i="1"/>
  <c r="C5457" i="1"/>
  <c r="C5456" i="1"/>
  <c r="C5455" i="1"/>
  <c r="C1489" i="1"/>
  <c r="C5454" i="1"/>
  <c r="C5453" i="1"/>
  <c r="C1488" i="1"/>
  <c r="C5452" i="1"/>
  <c r="C5451" i="1"/>
  <c r="C2491" i="1"/>
  <c r="C1487" i="1"/>
  <c r="C1486" i="1"/>
  <c r="C1485" i="1"/>
  <c r="C5450" i="1"/>
  <c r="C5449" i="1"/>
  <c r="C1484" i="1"/>
  <c r="C5448" i="1"/>
  <c r="C5447" i="1"/>
  <c r="C1483" i="1"/>
  <c r="C1482" i="1"/>
  <c r="C1481" i="1"/>
  <c r="C1480" i="1"/>
  <c r="C5446" i="1"/>
  <c r="C2490" i="1"/>
  <c r="C2489" i="1"/>
  <c r="C1479" i="1"/>
  <c r="C1478" i="1"/>
  <c r="C5445" i="1"/>
  <c r="C5444" i="1"/>
  <c r="C5443" i="1"/>
  <c r="C2488" i="1"/>
  <c r="C1477" i="1"/>
  <c r="C5442" i="1"/>
  <c r="C5441" i="1"/>
  <c r="C5440" i="1"/>
  <c r="C5439" i="1"/>
  <c r="C5438" i="1"/>
  <c r="C6239" i="1"/>
  <c r="C2487" i="1"/>
  <c r="C5437" i="1"/>
  <c r="C5436" i="1"/>
  <c r="C5435" i="1"/>
  <c r="C2486" i="1"/>
  <c r="C5434" i="1"/>
  <c r="C5433" i="1"/>
  <c r="C5432" i="1"/>
  <c r="C5431" i="1"/>
  <c r="C6238" i="1"/>
  <c r="C2485" i="1"/>
  <c r="C1476" i="1"/>
  <c r="C1475" i="1"/>
  <c r="C5430" i="1"/>
  <c r="C6237" i="1"/>
  <c r="C5429" i="1"/>
  <c r="C1474" i="1"/>
  <c r="C2484" i="1"/>
  <c r="C2483" i="1"/>
  <c r="C5428" i="1"/>
  <c r="C1473" i="1"/>
  <c r="C5427" i="1"/>
  <c r="C1472" i="1"/>
  <c r="C5426" i="1"/>
  <c r="C6496" i="1"/>
  <c r="C5425" i="1"/>
  <c r="C5424" i="1"/>
  <c r="C1471" i="1"/>
  <c r="C5423" i="1"/>
  <c r="C5422" i="1"/>
  <c r="C5421" i="1"/>
  <c r="C5420" i="1"/>
  <c r="C5419" i="1"/>
  <c r="C1470" i="1"/>
  <c r="C1469" i="1"/>
  <c r="C5418" i="1"/>
  <c r="C1468" i="1"/>
  <c r="C5417" i="1"/>
  <c r="C2482" i="1"/>
  <c r="C1467" i="1"/>
  <c r="C1466" i="1"/>
  <c r="C5416" i="1"/>
  <c r="C1465" i="1"/>
  <c r="C2481" i="1"/>
  <c r="C2480" i="1"/>
  <c r="C1464" i="1"/>
  <c r="C1463" i="1"/>
  <c r="C6236" i="1"/>
  <c r="C5415" i="1"/>
  <c r="C5414" i="1"/>
  <c r="C6495" i="1"/>
  <c r="C1462" i="1"/>
  <c r="C2479" i="1"/>
  <c r="C1461" i="1"/>
  <c r="C5413" i="1"/>
  <c r="C5412" i="1"/>
  <c r="C5411" i="1"/>
  <c r="C1460" i="1"/>
  <c r="C5410" i="1"/>
  <c r="C5409" i="1"/>
  <c r="C2478" i="1"/>
  <c r="C2477" i="1"/>
  <c r="C5408" i="1"/>
  <c r="C5407" i="1"/>
  <c r="C5406" i="1"/>
  <c r="C1459" i="1"/>
  <c r="C1458" i="1"/>
  <c r="C1457" i="1"/>
  <c r="C2476" i="1"/>
  <c r="C2475" i="1"/>
  <c r="C1456" i="1"/>
  <c r="C2474" i="1"/>
  <c r="C1455" i="1"/>
  <c r="C5405" i="1"/>
  <c r="C1454" i="1"/>
  <c r="C1453" i="1"/>
  <c r="C5404" i="1"/>
  <c r="C1452" i="1"/>
  <c r="C1451" i="1"/>
  <c r="C1450" i="1"/>
  <c r="C6494" i="1"/>
  <c r="C5403" i="1"/>
  <c r="C1449" i="1"/>
  <c r="C2473" i="1"/>
  <c r="C5402" i="1"/>
  <c r="C5401" i="1"/>
  <c r="C5400" i="1"/>
  <c r="C6235" i="1"/>
  <c r="C5399" i="1"/>
  <c r="C5398" i="1"/>
  <c r="C5397" i="1"/>
  <c r="C5396" i="1"/>
  <c r="C1448" i="1"/>
  <c r="C1447" i="1"/>
  <c r="C5395" i="1"/>
  <c r="C5394" i="1"/>
  <c r="C1446" i="1"/>
  <c r="C1445" i="1"/>
  <c r="C5393" i="1"/>
  <c r="C6234" i="1"/>
  <c r="C1444" i="1"/>
  <c r="C6493" i="1"/>
  <c r="C1443" i="1"/>
  <c r="C5392" i="1"/>
  <c r="C5391" i="1"/>
  <c r="C5390" i="1"/>
  <c r="C5389" i="1"/>
  <c r="C5388" i="1"/>
  <c r="C1442" i="1"/>
  <c r="C1441" i="1"/>
  <c r="C1440" i="1"/>
  <c r="C2472" i="1"/>
  <c r="C1439" i="1"/>
  <c r="C5387" i="1"/>
  <c r="C1438" i="1"/>
  <c r="C5386" i="1"/>
  <c r="C5385" i="1"/>
  <c r="C1437" i="1"/>
  <c r="C2594" i="1"/>
  <c r="C5384" i="1"/>
  <c r="C5383" i="1"/>
  <c r="C5382" i="1"/>
  <c r="C1436" i="1"/>
  <c r="C5381" i="1"/>
  <c r="C5380" i="1"/>
  <c r="C5379" i="1"/>
  <c r="C5378" i="1"/>
  <c r="C5377" i="1"/>
  <c r="C1435" i="1"/>
  <c r="C5376" i="1"/>
  <c r="C1434" i="1"/>
  <c r="C5375" i="1"/>
  <c r="C5374" i="1"/>
  <c r="C1433" i="1"/>
  <c r="C1432" i="1"/>
  <c r="C6233" i="1"/>
  <c r="C1431" i="1"/>
  <c r="C5373" i="1"/>
  <c r="C1430" i="1"/>
  <c r="C5372" i="1"/>
  <c r="C1429" i="1"/>
  <c r="C1428" i="1"/>
  <c r="C6232" i="1"/>
  <c r="C5371" i="1"/>
  <c r="C5370" i="1"/>
  <c r="C5369" i="1"/>
  <c r="C5368" i="1"/>
  <c r="C5367" i="1"/>
  <c r="C5366" i="1"/>
  <c r="C6231" i="1"/>
  <c r="C1427" i="1"/>
  <c r="C5365" i="1"/>
  <c r="C5364" i="1"/>
  <c r="C5363" i="1"/>
  <c r="C5362" i="1"/>
  <c r="C2471" i="1"/>
  <c r="C2470" i="1"/>
  <c r="C2671" i="1"/>
  <c r="C2469" i="1"/>
  <c r="C2670" i="1"/>
  <c r="C6230" i="1"/>
  <c r="C1426" i="1"/>
  <c r="C1425" i="1"/>
  <c r="C5361" i="1"/>
  <c r="C5360" i="1"/>
  <c r="C2468" i="1"/>
  <c r="C6492" i="1"/>
  <c r="C6229" i="1"/>
  <c r="C2467" i="1"/>
  <c r="C1424" i="1"/>
  <c r="C2466" i="1"/>
  <c r="C5359" i="1"/>
  <c r="C5358" i="1"/>
  <c r="C5357" i="1"/>
  <c r="C5356" i="1"/>
  <c r="C6228" i="1"/>
  <c r="C5355" i="1"/>
  <c r="C5354" i="1"/>
  <c r="C5353" i="1"/>
  <c r="C1423" i="1"/>
  <c r="C1422" i="1"/>
  <c r="C2465" i="1"/>
  <c r="C2464" i="1"/>
  <c r="C5352" i="1"/>
  <c r="C5351" i="1"/>
  <c r="C1421" i="1"/>
  <c r="C2669" i="1"/>
  <c r="C1420" i="1"/>
  <c r="C5350" i="1"/>
  <c r="C5349" i="1"/>
  <c r="C5348" i="1"/>
  <c r="C5347" i="1"/>
  <c r="C5346" i="1"/>
  <c r="C5345" i="1"/>
  <c r="C1419" i="1"/>
  <c r="C1418" i="1"/>
  <c r="C1417" i="1"/>
  <c r="C5344" i="1"/>
  <c r="C6491" i="1"/>
  <c r="C1416" i="1"/>
  <c r="C1415" i="1"/>
  <c r="C1414" i="1"/>
  <c r="C1413" i="1"/>
  <c r="C1412" i="1"/>
  <c r="C1411" i="1"/>
  <c r="C1410" i="1"/>
  <c r="C1409" i="1"/>
  <c r="C1408" i="1"/>
  <c r="C1407" i="1"/>
  <c r="C5343" i="1"/>
  <c r="C1406" i="1"/>
  <c r="C5342" i="1"/>
  <c r="C5341" i="1"/>
  <c r="C5340" i="1"/>
  <c r="C6227" i="1"/>
  <c r="C5339" i="1"/>
  <c r="C5338" i="1"/>
  <c r="C5337" i="1"/>
  <c r="C1405" i="1"/>
  <c r="C5336" i="1"/>
  <c r="C5335" i="1"/>
  <c r="C5334" i="1"/>
  <c r="C2463" i="1"/>
  <c r="C5333" i="1"/>
  <c r="C5332" i="1"/>
  <c r="C5331" i="1"/>
  <c r="C1404" i="1"/>
  <c r="C5330" i="1"/>
  <c r="C5329" i="1"/>
  <c r="C2462" i="1"/>
  <c r="C2461" i="1"/>
  <c r="C1403" i="1"/>
  <c r="C1402" i="1"/>
  <c r="C1401" i="1"/>
  <c r="C1400" i="1"/>
  <c r="C5328" i="1"/>
  <c r="C5327" i="1"/>
  <c r="C5326" i="1"/>
  <c r="C5325" i="1"/>
  <c r="C5324" i="1"/>
  <c r="C5323" i="1"/>
  <c r="C5322" i="1"/>
  <c r="C6226" i="1"/>
  <c r="C6225" i="1"/>
  <c r="C6224" i="1"/>
  <c r="C5321" i="1"/>
  <c r="C5320" i="1"/>
  <c r="C1399" i="1"/>
  <c r="C1398" i="1"/>
  <c r="C1397" i="1"/>
  <c r="C5319" i="1"/>
  <c r="C5318" i="1"/>
  <c r="C5317" i="1"/>
  <c r="C5316" i="1"/>
  <c r="C2460" i="1"/>
  <c r="C6490" i="1"/>
  <c r="C5315" i="1"/>
  <c r="C1396" i="1"/>
  <c r="C1395" i="1"/>
  <c r="C5314" i="1"/>
  <c r="C5313" i="1"/>
  <c r="C5312" i="1"/>
  <c r="C1394" i="1"/>
  <c r="C5311" i="1"/>
  <c r="C1393" i="1"/>
  <c r="C1392" i="1"/>
  <c r="C1391" i="1"/>
  <c r="C5310" i="1"/>
  <c r="C2593" i="1"/>
  <c r="C6223" i="1"/>
  <c r="C1390" i="1"/>
  <c r="C1389" i="1"/>
  <c r="C5309" i="1"/>
  <c r="C5308" i="1"/>
  <c r="C5307" i="1"/>
  <c r="C5306" i="1"/>
  <c r="C2459" i="1"/>
  <c r="C1388" i="1"/>
  <c r="C5305" i="1"/>
  <c r="C6597" i="1"/>
  <c r="C5304" i="1"/>
  <c r="C1387" i="1"/>
  <c r="C6222" i="1"/>
  <c r="C6221" i="1"/>
  <c r="C6220" i="1"/>
  <c r="C6219" i="1"/>
  <c r="C6218" i="1"/>
  <c r="C6217" i="1"/>
  <c r="C5303" i="1"/>
  <c r="C6216" i="1"/>
  <c r="C1386" i="1"/>
  <c r="C1385" i="1"/>
  <c r="C1384" i="1"/>
  <c r="C1383" i="1"/>
  <c r="C1382" i="1"/>
  <c r="C5302" i="1"/>
  <c r="C5301" i="1"/>
  <c r="C5300" i="1"/>
  <c r="C1381" i="1"/>
  <c r="C1380" i="1"/>
  <c r="C1379" i="1"/>
  <c r="C1378" i="1"/>
  <c r="C1377" i="1"/>
  <c r="C6354" i="1"/>
  <c r="C6353" i="1"/>
  <c r="C6215" i="1"/>
  <c r="C6214" i="1"/>
  <c r="C6213" i="1"/>
  <c r="C1376" i="1"/>
  <c r="C6212" i="1"/>
  <c r="C6211" i="1"/>
  <c r="C5299" i="1"/>
  <c r="C1375" i="1"/>
  <c r="C1374" i="1"/>
  <c r="C1373" i="1"/>
  <c r="C1372" i="1"/>
  <c r="C1371" i="1"/>
  <c r="C5298" i="1"/>
  <c r="C6210" i="1"/>
  <c r="C2668" i="1"/>
  <c r="C1370" i="1"/>
  <c r="C5297" i="1"/>
  <c r="C5296" i="1"/>
  <c r="C6209" i="1"/>
  <c r="C5295" i="1"/>
  <c r="C5294" i="1"/>
  <c r="C5293" i="1"/>
  <c r="C5292" i="1"/>
  <c r="C5291" i="1"/>
  <c r="C6208" i="1"/>
  <c r="C1369" i="1"/>
  <c r="C5290" i="1"/>
  <c r="C1368" i="1"/>
  <c r="C5289" i="1"/>
  <c r="C2458" i="1"/>
  <c r="C5288" i="1"/>
  <c r="C6207" i="1"/>
  <c r="C5287" i="1"/>
  <c r="C6206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1367" i="1"/>
  <c r="C6489" i="1"/>
  <c r="C6488" i="1"/>
  <c r="C6487" i="1"/>
  <c r="C1366" i="1"/>
  <c r="C1365" i="1"/>
  <c r="C2457" i="1"/>
  <c r="C2456" i="1"/>
  <c r="C6205" i="1"/>
  <c r="C5274" i="1"/>
  <c r="C5273" i="1"/>
  <c r="C5272" i="1"/>
  <c r="C5271" i="1"/>
  <c r="C2667" i="1"/>
  <c r="C5270" i="1"/>
  <c r="C5269" i="1"/>
  <c r="C1364" i="1"/>
  <c r="C5268" i="1"/>
  <c r="C5267" i="1"/>
  <c r="C5266" i="1"/>
  <c r="C1363" i="1"/>
  <c r="C5265" i="1"/>
  <c r="C1362" i="1"/>
  <c r="C1361" i="1"/>
  <c r="C1360" i="1"/>
  <c r="C2455" i="1"/>
  <c r="C5264" i="1"/>
  <c r="C5263" i="1"/>
  <c r="C5262" i="1"/>
  <c r="C5261" i="1"/>
  <c r="C1359" i="1"/>
  <c r="C1358" i="1"/>
  <c r="C1357" i="1"/>
  <c r="C1356" i="1"/>
  <c r="C5260" i="1"/>
  <c r="C5259" i="1"/>
  <c r="C1355" i="1"/>
  <c r="C1354" i="1"/>
  <c r="C5258" i="1"/>
  <c r="C1353" i="1"/>
  <c r="C5257" i="1"/>
  <c r="C2454" i="1"/>
  <c r="C2453" i="1"/>
  <c r="C1352" i="1"/>
  <c r="C1351" i="1"/>
  <c r="C1350" i="1"/>
  <c r="C5256" i="1"/>
  <c r="C5255" i="1"/>
  <c r="C5254" i="1"/>
  <c r="C5253" i="1"/>
  <c r="C6486" i="1"/>
  <c r="C5252" i="1"/>
  <c r="C5251" i="1"/>
  <c r="C6352" i="1"/>
  <c r="C1349" i="1"/>
  <c r="C1348" i="1"/>
  <c r="C5250" i="1"/>
  <c r="C5249" i="1"/>
  <c r="C1347" i="1"/>
  <c r="C5248" i="1"/>
  <c r="C5247" i="1"/>
  <c r="C5246" i="1"/>
  <c r="C6204" i="1"/>
  <c r="C2666" i="1"/>
  <c r="C1346" i="1"/>
  <c r="C5245" i="1"/>
  <c r="C5244" i="1"/>
  <c r="C5243" i="1"/>
  <c r="C5242" i="1"/>
  <c r="C2452" i="1"/>
  <c r="C5241" i="1"/>
  <c r="C5240" i="1"/>
  <c r="C5239" i="1"/>
  <c r="C5238" i="1"/>
  <c r="C1345" i="1"/>
  <c r="C5237" i="1"/>
  <c r="C5236" i="1"/>
  <c r="C1344" i="1"/>
  <c r="C5235" i="1"/>
  <c r="C5234" i="1"/>
  <c r="C5233" i="1"/>
  <c r="C5232" i="1"/>
  <c r="C1343" i="1"/>
  <c r="C1342" i="1"/>
  <c r="C5231" i="1"/>
  <c r="C5230" i="1"/>
  <c r="C5229" i="1"/>
  <c r="C5228" i="1"/>
  <c r="C6485" i="1"/>
  <c r="C5227" i="1"/>
  <c r="C5226" i="1"/>
  <c r="C1341" i="1"/>
  <c r="C1340" i="1"/>
  <c r="C5225" i="1"/>
  <c r="C5224" i="1"/>
  <c r="C2451" i="1"/>
  <c r="C5223" i="1"/>
  <c r="C5222" i="1"/>
  <c r="C1339" i="1"/>
  <c r="C1338" i="1"/>
  <c r="C1337" i="1"/>
  <c r="C6203" i="1"/>
  <c r="C1336" i="1"/>
  <c r="C5221" i="1"/>
  <c r="C5220" i="1"/>
  <c r="C6484" i="1"/>
  <c r="C6202" i="1"/>
  <c r="C1335" i="1"/>
  <c r="C1334" i="1"/>
  <c r="C5219" i="1"/>
  <c r="C5218" i="1"/>
  <c r="C5217" i="1"/>
  <c r="C5216" i="1"/>
  <c r="C1333" i="1"/>
  <c r="C1332" i="1"/>
  <c r="C1331" i="1"/>
  <c r="C6596" i="1"/>
  <c r="C1330" i="1"/>
  <c r="C5215" i="1"/>
  <c r="C5214" i="1"/>
  <c r="C6201" i="1"/>
  <c r="C5213" i="1"/>
  <c r="C2450" i="1"/>
  <c r="C5212" i="1"/>
  <c r="C1329" i="1"/>
  <c r="C5211" i="1"/>
  <c r="C1328" i="1"/>
  <c r="C5210" i="1"/>
  <c r="C5209" i="1"/>
  <c r="C5208" i="1"/>
  <c r="C5207" i="1"/>
  <c r="C5206" i="1"/>
  <c r="C1327" i="1"/>
  <c r="C5205" i="1"/>
  <c r="C5204" i="1"/>
  <c r="C5203" i="1"/>
  <c r="C1326" i="1"/>
  <c r="C1325" i="1"/>
  <c r="C5202" i="1"/>
  <c r="C6483" i="1"/>
  <c r="C1324" i="1"/>
  <c r="C6200" i="1"/>
  <c r="C6199" i="1"/>
  <c r="C6198" i="1"/>
  <c r="C5201" i="1"/>
  <c r="C2449" i="1"/>
  <c r="C1323" i="1"/>
  <c r="C1322" i="1"/>
  <c r="C1321" i="1"/>
  <c r="C5200" i="1"/>
  <c r="C2448" i="1"/>
  <c r="C5199" i="1"/>
  <c r="C5198" i="1"/>
  <c r="C5197" i="1"/>
  <c r="C1320" i="1"/>
  <c r="C5196" i="1"/>
  <c r="C1319" i="1"/>
  <c r="C5195" i="1"/>
  <c r="C1318" i="1"/>
  <c r="C5194" i="1"/>
  <c r="C5193" i="1"/>
  <c r="C5192" i="1"/>
  <c r="C5191" i="1"/>
  <c r="C6197" i="1"/>
  <c r="C1317" i="1"/>
  <c r="C1316" i="1"/>
  <c r="C5190" i="1"/>
  <c r="C6482" i="1"/>
  <c r="C2447" i="1"/>
  <c r="C2446" i="1"/>
  <c r="C5189" i="1"/>
  <c r="C1315" i="1"/>
  <c r="C5188" i="1"/>
  <c r="C1314" i="1"/>
  <c r="C5187" i="1"/>
  <c r="C5186" i="1"/>
  <c r="C5185" i="1"/>
  <c r="C1313" i="1"/>
  <c r="C5184" i="1"/>
  <c r="C1312" i="1"/>
  <c r="C5183" i="1"/>
  <c r="C5182" i="1"/>
  <c r="C5181" i="1"/>
  <c r="C5180" i="1"/>
  <c r="C5179" i="1"/>
  <c r="C5178" i="1"/>
  <c r="C5177" i="1"/>
  <c r="C5176" i="1"/>
  <c r="C1311" i="1"/>
  <c r="C2445" i="1"/>
  <c r="C5175" i="1"/>
  <c r="C5174" i="1"/>
  <c r="C1310" i="1"/>
  <c r="C5173" i="1"/>
  <c r="C5172" i="1"/>
  <c r="C6196" i="1"/>
  <c r="C5171" i="1"/>
  <c r="C1309" i="1"/>
  <c r="C1308" i="1"/>
  <c r="C1307" i="1"/>
  <c r="C1306" i="1"/>
  <c r="C1305" i="1"/>
  <c r="C1304" i="1"/>
  <c r="C5170" i="1"/>
  <c r="C1303" i="1"/>
  <c r="C5169" i="1"/>
  <c r="C5168" i="1"/>
  <c r="C1302" i="1"/>
  <c r="C2665" i="1"/>
  <c r="C5167" i="1"/>
  <c r="C5166" i="1"/>
  <c r="C1301" i="1"/>
  <c r="C5165" i="1"/>
  <c r="C5164" i="1"/>
  <c r="C2444" i="1"/>
  <c r="C2443" i="1"/>
  <c r="C5163" i="1"/>
  <c r="C1300" i="1"/>
  <c r="C5162" i="1"/>
  <c r="C5161" i="1"/>
  <c r="C1299" i="1"/>
  <c r="C2442" i="1"/>
  <c r="C2441" i="1"/>
  <c r="C2440" i="1"/>
  <c r="C5160" i="1"/>
  <c r="C1298" i="1"/>
  <c r="C5159" i="1"/>
  <c r="C5158" i="1"/>
  <c r="C5157" i="1"/>
  <c r="C5156" i="1"/>
  <c r="C1297" i="1"/>
  <c r="C6195" i="1"/>
  <c r="C5155" i="1"/>
  <c r="C5154" i="1"/>
  <c r="C5153" i="1"/>
  <c r="C5152" i="1"/>
  <c r="C5151" i="1"/>
  <c r="C5150" i="1"/>
  <c r="C5149" i="1"/>
  <c r="C2592" i="1"/>
  <c r="C5148" i="1"/>
  <c r="C5147" i="1"/>
  <c r="C2439" i="1"/>
  <c r="C2438" i="1"/>
  <c r="C2437" i="1"/>
  <c r="C1296" i="1"/>
  <c r="C1295" i="1"/>
  <c r="C5146" i="1"/>
  <c r="C6481" i="1"/>
  <c r="C1294" i="1"/>
  <c r="C1293" i="1"/>
  <c r="C2436" i="1"/>
  <c r="C1292" i="1"/>
  <c r="C2435" i="1"/>
  <c r="C1291" i="1"/>
  <c r="C1290" i="1"/>
  <c r="C1289" i="1"/>
  <c r="C5145" i="1"/>
  <c r="C5144" i="1"/>
  <c r="C1288" i="1"/>
  <c r="C1287" i="1"/>
  <c r="C5143" i="1"/>
  <c r="C1286" i="1"/>
  <c r="C5142" i="1"/>
  <c r="C2434" i="1"/>
  <c r="C2433" i="1"/>
  <c r="C5141" i="1"/>
  <c r="C6194" i="1"/>
  <c r="C2432" i="1"/>
  <c r="C5140" i="1"/>
  <c r="C2431" i="1"/>
  <c r="C2430" i="1"/>
  <c r="C1285" i="1"/>
  <c r="C1284" i="1"/>
  <c r="C1283" i="1"/>
  <c r="C5139" i="1"/>
  <c r="C5138" i="1"/>
  <c r="C5137" i="1"/>
  <c r="C5136" i="1"/>
  <c r="C5135" i="1"/>
  <c r="C6193" i="1"/>
  <c r="C5134" i="1"/>
  <c r="C6192" i="1"/>
  <c r="C1282" i="1"/>
  <c r="C5133" i="1"/>
  <c r="C5132" i="1"/>
  <c r="C5131" i="1"/>
  <c r="C6191" i="1"/>
  <c r="C1281" i="1"/>
  <c r="C1280" i="1"/>
  <c r="C1279" i="1"/>
  <c r="C1278" i="1"/>
  <c r="C5130" i="1"/>
  <c r="C5129" i="1"/>
  <c r="C5128" i="1"/>
  <c r="C1277" i="1"/>
  <c r="C5127" i="1"/>
  <c r="C1276" i="1"/>
  <c r="C5126" i="1"/>
  <c r="C5125" i="1"/>
  <c r="C5124" i="1"/>
  <c r="C6190" i="1"/>
  <c r="C6480" i="1"/>
  <c r="C5123" i="1"/>
  <c r="C5122" i="1"/>
  <c r="C5121" i="1"/>
  <c r="C5120" i="1"/>
  <c r="C5119" i="1"/>
  <c r="C5118" i="1"/>
  <c r="C5117" i="1"/>
  <c r="C5116" i="1"/>
  <c r="C1275" i="1"/>
  <c r="C1274" i="1"/>
  <c r="C1273" i="1"/>
  <c r="C1272" i="1"/>
  <c r="C2429" i="1"/>
  <c r="C1271" i="1"/>
  <c r="C1270" i="1"/>
  <c r="C5115" i="1"/>
  <c r="C5114" i="1"/>
  <c r="C5113" i="1"/>
  <c r="C5112" i="1"/>
  <c r="C5111" i="1"/>
  <c r="C5110" i="1"/>
  <c r="C1269" i="1"/>
  <c r="C6479" i="1"/>
  <c r="C5109" i="1"/>
  <c r="C5108" i="1"/>
  <c r="C1268" i="1"/>
  <c r="C1267" i="1"/>
  <c r="C5107" i="1"/>
  <c r="C6478" i="1"/>
  <c r="C5106" i="1"/>
  <c r="C1266" i="1"/>
  <c r="C5105" i="1"/>
  <c r="C1265" i="1"/>
  <c r="C2428" i="1"/>
  <c r="C1264" i="1"/>
  <c r="C1263" i="1"/>
  <c r="C5104" i="1"/>
  <c r="C1262" i="1"/>
  <c r="C2427" i="1"/>
  <c r="C2426" i="1"/>
  <c r="C1261" i="1"/>
  <c r="C1260" i="1"/>
  <c r="C2425" i="1"/>
  <c r="C5103" i="1"/>
  <c r="C2424" i="1"/>
  <c r="C2423" i="1"/>
  <c r="C2422" i="1"/>
  <c r="C5102" i="1"/>
  <c r="C2421" i="1"/>
  <c r="C1259" i="1"/>
  <c r="C5101" i="1"/>
  <c r="C5100" i="1"/>
  <c r="C1258" i="1"/>
  <c r="C5099" i="1"/>
  <c r="C5098" i="1"/>
  <c r="C5097" i="1"/>
  <c r="C5096" i="1"/>
  <c r="C5095" i="1"/>
  <c r="C5094" i="1"/>
  <c r="C1257" i="1"/>
  <c r="C1256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2420" i="1"/>
  <c r="C5081" i="1"/>
  <c r="C5080" i="1"/>
  <c r="C6189" i="1"/>
  <c r="C5079" i="1"/>
  <c r="C5078" i="1"/>
  <c r="C2419" i="1"/>
  <c r="C6188" i="1"/>
  <c r="C2418" i="1"/>
  <c r="C2417" i="1"/>
  <c r="C2416" i="1"/>
  <c r="C2415" i="1"/>
  <c r="C1255" i="1"/>
  <c r="C5077" i="1"/>
  <c r="C1254" i="1"/>
  <c r="C5076" i="1"/>
  <c r="C5075" i="1"/>
  <c r="C2414" i="1"/>
  <c r="C6477" i="1"/>
  <c r="C2413" i="1"/>
  <c r="C2412" i="1"/>
  <c r="C1253" i="1"/>
  <c r="C1252" i="1"/>
  <c r="C1251" i="1"/>
  <c r="C6476" i="1"/>
  <c r="C5074" i="1"/>
  <c r="C5073" i="1"/>
  <c r="C1250" i="1"/>
  <c r="C1249" i="1"/>
  <c r="C2411" i="1"/>
  <c r="C5072" i="1"/>
  <c r="C5071" i="1"/>
  <c r="C1248" i="1"/>
  <c r="C5070" i="1"/>
  <c r="C5069" i="1"/>
  <c r="C5068" i="1"/>
  <c r="C1247" i="1"/>
  <c r="C2410" i="1"/>
  <c r="C5067" i="1"/>
  <c r="C5066" i="1"/>
  <c r="C2409" i="1"/>
  <c r="C5065" i="1"/>
  <c r="C5064" i="1"/>
  <c r="C2408" i="1"/>
  <c r="C1246" i="1"/>
  <c r="C5063" i="1"/>
  <c r="C5062" i="1"/>
  <c r="C5061" i="1"/>
  <c r="C1245" i="1"/>
  <c r="C2407" i="1"/>
  <c r="C5060" i="1"/>
  <c r="C5059" i="1"/>
  <c r="C2406" i="1"/>
  <c r="C2405" i="1"/>
  <c r="C1244" i="1"/>
  <c r="C1243" i="1"/>
  <c r="C1242" i="1"/>
  <c r="C5058" i="1"/>
  <c r="C1241" i="1"/>
  <c r="C5057" i="1"/>
  <c r="C5056" i="1"/>
  <c r="C5055" i="1"/>
  <c r="C6187" i="1"/>
  <c r="C1240" i="1"/>
  <c r="C2404" i="1"/>
  <c r="C2403" i="1"/>
  <c r="C1239" i="1"/>
  <c r="C5054" i="1"/>
  <c r="C6186" i="1"/>
  <c r="C5053" i="1"/>
  <c r="C1238" i="1"/>
  <c r="C5052" i="1"/>
  <c r="C2402" i="1"/>
  <c r="C2401" i="1"/>
  <c r="C2400" i="1"/>
  <c r="C2399" i="1"/>
  <c r="C5051" i="1"/>
  <c r="C5050" i="1"/>
  <c r="C5049" i="1"/>
  <c r="C5048" i="1"/>
  <c r="C5047" i="1"/>
  <c r="C5046" i="1"/>
  <c r="C2398" i="1"/>
  <c r="C5045" i="1"/>
  <c r="C5044" i="1"/>
  <c r="C5043" i="1"/>
  <c r="C5042" i="1"/>
  <c r="C5041" i="1"/>
  <c r="C5040" i="1"/>
  <c r="C1237" i="1"/>
  <c r="C5039" i="1"/>
  <c r="C5038" i="1"/>
  <c r="C5037" i="1"/>
  <c r="C1236" i="1"/>
  <c r="C5036" i="1"/>
  <c r="C1235" i="1"/>
  <c r="C5035" i="1"/>
  <c r="C5034" i="1"/>
  <c r="C1234" i="1"/>
  <c r="C6475" i="1"/>
  <c r="C1233" i="1"/>
  <c r="C1232" i="1"/>
  <c r="C5033" i="1"/>
  <c r="C5032" i="1"/>
  <c r="C5031" i="1"/>
  <c r="C5030" i="1"/>
  <c r="C5029" i="1"/>
  <c r="C5028" i="1"/>
  <c r="C5027" i="1"/>
  <c r="C5026" i="1"/>
  <c r="C5025" i="1"/>
  <c r="C1231" i="1"/>
  <c r="C5024" i="1"/>
  <c r="C6474" i="1"/>
  <c r="C6185" i="1"/>
  <c r="C5023" i="1"/>
  <c r="C5022" i="1"/>
  <c r="C5021" i="1"/>
  <c r="C5020" i="1"/>
  <c r="C5019" i="1"/>
  <c r="C6473" i="1"/>
  <c r="C5018" i="1"/>
  <c r="C5017" i="1"/>
  <c r="C1230" i="1"/>
  <c r="C6184" i="1"/>
  <c r="C5016" i="1"/>
  <c r="C1229" i="1"/>
  <c r="C1228" i="1"/>
  <c r="C1227" i="1"/>
  <c r="C2397" i="1"/>
  <c r="C5015" i="1"/>
  <c r="C5014" i="1"/>
  <c r="C6183" i="1"/>
  <c r="C5013" i="1"/>
  <c r="C6472" i="1"/>
  <c r="C5012" i="1"/>
  <c r="C5011" i="1"/>
  <c r="C5010" i="1"/>
  <c r="C5009" i="1"/>
  <c r="C6182" i="1"/>
  <c r="C6471" i="1"/>
  <c r="C5008" i="1"/>
  <c r="C5007" i="1"/>
  <c r="C5006" i="1"/>
  <c r="C5005" i="1"/>
  <c r="C5004" i="1"/>
  <c r="C2664" i="1"/>
  <c r="C5003" i="1"/>
  <c r="C2396" i="1"/>
  <c r="C5002" i="1"/>
  <c r="C1226" i="1"/>
  <c r="C1225" i="1"/>
  <c r="C5001" i="1"/>
  <c r="C5000" i="1"/>
  <c r="C6181" i="1"/>
  <c r="C1224" i="1"/>
  <c r="C4999" i="1"/>
  <c r="C1223" i="1"/>
  <c r="C2395" i="1"/>
  <c r="C1222" i="1"/>
  <c r="C4998" i="1"/>
  <c r="C2394" i="1"/>
  <c r="C1221" i="1"/>
  <c r="C1220" i="1"/>
  <c r="C4997" i="1"/>
  <c r="C4996" i="1"/>
  <c r="C4995" i="1"/>
  <c r="C1219" i="1"/>
  <c r="C4994" i="1"/>
  <c r="C1218" i="1"/>
  <c r="C4993" i="1"/>
  <c r="C4992" i="1"/>
  <c r="C1217" i="1"/>
  <c r="C1216" i="1"/>
  <c r="C4991" i="1"/>
  <c r="C4990" i="1"/>
  <c r="C4989" i="1"/>
  <c r="C1215" i="1"/>
  <c r="C4988" i="1"/>
  <c r="C4987" i="1"/>
  <c r="C4986" i="1"/>
  <c r="C4985" i="1"/>
  <c r="C4984" i="1"/>
  <c r="C6180" i="1"/>
  <c r="C1214" i="1"/>
  <c r="C1213" i="1"/>
  <c r="C1212" i="1"/>
  <c r="C1211" i="1"/>
  <c r="C1210" i="1"/>
  <c r="C6470" i="1"/>
  <c r="C4983" i="1"/>
  <c r="C2393" i="1"/>
  <c r="C1209" i="1"/>
  <c r="C1208" i="1"/>
  <c r="C4982" i="1"/>
  <c r="C4981" i="1"/>
  <c r="C6179" i="1"/>
  <c r="C1207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2392" i="1"/>
  <c r="C2391" i="1"/>
  <c r="C1206" i="1"/>
  <c r="C1205" i="1"/>
  <c r="C1204" i="1"/>
  <c r="C2390" i="1"/>
  <c r="C2389" i="1"/>
  <c r="C6178" i="1"/>
  <c r="C4968" i="1"/>
  <c r="C2663" i="1"/>
  <c r="C4967" i="1"/>
  <c r="C6469" i="1"/>
  <c r="C4966" i="1"/>
  <c r="C4965" i="1"/>
  <c r="C4964" i="1"/>
  <c r="C1203" i="1"/>
  <c r="C4963" i="1"/>
  <c r="C4962" i="1"/>
  <c r="C2662" i="1"/>
  <c r="C4961" i="1"/>
  <c r="C4960" i="1"/>
  <c r="C4959" i="1"/>
  <c r="C1202" i="1"/>
  <c r="C4958" i="1"/>
  <c r="C1201" i="1"/>
  <c r="C6177" i="1"/>
  <c r="C1200" i="1"/>
  <c r="C4957" i="1"/>
  <c r="C4956" i="1"/>
  <c r="C4955" i="1"/>
  <c r="C6176" i="1"/>
  <c r="C4954" i="1"/>
  <c r="C1199" i="1"/>
  <c r="C1198" i="1"/>
  <c r="C4953" i="1"/>
  <c r="C4952" i="1"/>
  <c r="C4951" i="1"/>
  <c r="C4950" i="1"/>
  <c r="C4949" i="1"/>
  <c r="C1197" i="1"/>
  <c r="C4948" i="1"/>
  <c r="C4947" i="1"/>
  <c r="C4946" i="1"/>
  <c r="C1196" i="1"/>
  <c r="C4945" i="1"/>
  <c r="C1195" i="1"/>
  <c r="C4944" i="1"/>
  <c r="C4943" i="1"/>
  <c r="C4942" i="1"/>
  <c r="C2388" i="1"/>
  <c r="C4941" i="1"/>
  <c r="C2387" i="1"/>
  <c r="C4940" i="1"/>
  <c r="C2386" i="1"/>
  <c r="C4939" i="1"/>
  <c r="C4938" i="1"/>
  <c r="C1194" i="1"/>
  <c r="C1193" i="1"/>
  <c r="C6468" i="1"/>
  <c r="C1192" i="1"/>
  <c r="C1191" i="1"/>
  <c r="C4937" i="1"/>
  <c r="C4936" i="1"/>
  <c r="C4935" i="1"/>
  <c r="C4934" i="1"/>
  <c r="C4933" i="1"/>
  <c r="C1190" i="1"/>
  <c r="C4932" i="1"/>
  <c r="C4931" i="1"/>
  <c r="C4930" i="1"/>
  <c r="C4929" i="1"/>
  <c r="C4928" i="1"/>
  <c r="C4927" i="1"/>
  <c r="C6175" i="1"/>
  <c r="C1189" i="1"/>
  <c r="C1188" i="1"/>
  <c r="C4926" i="1"/>
  <c r="C1187" i="1"/>
  <c r="C1186" i="1"/>
  <c r="C1185" i="1"/>
  <c r="C4925" i="1"/>
  <c r="C4924" i="1"/>
  <c r="C4923" i="1"/>
  <c r="C1184" i="1"/>
  <c r="C1183" i="1"/>
  <c r="C4922" i="1"/>
  <c r="C1182" i="1"/>
  <c r="C4921" i="1"/>
  <c r="C4920" i="1"/>
  <c r="C1181" i="1"/>
  <c r="C4919" i="1"/>
  <c r="C4918" i="1"/>
  <c r="C4917" i="1"/>
  <c r="C4916" i="1"/>
  <c r="C4915" i="1"/>
  <c r="C4914" i="1"/>
  <c r="C4913" i="1"/>
  <c r="C4912" i="1"/>
  <c r="C2385" i="1"/>
  <c r="C4911" i="1"/>
  <c r="C4910" i="1"/>
  <c r="C4909" i="1"/>
  <c r="C6174" i="1"/>
  <c r="C4908" i="1"/>
  <c r="C4907" i="1"/>
  <c r="C4906" i="1"/>
  <c r="C1180" i="1"/>
  <c r="C4905" i="1"/>
  <c r="C4904" i="1"/>
  <c r="C4903" i="1"/>
  <c r="C4902" i="1"/>
  <c r="C4901" i="1"/>
  <c r="C4900" i="1"/>
  <c r="C4899" i="1"/>
  <c r="C1179" i="1"/>
  <c r="C4898" i="1"/>
  <c r="C4897" i="1"/>
  <c r="C4896" i="1"/>
  <c r="C2384" i="1"/>
  <c r="C4895" i="1"/>
  <c r="C4894" i="1"/>
  <c r="C2383" i="1"/>
  <c r="C1178" i="1"/>
  <c r="C2382" i="1"/>
  <c r="C6173" i="1"/>
  <c r="C6172" i="1"/>
  <c r="C6171" i="1"/>
  <c r="C6170" i="1"/>
  <c r="C1177" i="1"/>
  <c r="C1176" i="1"/>
  <c r="C4893" i="1"/>
  <c r="C4892" i="1"/>
  <c r="C4891" i="1"/>
  <c r="C1175" i="1"/>
  <c r="C4890" i="1"/>
  <c r="C4889" i="1"/>
  <c r="C1174" i="1"/>
  <c r="C4888" i="1"/>
  <c r="C4887" i="1"/>
  <c r="C4886" i="1"/>
  <c r="C4885" i="1"/>
  <c r="C4884" i="1"/>
  <c r="C1173" i="1"/>
  <c r="C1172" i="1"/>
  <c r="C4883" i="1"/>
  <c r="C4882" i="1"/>
  <c r="C4881" i="1"/>
  <c r="C1171" i="1"/>
  <c r="C4880" i="1"/>
  <c r="C4879" i="1"/>
  <c r="C1170" i="1"/>
  <c r="C4878" i="1"/>
  <c r="C2381" i="1"/>
  <c r="C1169" i="1"/>
  <c r="C6169" i="1"/>
  <c r="C6168" i="1"/>
  <c r="C6167" i="1"/>
  <c r="C1168" i="1"/>
  <c r="C6166" i="1"/>
  <c r="C1167" i="1"/>
  <c r="C4877" i="1"/>
  <c r="C4876" i="1"/>
  <c r="C1166" i="1"/>
  <c r="C4875" i="1"/>
  <c r="C4874" i="1"/>
  <c r="C4873" i="1"/>
  <c r="C4872" i="1"/>
  <c r="C4871" i="1"/>
  <c r="C4870" i="1"/>
  <c r="C4869" i="1"/>
  <c r="C2380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1165" i="1"/>
  <c r="C6165" i="1"/>
  <c r="C1164" i="1"/>
  <c r="C4855" i="1"/>
  <c r="C4854" i="1"/>
  <c r="C6164" i="1"/>
  <c r="C1163" i="1"/>
  <c r="C4853" i="1"/>
  <c r="C4852" i="1"/>
  <c r="C4851" i="1"/>
  <c r="C2379" i="1"/>
  <c r="C4850" i="1"/>
  <c r="C4849" i="1"/>
  <c r="C4848" i="1"/>
  <c r="C4847" i="1"/>
  <c r="C1162" i="1"/>
  <c r="C4846" i="1"/>
  <c r="C4845" i="1"/>
  <c r="C4844" i="1"/>
  <c r="C2378" i="1"/>
  <c r="C2377" i="1"/>
  <c r="C1161" i="1"/>
  <c r="C4843" i="1"/>
  <c r="C4842" i="1"/>
  <c r="C4841" i="1"/>
  <c r="C4840" i="1"/>
  <c r="C2376" i="1"/>
  <c r="C4839" i="1"/>
  <c r="C4838" i="1"/>
  <c r="C4837" i="1"/>
  <c r="C6163" i="1"/>
  <c r="C4836" i="1"/>
  <c r="C4835" i="1"/>
  <c r="C4834" i="1"/>
  <c r="C4833" i="1"/>
  <c r="C4832" i="1"/>
  <c r="C4831" i="1"/>
  <c r="C4830" i="1"/>
  <c r="C4829" i="1"/>
  <c r="C1160" i="1"/>
  <c r="C4828" i="1"/>
  <c r="C2375" i="1"/>
  <c r="C2374" i="1"/>
  <c r="C4827" i="1"/>
  <c r="C4826" i="1"/>
  <c r="C4825" i="1"/>
  <c r="C1159" i="1"/>
  <c r="C4824" i="1"/>
  <c r="C4823" i="1"/>
  <c r="C6162" i="1"/>
  <c r="C2373" i="1"/>
  <c r="C4822" i="1"/>
  <c r="C4821" i="1"/>
  <c r="C4820" i="1"/>
  <c r="C1158" i="1"/>
  <c r="C1157" i="1"/>
  <c r="C2591" i="1"/>
  <c r="C1156" i="1"/>
  <c r="C4819" i="1"/>
  <c r="C4818" i="1"/>
  <c r="C6161" i="1"/>
  <c r="C4817" i="1"/>
  <c r="C4816" i="1"/>
  <c r="C4815" i="1"/>
  <c r="C4814" i="1"/>
  <c r="C4813" i="1"/>
  <c r="C4812" i="1"/>
  <c r="C4811" i="1"/>
  <c r="C1155" i="1"/>
  <c r="C4810" i="1"/>
  <c r="C4809" i="1"/>
  <c r="C1154" i="1"/>
  <c r="C4808" i="1"/>
  <c r="C1153" i="1"/>
  <c r="C4807" i="1"/>
  <c r="C4806" i="1"/>
  <c r="C4805" i="1"/>
  <c r="C2372" i="1"/>
  <c r="C2371" i="1"/>
  <c r="C2370" i="1"/>
  <c r="C4804" i="1"/>
  <c r="C4803" i="1"/>
  <c r="C6160" i="1"/>
  <c r="C1152" i="1"/>
  <c r="C4802" i="1"/>
  <c r="C4801" i="1"/>
  <c r="C4800" i="1"/>
  <c r="C1151" i="1"/>
  <c r="C1150" i="1"/>
  <c r="C1149" i="1"/>
  <c r="C1148" i="1"/>
  <c r="C4799" i="1"/>
  <c r="C4798" i="1"/>
  <c r="C4797" i="1"/>
  <c r="C4796" i="1"/>
  <c r="C4795" i="1"/>
  <c r="C4794" i="1"/>
  <c r="C6467" i="1"/>
  <c r="C2369" i="1"/>
  <c r="C1147" i="1"/>
  <c r="C1146" i="1"/>
  <c r="C1145" i="1"/>
  <c r="C4793" i="1"/>
  <c r="C2368" i="1"/>
  <c r="C4792" i="1"/>
  <c r="C2661" i="1"/>
  <c r="C4791" i="1"/>
  <c r="C4790" i="1"/>
  <c r="C4789" i="1"/>
  <c r="C4788" i="1"/>
  <c r="C4787" i="1"/>
  <c r="C4786" i="1"/>
  <c r="C4785" i="1"/>
  <c r="C4784" i="1"/>
  <c r="C4783" i="1"/>
  <c r="C4782" i="1"/>
  <c r="C2367" i="1"/>
  <c r="C6159" i="1"/>
  <c r="C6158" i="1"/>
  <c r="C4781" i="1"/>
  <c r="C1144" i="1"/>
  <c r="C2366" i="1"/>
  <c r="C1143" i="1"/>
  <c r="C4780" i="1"/>
  <c r="C1142" i="1"/>
  <c r="C1141" i="1"/>
  <c r="C1140" i="1"/>
  <c r="C6466" i="1"/>
  <c r="C1139" i="1"/>
  <c r="C1138" i="1"/>
  <c r="C4779" i="1"/>
  <c r="C4778" i="1"/>
  <c r="C1137" i="1"/>
  <c r="C4777" i="1"/>
  <c r="C4776" i="1"/>
  <c r="C4775" i="1"/>
  <c r="C2365" i="1"/>
  <c r="C1136" i="1"/>
  <c r="C4774" i="1"/>
  <c r="C4773" i="1"/>
  <c r="C6157" i="1"/>
  <c r="C6156" i="1"/>
  <c r="C1135" i="1"/>
  <c r="C1134" i="1"/>
  <c r="C1133" i="1"/>
  <c r="C1132" i="1"/>
  <c r="C4772" i="1"/>
  <c r="C1131" i="1"/>
  <c r="C6155" i="1"/>
  <c r="C1130" i="1"/>
  <c r="C1129" i="1"/>
  <c r="C2364" i="1"/>
  <c r="C4771" i="1"/>
  <c r="C4770" i="1"/>
  <c r="C4769" i="1"/>
  <c r="C4768" i="1"/>
  <c r="C4767" i="1"/>
  <c r="C4766" i="1"/>
  <c r="C2363" i="1"/>
  <c r="C4765" i="1"/>
  <c r="C4764" i="1"/>
  <c r="C4763" i="1"/>
  <c r="C1128" i="1"/>
  <c r="C1127" i="1"/>
  <c r="C4762" i="1"/>
  <c r="C2362" i="1"/>
  <c r="C4761" i="1"/>
  <c r="C1126" i="1"/>
  <c r="C1125" i="1"/>
  <c r="C4760" i="1"/>
  <c r="C6154" i="1"/>
  <c r="C4759" i="1"/>
  <c r="C1124" i="1"/>
  <c r="C1123" i="1"/>
  <c r="C1122" i="1"/>
  <c r="C2361" i="1"/>
  <c r="C4758" i="1"/>
  <c r="C6465" i="1"/>
  <c r="C6464" i="1"/>
  <c r="C1121" i="1"/>
  <c r="C4757" i="1"/>
  <c r="C4756" i="1"/>
  <c r="C4755" i="1"/>
  <c r="C4754" i="1"/>
  <c r="C4753" i="1"/>
  <c r="C1120" i="1"/>
  <c r="C1119" i="1"/>
  <c r="C1118" i="1"/>
  <c r="C4752" i="1"/>
  <c r="C4751" i="1"/>
  <c r="C1117" i="1"/>
  <c r="C1116" i="1"/>
  <c r="C1115" i="1"/>
  <c r="C4750" i="1"/>
  <c r="C4749" i="1"/>
  <c r="C1114" i="1"/>
  <c r="C4748" i="1"/>
  <c r="C4747" i="1"/>
  <c r="C4746" i="1"/>
  <c r="C4745" i="1"/>
  <c r="C4744" i="1"/>
  <c r="C4743" i="1"/>
  <c r="C4742" i="1"/>
  <c r="C1113" i="1"/>
  <c r="C4741" i="1"/>
  <c r="C4740" i="1"/>
  <c r="C2360" i="1"/>
  <c r="C1112" i="1"/>
  <c r="C1111" i="1"/>
  <c r="C1110" i="1"/>
  <c r="C1109" i="1"/>
  <c r="C2359" i="1"/>
  <c r="C1108" i="1"/>
  <c r="C4739" i="1"/>
  <c r="C4738" i="1"/>
  <c r="C4737" i="1"/>
  <c r="C4736" i="1"/>
  <c r="C2358" i="1"/>
  <c r="C1107" i="1"/>
  <c r="C4735" i="1"/>
  <c r="C4734" i="1"/>
  <c r="C1106" i="1"/>
  <c r="C4733" i="1"/>
  <c r="C1105" i="1"/>
  <c r="C4732" i="1"/>
  <c r="C4731" i="1"/>
  <c r="C6153" i="1"/>
  <c r="C1104" i="1"/>
  <c r="C2357" i="1"/>
  <c r="C2356" i="1"/>
  <c r="C2355" i="1"/>
  <c r="C1103" i="1"/>
  <c r="C4730" i="1"/>
  <c r="C4729" i="1"/>
  <c r="C4728" i="1"/>
  <c r="C4727" i="1"/>
  <c r="C4726" i="1"/>
  <c r="C1102" i="1"/>
  <c r="C1101" i="1"/>
  <c r="C1100" i="1"/>
  <c r="C6152" i="1"/>
  <c r="C4725" i="1"/>
  <c r="C4724" i="1"/>
  <c r="C4723" i="1"/>
  <c r="C4722" i="1"/>
  <c r="C2354" i="1"/>
  <c r="C1099" i="1"/>
  <c r="C6351" i="1"/>
  <c r="C4721" i="1"/>
  <c r="C4720" i="1"/>
  <c r="C4719" i="1"/>
  <c r="C1098" i="1"/>
  <c r="C4718" i="1"/>
  <c r="C4717" i="1"/>
  <c r="C4716" i="1"/>
  <c r="C6151" i="1"/>
  <c r="C1097" i="1"/>
  <c r="C4715" i="1"/>
  <c r="C6150" i="1"/>
  <c r="C2353" i="1"/>
  <c r="C2352" i="1"/>
  <c r="C4714" i="1"/>
  <c r="C6149" i="1"/>
  <c r="C1096" i="1"/>
  <c r="C6148" i="1"/>
  <c r="C1095" i="1"/>
  <c r="C1094" i="1"/>
  <c r="C1093" i="1"/>
  <c r="C1092" i="1"/>
  <c r="C1091" i="1"/>
  <c r="C2351" i="1"/>
  <c r="C2660" i="1"/>
  <c r="C4713" i="1"/>
  <c r="C4712" i="1"/>
  <c r="C4711" i="1"/>
  <c r="C1090" i="1"/>
  <c r="C4710" i="1"/>
  <c r="C4709" i="1"/>
  <c r="C2350" i="1"/>
  <c r="C2349" i="1"/>
  <c r="C4708" i="1"/>
  <c r="C1089" i="1"/>
  <c r="C1088" i="1"/>
  <c r="C1087" i="1"/>
  <c r="C1086" i="1"/>
  <c r="C4707" i="1"/>
  <c r="C2348" i="1"/>
  <c r="C1085" i="1"/>
  <c r="C1084" i="1"/>
  <c r="C1083" i="1"/>
  <c r="C1082" i="1"/>
  <c r="C4706" i="1"/>
  <c r="C2347" i="1"/>
  <c r="C2346" i="1"/>
  <c r="C1081" i="1"/>
  <c r="C4705" i="1"/>
  <c r="C1080" i="1"/>
  <c r="C4704" i="1"/>
  <c r="C4703" i="1"/>
  <c r="C4702" i="1"/>
  <c r="C4701" i="1"/>
  <c r="C4700" i="1"/>
  <c r="C4699" i="1"/>
  <c r="C4698" i="1"/>
  <c r="C4697" i="1"/>
  <c r="C1079" i="1"/>
  <c r="C6147" i="1"/>
  <c r="C1078" i="1"/>
  <c r="C4696" i="1"/>
  <c r="C6146" i="1"/>
  <c r="C1077" i="1"/>
  <c r="C1076" i="1"/>
  <c r="C2345" i="1"/>
  <c r="C4695" i="1"/>
  <c r="C1075" i="1"/>
  <c r="C1074" i="1"/>
  <c r="C4694" i="1"/>
  <c r="C1073" i="1"/>
  <c r="C4693" i="1"/>
  <c r="C4692" i="1"/>
  <c r="C4691" i="1"/>
  <c r="C4690" i="1"/>
  <c r="C4689" i="1"/>
  <c r="C1072" i="1"/>
  <c r="C1071" i="1"/>
  <c r="C4688" i="1"/>
  <c r="C4687" i="1"/>
  <c r="C6463" i="1"/>
  <c r="C4686" i="1"/>
  <c r="C4685" i="1"/>
  <c r="C4684" i="1"/>
  <c r="C1070" i="1"/>
  <c r="C1069" i="1"/>
  <c r="C1068" i="1"/>
  <c r="C6145" i="1"/>
  <c r="C1067" i="1"/>
  <c r="C1066" i="1"/>
  <c r="C1065" i="1"/>
  <c r="C4683" i="1"/>
  <c r="C4682" i="1"/>
  <c r="C4681" i="1"/>
  <c r="C4680" i="1"/>
  <c r="C1064" i="1"/>
  <c r="C1063" i="1"/>
  <c r="C1062" i="1"/>
  <c r="C4679" i="1"/>
  <c r="C4678" i="1"/>
  <c r="C1061" i="1"/>
  <c r="C4677" i="1"/>
  <c r="C4676" i="1"/>
  <c r="C1060" i="1"/>
  <c r="C6144" i="1"/>
  <c r="C4675" i="1"/>
  <c r="C4674" i="1"/>
  <c r="C6143" i="1"/>
  <c r="C6142" i="1"/>
  <c r="C4673" i="1"/>
  <c r="C1059" i="1"/>
  <c r="C4672" i="1"/>
  <c r="C1058" i="1"/>
  <c r="C1057" i="1"/>
  <c r="C4671" i="1"/>
  <c r="C4670" i="1"/>
  <c r="C1056" i="1"/>
  <c r="C4669" i="1"/>
  <c r="C1055" i="1"/>
  <c r="C6141" i="1"/>
  <c r="C2344" i="1"/>
  <c r="C4668" i="1"/>
  <c r="C4667" i="1"/>
  <c r="C4666" i="1"/>
  <c r="C4665" i="1"/>
  <c r="C2343" i="1"/>
  <c r="C4664" i="1"/>
  <c r="C4663" i="1"/>
  <c r="C4662" i="1"/>
  <c r="C6140" i="1"/>
  <c r="C4661" i="1"/>
  <c r="C6139" i="1"/>
  <c r="C1054" i="1"/>
  <c r="C4660" i="1"/>
  <c r="C1053" i="1"/>
  <c r="C1052" i="1"/>
  <c r="C2342" i="1"/>
  <c r="C4659" i="1"/>
  <c r="C2341" i="1"/>
  <c r="C4658" i="1"/>
  <c r="C4657" i="1"/>
  <c r="C4656" i="1"/>
  <c r="C4655" i="1"/>
  <c r="C4654" i="1"/>
  <c r="C1051" i="1"/>
  <c r="C4653" i="1"/>
  <c r="C4652" i="1"/>
  <c r="C4651" i="1"/>
  <c r="C4650" i="1"/>
  <c r="C2340" i="1"/>
  <c r="C2339" i="1"/>
  <c r="C4649" i="1"/>
  <c r="C1050" i="1"/>
  <c r="C4648" i="1"/>
  <c r="C1049" i="1"/>
  <c r="C4647" i="1"/>
  <c r="C4646" i="1"/>
  <c r="C1048" i="1"/>
  <c r="C4645" i="1"/>
  <c r="C6462" i="1"/>
  <c r="C4644" i="1"/>
  <c r="C1047" i="1"/>
  <c r="C4643" i="1"/>
  <c r="C4642" i="1"/>
  <c r="C4641" i="1"/>
  <c r="C1046" i="1"/>
  <c r="C6138" i="1"/>
  <c r="C4640" i="1"/>
  <c r="C4639" i="1"/>
  <c r="C4638" i="1"/>
  <c r="C4637" i="1"/>
  <c r="C1045" i="1"/>
  <c r="C2659" i="1"/>
  <c r="C4636" i="1"/>
  <c r="C1044" i="1"/>
  <c r="C1043" i="1"/>
  <c r="C1042" i="1"/>
  <c r="C1041" i="1"/>
  <c r="C1040" i="1"/>
  <c r="C4635" i="1"/>
  <c r="C4634" i="1"/>
  <c r="C1039" i="1"/>
  <c r="C6137" i="1"/>
  <c r="C4633" i="1"/>
  <c r="C4632" i="1"/>
  <c r="C4631" i="1"/>
  <c r="C1038" i="1"/>
  <c r="C4630" i="1"/>
  <c r="C4629" i="1"/>
  <c r="C4628" i="1"/>
  <c r="C4627" i="1"/>
  <c r="C2338" i="1"/>
  <c r="C6136" i="1"/>
  <c r="C1037" i="1"/>
  <c r="C4626" i="1"/>
  <c r="C4625" i="1"/>
  <c r="C4624" i="1"/>
  <c r="C4623" i="1"/>
  <c r="C2337" i="1"/>
  <c r="C4622" i="1"/>
  <c r="C4621" i="1"/>
  <c r="C1036" i="1"/>
  <c r="C1035" i="1"/>
  <c r="C2336" i="1"/>
  <c r="C4620" i="1"/>
  <c r="C4619" i="1"/>
  <c r="C6135" i="1"/>
  <c r="C1034" i="1"/>
  <c r="C1033" i="1"/>
  <c r="C4618" i="1"/>
  <c r="C4617" i="1"/>
  <c r="C4616" i="1"/>
  <c r="C2335" i="1"/>
  <c r="C2334" i="1"/>
  <c r="C6134" i="1"/>
  <c r="C2333" i="1"/>
  <c r="C2332" i="1"/>
  <c r="C1032" i="1"/>
  <c r="C4615" i="1"/>
  <c r="C1031" i="1"/>
  <c r="C2331" i="1"/>
  <c r="C4614" i="1"/>
  <c r="C4613" i="1"/>
  <c r="C4612" i="1"/>
  <c r="C1030" i="1"/>
  <c r="C4611" i="1"/>
  <c r="C2330" i="1"/>
  <c r="C2329" i="1"/>
  <c r="C2328" i="1"/>
  <c r="C2327" i="1"/>
  <c r="C4610" i="1"/>
  <c r="C4609" i="1"/>
  <c r="C4608" i="1"/>
  <c r="C1029" i="1"/>
  <c r="C4607" i="1"/>
  <c r="C4606" i="1"/>
  <c r="C4605" i="1"/>
  <c r="C2326" i="1"/>
  <c r="C4604" i="1"/>
  <c r="C1028" i="1"/>
  <c r="C4603" i="1"/>
  <c r="C4602" i="1"/>
  <c r="C4601" i="1"/>
  <c r="C4600" i="1"/>
  <c r="C4599" i="1"/>
  <c r="C1027" i="1"/>
  <c r="C4598" i="1"/>
  <c r="C4597" i="1"/>
  <c r="C4596" i="1"/>
  <c r="C4595" i="1"/>
  <c r="C4594" i="1"/>
  <c r="C1026" i="1"/>
  <c r="C2325" i="1"/>
  <c r="C6133" i="1"/>
  <c r="C4593" i="1"/>
  <c r="C2324" i="1"/>
  <c r="C2323" i="1"/>
  <c r="C4592" i="1"/>
  <c r="C1025" i="1"/>
  <c r="C1024" i="1"/>
  <c r="C4591" i="1"/>
  <c r="C4590" i="1"/>
  <c r="C4589" i="1"/>
  <c r="C1023" i="1"/>
  <c r="C1022" i="1"/>
  <c r="C6132" i="1"/>
  <c r="C4588" i="1"/>
  <c r="C4587" i="1"/>
  <c r="C1021" i="1"/>
  <c r="C1020" i="1"/>
  <c r="C1019" i="1"/>
  <c r="C1018" i="1"/>
  <c r="C1017" i="1"/>
  <c r="C5908" i="1"/>
  <c r="C4586" i="1"/>
  <c r="C2590" i="1"/>
  <c r="C4585" i="1"/>
  <c r="C1016" i="1"/>
  <c r="C2322" i="1"/>
  <c r="C4584" i="1"/>
  <c r="C4583" i="1"/>
  <c r="C4582" i="1"/>
  <c r="C6595" i="1"/>
  <c r="C6594" i="1"/>
  <c r="C1015" i="1"/>
  <c r="C2321" i="1"/>
  <c r="C4581" i="1"/>
  <c r="C2320" i="1"/>
  <c r="C1014" i="1"/>
  <c r="C4580" i="1"/>
  <c r="C1013" i="1"/>
  <c r="C4579" i="1"/>
  <c r="C4578" i="1"/>
  <c r="C2658" i="1"/>
  <c r="C2319" i="1"/>
  <c r="C1012" i="1"/>
  <c r="C4577" i="1"/>
  <c r="C1011" i="1"/>
  <c r="C1010" i="1"/>
  <c r="C4576" i="1"/>
  <c r="C4575" i="1"/>
  <c r="C4574" i="1"/>
  <c r="C4573" i="1"/>
  <c r="C1009" i="1"/>
  <c r="C4572" i="1"/>
  <c r="C4571" i="1"/>
  <c r="C1008" i="1"/>
  <c r="C4570" i="1"/>
  <c r="C2318" i="1"/>
  <c r="C1007" i="1"/>
  <c r="C6461" i="1"/>
  <c r="C4569" i="1"/>
  <c r="C4568" i="1"/>
  <c r="C1006" i="1"/>
  <c r="C4567" i="1"/>
  <c r="C4566" i="1"/>
  <c r="C1005" i="1"/>
  <c r="C2317" i="1"/>
  <c r="C1004" i="1"/>
  <c r="C1003" i="1"/>
  <c r="C1002" i="1"/>
  <c r="C6131" i="1"/>
  <c r="C1001" i="1"/>
  <c r="C4565" i="1"/>
  <c r="C6130" i="1"/>
  <c r="C6129" i="1"/>
  <c r="C1000" i="1"/>
  <c r="C999" i="1"/>
  <c r="C998" i="1"/>
  <c r="C4564" i="1"/>
  <c r="C997" i="1"/>
  <c r="C2316" i="1"/>
  <c r="C4563" i="1"/>
  <c r="C4562" i="1"/>
  <c r="C996" i="1"/>
  <c r="C4561" i="1"/>
  <c r="C4560" i="1"/>
  <c r="C995" i="1"/>
  <c r="C6128" i="1"/>
  <c r="C994" i="1"/>
  <c r="C993" i="1"/>
  <c r="C992" i="1"/>
  <c r="C991" i="1"/>
  <c r="C990" i="1"/>
  <c r="C4559" i="1"/>
  <c r="C4558" i="1"/>
  <c r="C4557" i="1"/>
  <c r="C989" i="1"/>
  <c r="C4556" i="1"/>
  <c r="C4555" i="1"/>
  <c r="C4554" i="1"/>
  <c r="C4553" i="1"/>
  <c r="C4552" i="1"/>
  <c r="C4551" i="1"/>
  <c r="C988" i="1"/>
  <c r="C4550" i="1"/>
  <c r="C6460" i="1"/>
  <c r="C4549" i="1"/>
  <c r="C987" i="1"/>
  <c r="C2657" i="1"/>
  <c r="C4548" i="1"/>
  <c r="C2315" i="1"/>
  <c r="C2314" i="1"/>
  <c r="C986" i="1"/>
  <c r="C4547" i="1"/>
  <c r="C4546" i="1"/>
  <c r="C4545" i="1"/>
  <c r="C4544" i="1"/>
  <c r="C985" i="1"/>
  <c r="C984" i="1"/>
  <c r="C4543" i="1"/>
  <c r="C983" i="1"/>
  <c r="C982" i="1"/>
  <c r="C4542" i="1"/>
  <c r="C981" i="1"/>
  <c r="C980" i="1"/>
  <c r="C6127" i="1"/>
  <c r="C979" i="1"/>
  <c r="C4541" i="1"/>
  <c r="C4540" i="1"/>
  <c r="C4539" i="1"/>
  <c r="C4538" i="1"/>
  <c r="C2656" i="1"/>
  <c r="C2655" i="1"/>
  <c r="C978" i="1"/>
  <c r="C977" i="1"/>
  <c r="C4537" i="1"/>
  <c r="C976" i="1"/>
  <c r="C975" i="1"/>
  <c r="C2313" i="1"/>
  <c r="C2312" i="1"/>
  <c r="C4536" i="1"/>
  <c r="C4535" i="1"/>
  <c r="C4534" i="1"/>
  <c r="C4533" i="1"/>
  <c r="C4532" i="1"/>
  <c r="C4531" i="1"/>
  <c r="C4530" i="1"/>
  <c r="C4529" i="1"/>
  <c r="C4528" i="1"/>
  <c r="C974" i="1"/>
  <c r="C4527" i="1"/>
  <c r="C4526" i="1"/>
  <c r="C4525" i="1"/>
  <c r="C4524" i="1"/>
  <c r="C4523" i="1"/>
  <c r="C4522" i="1"/>
  <c r="C4521" i="1"/>
  <c r="C4520" i="1"/>
  <c r="C4519" i="1"/>
  <c r="C2311" i="1"/>
  <c r="C2310" i="1"/>
  <c r="C973" i="1"/>
  <c r="C4518" i="1"/>
  <c r="C972" i="1"/>
  <c r="C971" i="1"/>
  <c r="C970" i="1"/>
  <c r="C969" i="1"/>
  <c r="C968" i="1"/>
  <c r="C967" i="1"/>
  <c r="C966" i="1"/>
  <c r="C965" i="1"/>
  <c r="C964" i="1"/>
  <c r="C4517" i="1"/>
  <c r="C963" i="1"/>
  <c r="C4516" i="1"/>
  <c r="C6593" i="1"/>
  <c r="C962" i="1"/>
  <c r="C2309" i="1"/>
  <c r="C2308" i="1"/>
  <c r="C4515" i="1"/>
  <c r="C4514" i="1"/>
  <c r="C2654" i="1"/>
  <c r="C6126" i="1"/>
  <c r="C6125" i="1"/>
  <c r="C6124" i="1"/>
  <c r="C4513" i="1"/>
  <c r="C961" i="1"/>
  <c r="C2653" i="1"/>
  <c r="C960" i="1"/>
  <c r="C4512" i="1"/>
  <c r="C4511" i="1"/>
  <c r="C4510" i="1"/>
  <c r="C959" i="1"/>
  <c r="C4509" i="1"/>
  <c r="C4508" i="1"/>
  <c r="C958" i="1"/>
  <c r="C6350" i="1"/>
  <c r="C4507" i="1"/>
  <c r="C4506" i="1"/>
  <c r="C6349" i="1"/>
  <c r="C4505" i="1"/>
  <c r="C4504" i="1"/>
  <c r="C4503" i="1"/>
  <c r="C4502" i="1"/>
  <c r="C4501" i="1"/>
  <c r="C4500" i="1"/>
  <c r="C957" i="1"/>
  <c r="C4499" i="1"/>
  <c r="C4498" i="1"/>
  <c r="C6123" i="1"/>
  <c r="C2307" i="1"/>
  <c r="C4497" i="1"/>
  <c r="C4496" i="1"/>
  <c r="C4495" i="1"/>
  <c r="C956" i="1"/>
  <c r="C4494" i="1"/>
  <c r="C4493" i="1"/>
  <c r="C6348" i="1"/>
  <c r="C4492" i="1"/>
  <c r="C955" i="1"/>
  <c r="C6592" i="1"/>
  <c r="C4491" i="1"/>
  <c r="C4490" i="1"/>
  <c r="C4489" i="1"/>
  <c r="C4488" i="1"/>
  <c r="C4487" i="1"/>
  <c r="C4486" i="1"/>
  <c r="C6459" i="1"/>
  <c r="C6458" i="1"/>
  <c r="C6457" i="1"/>
  <c r="C954" i="1"/>
  <c r="C4485" i="1"/>
  <c r="C4484" i="1"/>
  <c r="C4483" i="1"/>
  <c r="C4482" i="1"/>
  <c r="C4481" i="1"/>
  <c r="C953" i="1"/>
  <c r="C952" i="1"/>
  <c r="C4480" i="1"/>
  <c r="C4479" i="1"/>
  <c r="C4478" i="1"/>
  <c r="C4477" i="1"/>
  <c r="C4476" i="1"/>
  <c r="C4475" i="1"/>
  <c r="C951" i="1"/>
  <c r="C950" i="1"/>
  <c r="C4474" i="1"/>
  <c r="C949" i="1"/>
  <c r="C2306" i="1"/>
  <c r="C2305" i="1"/>
  <c r="C4473" i="1"/>
  <c r="C2304" i="1"/>
  <c r="C948" i="1"/>
  <c r="C947" i="1"/>
  <c r="C6122" i="1"/>
  <c r="C946" i="1"/>
  <c r="C4472" i="1"/>
  <c r="C6121" i="1"/>
  <c r="C2303" i="1"/>
  <c r="C6120" i="1"/>
  <c r="C4471" i="1"/>
  <c r="C4470" i="1"/>
  <c r="C945" i="1"/>
  <c r="C6119" i="1"/>
  <c r="C6118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2302" i="1"/>
  <c r="C944" i="1"/>
  <c r="C4453" i="1"/>
  <c r="C6117" i="1"/>
  <c r="C4452" i="1"/>
  <c r="C943" i="1"/>
  <c r="C942" i="1"/>
  <c r="C4451" i="1"/>
  <c r="C6591" i="1"/>
  <c r="C6456" i="1"/>
  <c r="C4450" i="1"/>
  <c r="C4449" i="1"/>
  <c r="C4448" i="1"/>
  <c r="C4447" i="1"/>
  <c r="C4446" i="1"/>
  <c r="C2301" i="1"/>
  <c r="C4445" i="1"/>
  <c r="C941" i="1"/>
  <c r="C940" i="1"/>
  <c r="C6455" i="1"/>
  <c r="C6454" i="1"/>
  <c r="C6453" i="1"/>
  <c r="C6452" i="1"/>
  <c r="C4444" i="1"/>
  <c r="C4443" i="1"/>
  <c r="C4442" i="1"/>
  <c r="C4441" i="1"/>
  <c r="C4440" i="1"/>
  <c r="C939" i="1"/>
  <c r="C4439" i="1"/>
  <c r="C4438" i="1"/>
  <c r="C938" i="1"/>
  <c r="C4437" i="1"/>
  <c r="C937" i="1"/>
  <c r="C4436" i="1"/>
  <c r="C4435" i="1"/>
  <c r="C4434" i="1"/>
  <c r="C2300" i="1"/>
  <c r="C4433" i="1"/>
  <c r="C4432" i="1"/>
  <c r="C4431" i="1"/>
  <c r="C6116" i="1"/>
  <c r="C4430" i="1"/>
  <c r="C936" i="1"/>
  <c r="C4429" i="1"/>
  <c r="C4428" i="1"/>
  <c r="C4427" i="1"/>
  <c r="C4426" i="1"/>
  <c r="C935" i="1"/>
  <c r="C4425" i="1"/>
  <c r="C4424" i="1"/>
  <c r="C934" i="1"/>
  <c r="C933" i="1"/>
  <c r="C2299" i="1"/>
  <c r="C932" i="1"/>
  <c r="C4423" i="1"/>
  <c r="C4422" i="1"/>
  <c r="C931" i="1"/>
  <c r="C930" i="1"/>
  <c r="C4421" i="1"/>
  <c r="C4420" i="1"/>
  <c r="C4419" i="1"/>
  <c r="C4418" i="1"/>
  <c r="C4417" i="1"/>
  <c r="C4416" i="1"/>
  <c r="C4415" i="1"/>
  <c r="C4414" i="1"/>
  <c r="C4413" i="1"/>
  <c r="C4412" i="1"/>
  <c r="C6347" i="1"/>
  <c r="C6115" i="1"/>
  <c r="C4411" i="1"/>
  <c r="C2298" i="1"/>
  <c r="C6590" i="1"/>
  <c r="C4410" i="1"/>
  <c r="C929" i="1"/>
  <c r="C6114" i="1"/>
  <c r="C4409" i="1"/>
  <c r="C4408" i="1"/>
  <c r="C4407" i="1"/>
  <c r="C4406" i="1"/>
  <c r="C4405" i="1"/>
  <c r="C4404" i="1"/>
  <c r="C4403" i="1"/>
  <c r="C6113" i="1"/>
  <c r="C4402" i="1"/>
  <c r="C928" i="1"/>
  <c r="C6112" i="1"/>
  <c r="C927" i="1"/>
  <c r="C926" i="1"/>
  <c r="C925" i="1"/>
  <c r="C6451" i="1"/>
  <c r="C6450" i="1"/>
  <c r="C4401" i="1"/>
  <c r="C4400" i="1"/>
  <c r="C4399" i="1"/>
  <c r="C4398" i="1"/>
  <c r="C4397" i="1"/>
  <c r="C6111" i="1"/>
  <c r="C924" i="1"/>
  <c r="C923" i="1"/>
  <c r="C4396" i="1"/>
  <c r="C4395" i="1"/>
  <c r="C6449" i="1"/>
  <c r="C6589" i="1"/>
  <c r="C2297" i="1"/>
  <c r="C6110" i="1"/>
  <c r="C922" i="1"/>
  <c r="C4394" i="1"/>
  <c r="C6109" i="1"/>
  <c r="C921" i="1"/>
  <c r="C2296" i="1"/>
  <c r="C4393" i="1"/>
  <c r="C4392" i="1"/>
  <c r="C4391" i="1"/>
  <c r="C920" i="1"/>
  <c r="C919" i="1"/>
  <c r="C6588" i="1"/>
  <c r="C4390" i="1"/>
  <c r="C2295" i="1"/>
  <c r="C2294" i="1"/>
  <c r="C2293" i="1"/>
  <c r="C6587" i="1"/>
  <c r="C2292" i="1"/>
  <c r="C2291" i="1"/>
  <c r="C2290" i="1"/>
  <c r="C2289" i="1"/>
  <c r="C2288" i="1"/>
  <c r="C918" i="1"/>
  <c r="C4389" i="1"/>
  <c r="C917" i="1"/>
  <c r="C6108" i="1"/>
  <c r="C4388" i="1"/>
  <c r="C4387" i="1"/>
  <c r="C4386" i="1"/>
  <c r="C4385" i="1"/>
  <c r="C4384" i="1"/>
  <c r="C916" i="1"/>
  <c r="C4383" i="1"/>
  <c r="C4382" i="1"/>
  <c r="C4381" i="1"/>
  <c r="C6107" i="1"/>
  <c r="C4380" i="1"/>
  <c r="C4379" i="1"/>
  <c r="C4378" i="1"/>
  <c r="C4377" i="1"/>
  <c r="C4376" i="1"/>
  <c r="C6586" i="1"/>
  <c r="C915" i="1"/>
  <c r="C4375" i="1"/>
  <c r="C4374" i="1"/>
  <c r="C2287" i="1"/>
  <c r="C2286" i="1"/>
  <c r="C2285" i="1"/>
  <c r="C4373" i="1"/>
  <c r="C2284" i="1"/>
  <c r="C6106" i="1"/>
  <c r="C914" i="1"/>
  <c r="C4372" i="1"/>
  <c r="C4371" i="1"/>
  <c r="C6105" i="1"/>
  <c r="C913" i="1"/>
  <c r="C912" i="1"/>
  <c r="C6585" i="1"/>
  <c r="C4370" i="1"/>
  <c r="C2283" i="1"/>
  <c r="C4369" i="1"/>
  <c r="C911" i="1"/>
  <c r="C4368" i="1"/>
  <c r="C4367" i="1"/>
  <c r="C6346" i="1"/>
  <c r="C910" i="1"/>
  <c r="C909" i="1"/>
  <c r="C4366" i="1"/>
  <c r="C4365" i="1"/>
  <c r="C4364" i="1"/>
  <c r="C6584" i="1"/>
  <c r="C4363" i="1"/>
  <c r="C2282" i="1"/>
  <c r="C908" i="1"/>
  <c r="C4362" i="1"/>
  <c r="C4361" i="1"/>
  <c r="C6583" i="1"/>
  <c r="C6582" i="1"/>
  <c r="C6581" i="1"/>
  <c r="C2281" i="1"/>
  <c r="C2652" i="1"/>
  <c r="C907" i="1"/>
  <c r="C906" i="1"/>
  <c r="C905" i="1"/>
  <c r="C4360" i="1"/>
  <c r="C904" i="1"/>
  <c r="C4359" i="1"/>
  <c r="C903" i="1"/>
  <c r="C4358" i="1"/>
  <c r="C902" i="1"/>
  <c r="C4357" i="1"/>
  <c r="C4356" i="1"/>
  <c r="C6580" i="1"/>
  <c r="C6579" i="1"/>
  <c r="C6104" i="1"/>
  <c r="C6103" i="1"/>
  <c r="C4355" i="1"/>
  <c r="C901" i="1"/>
  <c r="C2280" i="1"/>
  <c r="C4354" i="1"/>
  <c r="C4353" i="1"/>
  <c r="C4352" i="1"/>
  <c r="C4351" i="1"/>
  <c r="C900" i="1"/>
  <c r="C899" i="1"/>
  <c r="C898" i="1"/>
  <c r="C897" i="1"/>
  <c r="C4350" i="1"/>
  <c r="C6102" i="1"/>
  <c r="C4349" i="1"/>
  <c r="C896" i="1"/>
  <c r="C4348" i="1"/>
  <c r="C4347" i="1"/>
  <c r="C895" i="1"/>
  <c r="C6101" i="1"/>
  <c r="C4346" i="1"/>
  <c r="C6100" i="1"/>
  <c r="C4345" i="1"/>
  <c r="C4344" i="1"/>
  <c r="C4343" i="1"/>
  <c r="C4342" i="1"/>
  <c r="C4341" i="1"/>
  <c r="C4340" i="1"/>
  <c r="C2279" i="1"/>
  <c r="C2278" i="1"/>
  <c r="C2277" i="1"/>
  <c r="C2276" i="1"/>
  <c r="C4339" i="1"/>
  <c r="C6099" i="1"/>
  <c r="C6098" i="1"/>
  <c r="C6097" i="1"/>
  <c r="C4338" i="1"/>
  <c r="C4337" i="1"/>
  <c r="C4336" i="1"/>
  <c r="C4335" i="1"/>
  <c r="C4334" i="1"/>
  <c r="C4333" i="1"/>
  <c r="C4332" i="1"/>
  <c r="C4331" i="1"/>
  <c r="C2275" i="1"/>
  <c r="C4330" i="1"/>
  <c r="C2274" i="1"/>
  <c r="C2273" i="1"/>
  <c r="C6096" i="1"/>
  <c r="C4329" i="1"/>
  <c r="C894" i="1"/>
  <c r="C893" i="1"/>
  <c r="C4328" i="1"/>
  <c r="C892" i="1"/>
  <c r="C2272" i="1"/>
  <c r="C891" i="1"/>
  <c r="C2271" i="1"/>
  <c r="C4327" i="1"/>
  <c r="C4326" i="1"/>
  <c r="C6448" i="1"/>
  <c r="C4325" i="1"/>
  <c r="C890" i="1"/>
  <c r="C6578" i="1"/>
  <c r="C4324" i="1"/>
  <c r="C4323" i="1"/>
  <c r="C4322" i="1"/>
  <c r="C4321" i="1"/>
  <c r="C6577" i="1"/>
  <c r="C4320" i="1"/>
  <c r="C889" i="1"/>
  <c r="C4319" i="1"/>
  <c r="C888" i="1"/>
  <c r="C4318" i="1"/>
  <c r="C4317" i="1"/>
  <c r="C4316" i="1"/>
  <c r="C887" i="1"/>
  <c r="C886" i="1"/>
  <c r="C885" i="1"/>
  <c r="C4315" i="1"/>
  <c r="C6095" i="1"/>
  <c r="C4314" i="1"/>
  <c r="C884" i="1"/>
  <c r="C4313" i="1"/>
  <c r="C6094" i="1"/>
  <c r="C883" i="1"/>
  <c r="C4312" i="1"/>
  <c r="C882" i="1"/>
  <c r="C4311" i="1"/>
  <c r="C881" i="1"/>
  <c r="C6576" i="1"/>
  <c r="C880" i="1"/>
  <c r="C879" i="1"/>
  <c r="C878" i="1"/>
  <c r="C2270" i="1"/>
  <c r="C877" i="1"/>
  <c r="C4310" i="1"/>
  <c r="C876" i="1"/>
  <c r="C875" i="1"/>
  <c r="C4309" i="1"/>
  <c r="C2269" i="1"/>
  <c r="C2651" i="1"/>
  <c r="C2650" i="1"/>
  <c r="C2268" i="1"/>
  <c r="C2267" i="1"/>
  <c r="C4308" i="1"/>
  <c r="C4307" i="1"/>
  <c r="C874" i="1"/>
  <c r="C2649" i="1"/>
  <c r="C2648" i="1"/>
  <c r="C2647" i="1"/>
  <c r="C2646" i="1"/>
  <c r="C4306" i="1"/>
  <c r="C4305" i="1"/>
  <c r="C4304" i="1"/>
  <c r="C873" i="1"/>
  <c r="C4303" i="1"/>
  <c r="C4302" i="1"/>
  <c r="C6575" i="1"/>
  <c r="C4301" i="1"/>
  <c r="C6345" i="1"/>
  <c r="C4300" i="1"/>
  <c r="C4299" i="1"/>
  <c r="C6574" i="1"/>
  <c r="C4298" i="1"/>
  <c r="C4297" i="1"/>
  <c r="C4296" i="1"/>
  <c r="C2266" i="1"/>
  <c r="C872" i="1"/>
  <c r="C2265" i="1"/>
  <c r="C4295" i="1"/>
  <c r="C4294" i="1"/>
  <c r="C6573" i="1"/>
  <c r="C4293" i="1"/>
  <c r="C4292" i="1"/>
  <c r="C6093" i="1"/>
  <c r="C2264" i="1"/>
  <c r="C871" i="1"/>
  <c r="C870" i="1"/>
  <c r="C869" i="1"/>
  <c r="C868" i="1"/>
  <c r="C4291" i="1"/>
  <c r="C6092" i="1"/>
  <c r="C867" i="1"/>
  <c r="C4290" i="1"/>
  <c r="C6572" i="1"/>
  <c r="C4289" i="1"/>
  <c r="C4288" i="1"/>
  <c r="C4287" i="1"/>
  <c r="C2263" i="1"/>
  <c r="C4286" i="1"/>
  <c r="C866" i="1"/>
  <c r="C4285" i="1"/>
  <c r="C865" i="1"/>
  <c r="C4284" i="1"/>
  <c r="C864" i="1"/>
  <c r="C4283" i="1"/>
  <c r="C863" i="1"/>
  <c r="C6571" i="1"/>
  <c r="C4282" i="1"/>
  <c r="C862" i="1"/>
  <c r="C4281" i="1"/>
  <c r="C861" i="1"/>
  <c r="C4280" i="1"/>
  <c r="C4279" i="1"/>
  <c r="C4278" i="1"/>
  <c r="C4277" i="1"/>
  <c r="C860" i="1"/>
  <c r="C6091" i="1"/>
  <c r="C4276" i="1"/>
  <c r="C6447" i="1"/>
  <c r="C6570" i="1"/>
  <c r="C2645" i="1"/>
  <c r="C2644" i="1"/>
  <c r="C4275" i="1"/>
  <c r="C6090" i="1"/>
  <c r="C6089" i="1"/>
  <c r="C4274" i="1"/>
  <c r="C4273" i="1"/>
  <c r="C4272" i="1"/>
  <c r="C4271" i="1"/>
  <c r="C859" i="1"/>
  <c r="C6569" i="1"/>
  <c r="C4270" i="1"/>
  <c r="C6568" i="1"/>
  <c r="C6567" i="1"/>
  <c r="C858" i="1"/>
  <c r="C857" i="1"/>
  <c r="C2262" i="1"/>
  <c r="C4269" i="1"/>
  <c r="C856" i="1"/>
  <c r="C4268" i="1"/>
  <c r="C4267" i="1"/>
  <c r="C2261" i="1"/>
  <c r="C6446" i="1"/>
  <c r="C2260" i="1"/>
  <c r="C6088" i="1"/>
  <c r="C6566" i="1"/>
  <c r="C6087" i="1"/>
  <c r="C855" i="1"/>
  <c r="C854" i="1"/>
  <c r="C4266" i="1"/>
  <c r="C4265" i="1"/>
  <c r="C853" i="1"/>
  <c r="C4264" i="1"/>
  <c r="C852" i="1"/>
  <c r="C851" i="1"/>
  <c r="C4263" i="1"/>
  <c r="C2259" i="1"/>
  <c r="C4262" i="1"/>
  <c r="C850" i="1"/>
  <c r="C4261" i="1"/>
  <c r="C849" i="1"/>
  <c r="C4260" i="1"/>
  <c r="C848" i="1"/>
  <c r="C4259" i="1"/>
  <c r="C4258" i="1"/>
  <c r="C4257" i="1"/>
  <c r="C2258" i="1"/>
  <c r="C6086" i="1"/>
  <c r="C4256" i="1"/>
  <c r="C847" i="1"/>
  <c r="C846" i="1"/>
  <c r="C4255" i="1"/>
  <c r="C4254" i="1"/>
  <c r="C845" i="1"/>
  <c r="C2257" i="1"/>
  <c r="C2256" i="1"/>
  <c r="C6565" i="1"/>
  <c r="C4253" i="1"/>
  <c r="C4252" i="1"/>
  <c r="C6085" i="1"/>
  <c r="C4251" i="1"/>
  <c r="C844" i="1"/>
  <c r="C6564" i="1"/>
  <c r="C6563" i="1"/>
  <c r="C4250" i="1"/>
  <c r="C4249" i="1"/>
  <c r="C4248" i="1"/>
  <c r="C4247" i="1"/>
  <c r="C4246" i="1"/>
  <c r="C843" i="1"/>
  <c r="C6562" i="1"/>
  <c r="C2255" i="1"/>
  <c r="C6561" i="1"/>
  <c r="C6084" i="1"/>
  <c r="C2254" i="1"/>
  <c r="C842" i="1"/>
  <c r="C841" i="1"/>
  <c r="C6560" i="1"/>
  <c r="C840" i="1"/>
  <c r="C839" i="1"/>
  <c r="C838" i="1"/>
  <c r="C4245" i="1"/>
  <c r="C837" i="1"/>
  <c r="C6559" i="1"/>
  <c r="C836" i="1"/>
  <c r="C4244" i="1"/>
  <c r="C835" i="1"/>
  <c r="C2253" i="1"/>
  <c r="C4243" i="1"/>
  <c r="C834" i="1"/>
  <c r="C2252" i="1"/>
  <c r="C6558" i="1"/>
  <c r="C833" i="1"/>
  <c r="C4242" i="1"/>
  <c r="C4241" i="1"/>
  <c r="C832" i="1"/>
  <c r="C6557" i="1"/>
  <c r="C4240" i="1"/>
  <c r="C4239" i="1"/>
  <c r="C4238" i="1"/>
  <c r="C6556" i="1"/>
  <c r="C4237" i="1"/>
  <c r="C6555" i="1"/>
  <c r="C831" i="1"/>
  <c r="C830" i="1"/>
  <c r="C4236" i="1"/>
  <c r="C829" i="1"/>
  <c r="C2251" i="1"/>
  <c r="C828" i="1"/>
  <c r="C6083" i="1"/>
  <c r="C2250" i="1"/>
  <c r="C827" i="1"/>
  <c r="C4235" i="1"/>
  <c r="C6082" i="1"/>
  <c r="C4234" i="1"/>
  <c r="C826" i="1"/>
  <c r="C4233" i="1"/>
  <c r="C825" i="1"/>
  <c r="C2249" i="1"/>
  <c r="C2248" i="1"/>
  <c r="C2247" i="1"/>
  <c r="C2246" i="1"/>
  <c r="C4232" i="1"/>
  <c r="C824" i="1"/>
  <c r="C2245" i="1"/>
  <c r="C6554" i="1"/>
  <c r="C4231" i="1"/>
  <c r="C6553" i="1"/>
  <c r="C823" i="1"/>
  <c r="C822" i="1"/>
  <c r="C821" i="1"/>
  <c r="C6552" i="1"/>
  <c r="C6551" i="1"/>
  <c r="C820" i="1"/>
  <c r="C4230" i="1"/>
  <c r="C819" i="1"/>
  <c r="C2244" i="1"/>
  <c r="C4229" i="1"/>
  <c r="C4228" i="1"/>
  <c r="C4227" i="1"/>
  <c r="C818" i="1"/>
  <c r="C4226" i="1"/>
  <c r="C6550" i="1"/>
  <c r="C4225" i="1"/>
  <c r="C4224" i="1"/>
  <c r="C6344" i="1"/>
  <c r="C817" i="1"/>
  <c r="C4223" i="1"/>
  <c r="C4222" i="1"/>
  <c r="C816" i="1"/>
  <c r="C4221" i="1"/>
  <c r="C6549" i="1"/>
  <c r="C6081" i="1"/>
  <c r="C6080" i="1"/>
  <c r="C2243" i="1"/>
  <c r="C2242" i="1"/>
  <c r="C4220" i="1"/>
  <c r="C6548" i="1"/>
  <c r="C2643" i="1"/>
  <c r="C4219" i="1"/>
  <c r="C6079" i="1"/>
  <c r="C4218" i="1"/>
  <c r="C4217" i="1"/>
  <c r="C4216" i="1"/>
  <c r="C4215" i="1"/>
  <c r="C4214" i="1"/>
  <c r="C4213" i="1"/>
  <c r="C4212" i="1"/>
  <c r="C4211" i="1"/>
  <c r="C4210" i="1"/>
  <c r="C4209" i="1"/>
  <c r="C815" i="1"/>
  <c r="C814" i="1"/>
  <c r="C6343" i="1"/>
  <c r="C6342" i="1"/>
  <c r="C813" i="1"/>
  <c r="C812" i="1"/>
  <c r="C4208" i="1"/>
  <c r="C811" i="1"/>
  <c r="C810" i="1"/>
  <c r="C809" i="1"/>
  <c r="C808" i="1"/>
  <c r="C4207" i="1"/>
  <c r="C4206" i="1"/>
  <c r="C807" i="1"/>
  <c r="C4205" i="1"/>
  <c r="C4204" i="1"/>
  <c r="C6547" i="1"/>
  <c r="C6078" i="1"/>
  <c r="C4203" i="1"/>
  <c r="C4202" i="1"/>
  <c r="C4201" i="1"/>
  <c r="C806" i="1"/>
  <c r="C4200" i="1"/>
  <c r="C6077" i="1"/>
  <c r="C4199" i="1"/>
  <c r="C4198" i="1"/>
  <c r="C4197" i="1"/>
  <c r="C6546" i="1"/>
  <c r="C2241" i="1"/>
  <c r="C805" i="1"/>
  <c r="C4196" i="1"/>
  <c r="C2240" i="1"/>
  <c r="C804" i="1"/>
  <c r="C2239" i="1"/>
  <c r="C4195" i="1"/>
  <c r="C4194" i="1"/>
  <c r="C2642" i="1"/>
  <c r="C4193" i="1"/>
  <c r="C4192" i="1"/>
  <c r="C4191" i="1"/>
  <c r="C4190" i="1"/>
  <c r="C6076" i="1"/>
  <c r="C2238" i="1"/>
  <c r="C6445" i="1"/>
  <c r="C4189" i="1"/>
  <c r="C4188" i="1"/>
  <c r="C803" i="1"/>
  <c r="C4187" i="1"/>
  <c r="C4186" i="1"/>
  <c r="C802" i="1"/>
  <c r="C2237" i="1"/>
  <c r="C4185" i="1"/>
  <c r="C4184" i="1"/>
  <c r="C2236" i="1"/>
  <c r="C2235" i="1"/>
  <c r="C2234" i="1"/>
  <c r="C6545" i="1"/>
  <c r="C4183" i="1"/>
  <c r="C801" i="1"/>
  <c r="C6544" i="1"/>
  <c r="C4182" i="1"/>
  <c r="C4181" i="1"/>
  <c r="C4180" i="1"/>
  <c r="C800" i="1"/>
  <c r="C4179" i="1"/>
  <c r="C799" i="1"/>
  <c r="C4178" i="1"/>
  <c r="C4177" i="1"/>
  <c r="C4176" i="1"/>
  <c r="C2233" i="1"/>
  <c r="C6543" i="1"/>
  <c r="C4175" i="1"/>
  <c r="C798" i="1"/>
  <c r="C4174" i="1"/>
  <c r="C797" i="1"/>
  <c r="C6444" i="1"/>
  <c r="C796" i="1"/>
  <c r="C795" i="1"/>
  <c r="C794" i="1"/>
  <c r="C4173" i="1"/>
  <c r="C4172" i="1"/>
  <c r="C4171" i="1"/>
  <c r="C793" i="1"/>
  <c r="C4170" i="1"/>
  <c r="C4169" i="1"/>
  <c r="C4168" i="1"/>
  <c r="C4167" i="1"/>
  <c r="C792" i="1"/>
  <c r="C791" i="1"/>
  <c r="C4166" i="1"/>
  <c r="C4165" i="1"/>
  <c r="C4164" i="1"/>
  <c r="C4163" i="1"/>
  <c r="C790" i="1"/>
  <c r="C789" i="1"/>
  <c r="C4162" i="1"/>
  <c r="C4161" i="1"/>
  <c r="C788" i="1"/>
  <c r="C787" i="1"/>
  <c r="C786" i="1"/>
  <c r="C4160" i="1"/>
  <c r="C6542" i="1"/>
  <c r="C6541" i="1"/>
  <c r="C785" i="1"/>
  <c r="C784" i="1"/>
  <c r="C2232" i="1"/>
  <c r="C2641" i="1"/>
  <c r="C2231" i="1"/>
  <c r="C2230" i="1"/>
  <c r="C6540" i="1"/>
  <c r="C2640" i="1"/>
  <c r="C4159" i="1"/>
  <c r="C783" i="1"/>
  <c r="C2229" i="1"/>
  <c r="C2228" i="1"/>
  <c r="C2227" i="1"/>
  <c r="C2226" i="1"/>
  <c r="C4158" i="1"/>
  <c r="C4157" i="1"/>
  <c r="C4156" i="1"/>
  <c r="C4155" i="1"/>
  <c r="C4154" i="1"/>
  <c r="C4153" i="1"/>
  <c r="C4152" i="1"/>
  <c r="C2225" i="1"/>
  <c r="C782" i="1"/>
  <c r="C2224" i="1"/>
  <c r="C6539" i="1"/>
  <c r="C4151" i="1"/>
  <c r="C2639" i="1"/>
  <c r="C4150" i="1"/>
  <c r="C4149" i="1"/>
  <c r="C4148" i="1"/>
  <c r="C4147" i="1"/>
  <c r="C4146" i="1"/>
  <c r="C4145" i="1"/>
  <c r="C4144" i="1"/>
  <c r="C4143" i="1"/>
  <c r="C4142" i="1"/>
  <c r="C6075" i="1"/>
  <c r="C2223" i="1"/>
  <c r="C4141" i="1"/>
  <c r="C4140" i="1"/>
  <c r="C781" i="1"/>
  <c r="C6538" i="1"/>
  <c r="C780" i="1"/>
  <c r="C4139" i="1"/>
  <c r="C6537" i="1"/>
  <c r="C6074" i="1"/>
  <c r="C779" i="1"/>
  <c r="C6073" i="1"/>
  <c r="C4138" i="1"/>
  <c r="C4137" i="1"/>
  <c r="C4136" i="1"/>
  <c r="C2222" i="1"/>
  <c r="C2221" i="1"/>
  <c r="C778" i="1"/>
  <c r="C777" i="1"/>
  <c r="C776" i="1"/>
  <c r="C4135" i="1"/>
  <c r="C4134" i="1"/>
  <c r="C4133" i="1"/>
  <c r="C775" i="1"/>
  <c r="C6072" i="1"/>
  <c r="C774" i="1"/>
  <c r="C4132" i="1"/>
  <c r="C773" i="1"/>
  <c r="C772" i="1"/>
  <c r="C4131" i="1"/>
  <c r="C4130" i="1"/>
  <c r="C4129" i="1"/>
  <c r="C4128" i="1"/>
  <c r="C4127" i="1"/>
  <c r="C4126" i="1"/>
  <c r="C4125" i="1"/>
  <c r="C2220" i="1"/>
  <c r="C2219" i="1"/>
  <c r="C2218" i="1"/>
  <c r="C6536" i="1"/>
  <c r="C771" i="1"/>
  <c r="C770" i="1"/>
  <c r="C4124" i="1"/>
  <c r="C2217" i="1"/>
  <c r="C4123" i="1"/>
  <c r="C4122" i="1"/>
  <c r="C769" i="1"/>
  <c r="C6535" i="1"/>
  <c r="C4121" i="1"/>
  <c r="C4120" i="1"/>
  <c r="C4119" i="1"/>
  <c r="C4118" i="1"/>
  <c r="C4117" i="1"/>
  <c r="C768" i="1"/>
  <c r="C6534" i="1"/>
  <c r="C767" i="1"/>
  <c r="C4116" i="1"/>
  <c r="C4115" i="1"/>
  <c r="C2216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2215" i="1"/>
  <c r="C2214" i="1"/>
  <c r="C2213" i="1"/>
  <c r="C6443" i="1"/>
  <c r="C2212" i="1"/>
  <c r="C6533" i="1"/>
  <c r="C6071" i="1"/>
  <c r="C766" i="1"/>
  <c r="C2211" i="1"/>
  <c r="C4102" i="1"/>
  <c r="C4101" i="1"/>
  <c r="C765" i="1"/>
  <c r="C764" i="1"/>
  <c r="C4100" i="1"/>
  <c r="C4099" i="1"/>
  <c r="C4098" i="1"/>
  <c r="C4097" i="1"/>
  <c r="C4096" i="1"/>
  <c r="C6442" i="1"/>
  <c r="C4095" i="1"/>
  <c r="C4094" i="1"/>
  <c r="C4093" i="1"/>
  <c r="C4092" i="1"/>
  <c r="C763" i="1"/>
  <c r="C762" i="1"/>
  <c r="C761" i="1"/>
  <c r="C4091" i="1"/>
  <c r="C2210" i="1"/>
  <c r="C2209" i="1"/>
  <c r="C760" i="1"/>
  <c r="C759" i="1"/>
  <c r="C758" i="1"/>
  <c r="C4090" i="1"/>
  <c r="C6341" i="1"/>
  <c r="C4089" i="1"/>
  <c r="C6532" i="1"/>
  <c r="C4088" i="1"/>
  <c r="C4087" i="1"/>
  <c r="C4086" i="1"/>
  <c r="C4085" i="1"/>
  <c r="C4084" i="1"/>
  <c r="C4083" i="1"/>
  <c r="C4082" i="1"/>
  <c r="C4081" i="1"/>
  <c r="C757" i="1"/>
  <c r="C756" i="1"/>
  <c r="C755" i="1"/>
  <c r="C4080" i="1"/>
  <c r="C4079" i="1"/>
  <c r="C4078" i="1"/>
  <c r="C4077" i="1"/>
  <c r="C4076" i="1"/>
  <c r="C4075" i="1"/>
  <c r="C754" i="1"/>
  <c r="C753" i="1"/>
  <c r="C752" i="1"/>
  <c r="C4074" i="1"/>
  <c r="C4073" i="1"/>
  <c r="C4072" i="1"/>
  <c r="C4071" i="1"/>
  <c r="C751" i="1"/>
  <c r="C2208" i="1"/>
  <c r="C2207" i="1"/>
  <c r="C2206" i="1"/>
  <c r="C4070" i="1"/>
  <c r="C4069" i="1"/>
  <c r="C4068" i="1"/>
  <c r="C6531" i="1"/>
  <c r="C750" i="1"/>
  <c r="C4067" i="1"/>
  <c r="C4066" i="1"/>
  <c r="C749" i="1"/>
  <c r="C6530" i="1"/>
  <c r="C4065" i="1"/>
  <c r="C4064" i="1"/>
  <c r="C748" i="1"/>
  <c r="C747" i="1"/>
  <c r="C746" i="1"/>
  <c r="C745" i="1"/>
  <c r="C744" i="1"/>
  <c r="C743" i="1"/>
  <c r="C6441" i="1"/>
  <c r="C742" i="1"/>
  <c r="C4063" i="1"/>
  <c r="C4062" i="1"/>
  <c r="C4061" i="1"/>
  <c r="C4060" i="1"/>
  <c r="C4059" i="1"/>
  <c r="C4058" i="1"/>
  <c r="C4057" i="1"/>
  <c r="C4056" i="1"/>
  <c r="C4055" i="1"/>
  <c r="C741" i="1"/>
  <c r="C740" i="1"/>
  <c r="C739" i="1"/>
  <c r="C738" i="1"/>
  <c r="C737" i="1"/>
  <c r="C736" i="1"/>
  <c r="C735" i="1"/>
  <c r="C734" i="1"/>
  <c r="C4054" i="1"/>
  <c r="C733" i="1"/>
  <c r="C6070" i="1"/>
  <c r="C6529" i="1"/>
  <c r="C4053" i="1"/>
  <c r="C4052" i="1"/>
  <c r="C4051" i="1"/>
  <c r="C4050" i="1"/>
  <c r="C732" i="1"/>
  <c r="C6528" i="1"/>
  <c r="C4049" i="1"/>
  <c r="C731" i="1"/>
  <c r="C4048" i="1"/>
  <c r="C6069" i="1"/>
  <c r="C4047" i="1"/>
  <c r="C730" i="1"/>
  <c r="C4046" i="1"/>
  <c r="C4045" i="1"/>
  <c r="C2205" i="1"/>
  <c r="C729" i="1"/>
  <c r="C4044" i="1"/>
  <c r="C4043" i="1"/>
  <c r="C6527" i="1"/>
  <c r="C4042" i="1"/>
  <c r="C728" i="1"/>
  <c r="C2204" i="1"/>
  <c r="C727" i="1"/>
  <c r="C4041" i="1"/>
  <c r="C4040" i="1"/>
  <c r="C726" i="1"/>
  <c r="C4039" i="1"/>
  <c r="C2203" i="1"/>
  <c r="C4038" i="1"/>
  <c r="C4037" i="1"/>
  <c r="C4036" i="1"/>
  <c r="C4035" i="1"/>
  <c r="C4034" i="1"/>
  <c r="C4033" i="1"/>
  <c r="C4032" i="1"/>
  <c r="C4031" i="1"/>
  <c r="C4030" i="1"/>
  <c r="C4029" i="1"/>
  <c r="C2202" i="1"/>
  <c r="C6068" i="1"/>
  <c r="C725" i="1"/>
  <c r="C4028" i="1"/>
  <c r="C6440" i="1"/>
  <c r="C6067" i="1"/>
  <c r="C4027" i="1"/>
  <c r="C6340" i="1"/>
  <c r="C6339" i="1"/>
  <c r="C724" i="1"/>
  <c r="C4026" i="1"/>
  <c r="C723" i="1"/>
  <c r="C2201" i="1"/>
  <c r="C4025" i="1"/>
  <c r="C4024" i="1"/>
  <c r="C4023" i="1"/>
  <c r="C4022" i="1"/>
  <c r="C4021" i="1"/>
  <c r="C4020" i="1"/>
  <c r="C722" i="1"/>
  <c r="C2200" i="1"/>
  <c r="C2199" i="1"/>
  <c r="C721" i="1"/>
  <c r="C720" i="1"/>
  <c r="C719" i="1"/>
  <c r="C4019" i="1"/>
  <c r="C6066" i="1"/>
  <c r="C4018" i="1"/>
  <c r="C718" i="1"/>
  <c r="C2638" i="1"/>
  <c r="C6065" i="1"/>
  <c r="C2198" i="1"/>
  <c r="C4017" i="1"/>
  <c r="C717" i="1"/>
  <c r="C716" i="1"/>
  <c r="C4016" i="1"/>
  <c r="C4015" i="1"/>
  <c r="C4014" i="1"/>
  <c r="C4013" i="1"/>
  <c r="C4012" i="1"/>
  <c r="C2197" i="1"/>
  <c r="C6064" i="1"/>
  <c r="C715" i="1"/>
  <c r="C4011" i="1"/>
  <c r="C2196" i="1"/>
  <c r="C4010" i="1"/>
  <c r="C4009" i="1"/>
  <c r="C6063" i="1"/>
  <c r="C2195" i="1"/>
  <c r="C6062" i="1"/>
  <c r="C714" i="1"/>
  <c r="C6061" i="1"/>
  <c r="C2194" i="1"/>
  <c r="C6060" i="1"/>
  <c r="C713" i="1"/>
  <c r="C4008" i="1"/>
  <c r="C2193" i="1"/>
  <c r="C4007" i="1"/>
  <c r="C6526" i="1"/>
  <c r="C712" i="1"/>
  <c r="C2192" i="1"/>
  <c r="C4006" i="1"/>
  <c r="C4005" i="1"/>
  <c r="C4004" i="1"/>
  <c r="C4003" i="1"/>
  <c r="C711" i="1"/>
  <c r="C6059" i="1"/>
  <c r="C2191" i="1"/>
  <c r="C4002" i="1"/>
  <c r="C6439" i="1"/>
  <c r="C710" i="1"/>
  <c r="C709" i="1"/>
  <c r="C4001" i="1"/>
  <c r="C4000" i="1"/>
  <c r="C3999" i="1"/>
  <c r="C708" i="1"/>
  <c r="C707" i="1"/>
  <c r="C6438" i="1"/>
  <c r="C6058" i="1"/>
  <c r="C2190" i="1"/>
  <c r="C2189" i="1"/>
  <c r="C6437" i="1"/>
  <c r="C6057" i="1"/>
  <c r="C3998" i="1"/>
  <c r="C6056" i="1"/>
  <c r="C2188" i="1"/>
  <c r="C3997" i="1"/>
  <c r="C706" i="1"/>
  <c r="C6055" i="1"/>
  <c r="C6338" i="1"/>
  <c r="C2187" i="1"/>
  <c r="C3996" i="1"/>
  <c r="C6054" i="1"/>
  <c r="C3995" i="1"/>
  <c r="C3994" i="1"/>
  <c r="C3993" i="1"/>
  <c r="C3992" i="1"/>
  <c r="C705" i="1"/>
  <c r="C704" i="1"/>
  <c r="C3991" i="1"/>
  <c r="C703" i="1"/>
  <c r="C2186" i="1"/>
  <c r="C702" i="1"/>
  <c r="C3990" i="1"/>
  <c r="C701" i="1"/>
  <c r="C700" i="1"/>
  <c r="C699" i="1"/>
  <c r="C698" i="1"/>
  <c r="C697" i="1"/>
  <c r="C3989" i="1"/>
  <c r="C696" i="1"/>
  <c r="C6053" i="1"/>
  <c r="C3988" i="1"/>
  <c r="C3987" i="1"/>
  <c r="C3986" i="1"/>
  <c r="C695" i="1"/>
  <c r="C6436" i="1"/>
  <c r="C6052" i="1"/>
  <c r="C2185" i="1"/>
  <c r="C3985" i="1"/>
  <c r="C6435" i="1"/>
  <c r="C694" i="1"/>
  <c r="C6337" i="1"/>
  <c r="C6051" i="1"/>
  <c r="C3984" i="1"/>
  <c r="C6050" i="1"/>
  <c r="C6525" i="1"/>
  <c r="C693" i="1"/>
  <c r="C3983" i="1"/>
  <c r="C692" i="1"/>
  <c r="C3982" i="1"/>
  <c r="C2184" i="1"/>
  <c r="C691" i="1"/>
  <c r="C3981" i="1"/>
  <c r="C3980" i="1"/>
  <c r="C3979" i="1"/>
  <c r="C3978" i="1"/>
  <c r="C690" i="1"/>
  <c r="C689" i="1"/>
  <c r="C6049" i="1"/>
  <c r="C688" i="1"/>
  <c r="C3977" i="1"/>
  <c r="C3976" i="1"/>
  <c r="C3975" i="1"/>
  <c r="C3974" i="1"/>
  <c r="C2183" i="1"/>
  <c r="C2182" i="1"/>
  <c r="C2181" i="1"/>
  <c r="C2180" i="1"/>
  <c r="C6524" i="1"/>
  <c r="C687" i="1"/>
  <c r="C686" i="1"/>
  <c r="C685" i="1"/>
  <c r="C3973" i="1"/>
  <c r="C2179" i="1"/>
  <c r="C3972" i="1"/>
  <c r="C684" i="1"/>
  <c r="C2178" i="1"/>
  <c r="C2177" i="1"/>
  <c r="C683" i="1"/>
  <c r="C2176" i="1"/>
  <c r="C682" i="1"/>
  <c r="C3971" i="1"/>
  <c r="C3970" i="1"/>
  <c r="C3969" i="1"/>
  <c r="C3968" i="1"/>
  <c r="C3967" i="1"/>
  <c r="C3966" i="1"/>
  <c r="C3965" i="1"/>
  <c r="C2175" i="1"/>
  <c r="C681" i="1"/>
  <c r="C680" i="1"/>
  <c r="C3964" i="1"/>
  <c r="C3963" i="1"/>
  <c r="C3962" i="1"/>
  <c r="C679" i="1"/>
  <c r="C2174" i="1"/>
  <c r="C678" i="1"/>
  <c r="C3961" i="1"/>
  <c r="C6523" i="1"/>
  <c r="C2173" i="1"/>
  <c r="C2172" i="1"/>
  <c r="C6048" i="1"/>
  <c r="C6522" i="1"/>
  <c r="C677" i="1"/>
  <c r="C6434" i="1"/>
  <c r="C676" i="1"/>
  <c r="C3960" i="1"/>
  <c r="C3959" i="1"/>
  <c r="C675" i="1"/>
  <c r="C674" i="1"/>
  <c r="C3958" i="1"/>
  <c r="C6047" i="1"/>
  <c r="C3957" i="1"/>
  <c r="C3956" i="1"/>
  <c r="C3955" i="1"/>
  <c r="C6521" i="1"/>
  <c r="C3954" i="1"/>
  <c r="C673" i="1"/>
  <c r="C672" i="1"/>
  <c r="C3953" i="1"/>
  <c r="C671" i="1"/>
  <c r="C3952" i="1"/>
  <c r="C670" i="1"/>
  <c r="C2171" i="1"/>
  <c r="C3951" i="1"/>
  <c r="C669" i="1"/>
  <c r="C6046" i="1"/>
  <c r="C3950" i="1"/>
  <c r="C3949" i="1"/>
  <c r="C668" i="1"/>
  <c r="C3948" i="1"/>
  <c r="C3947" i="1"/>
  <c r="C2637" i="1"/>
  <c r="C3946" i="1"/>
  <c r="C2170" i="1"/>
  <c r="C3945" i="1"/>
  <c r="C3944" i="1"/>
  <c r="C3943" i="1"/>
  <c r="C667" i="1"/>
  <c r="C666" i="1"/>
  <c r="C665" i="1"/>
  <c r="C3942" i="1"/>
  <c r="C3941" i="1"/>
  <c r="C3940" i="1"/>
  <c r="C3939" i="1"/>
  <c r="C2636" i="1"/>
  <c r="C3938" i="1"/>
  <c r="C664" i="1"/>
  <c r="C3937" i="1"/>
  <c r="C3936" i="1"/>
  <c r="C663" i="1"/>
  <c r="C2169" i="1"/>
  <c r="C2168" i="1"/>
  <c r="C2167" i="1"/>
  <c r="C3935" i="1"/>
  <c r="C3934" i="1"/>
  <c r="C2166" i="1"/>
  <c r="C2165" i="1"/>
  <c r="C3933" i="1"/>
  <c r="C662" i="1"/>
  <c r="C661" i="1"/>
  <c r="C2164" i="1"/>
  <c r="C3932" i="1"/>
  <c r="C6045" i="1"/>
  <c r="C2163" i="1"/>
  <c r="C2162" i="1"/>
  <c r="C2635" i="1"/>
  <c r="C6520" i="1"/>
  <c r="C6519" i="1"/>
  <c r="C3931" i="1"/>
  <c r="C660" i="1"/>
  <c r="C2161" i="1"/>
  <c r="C659" i="1"/>
  <c r="C658" i="1"/>
  <c r="C2160" i="1"/>
  <c r="C657" i="1"/>
  <c r="C6044" i="1"/>
  <c r="C656" i="1"/>
  <c r="C655" i="1"/>
  <c r="C654" i="1"/>
  <c r="C3930" i="1"/>
  <c r="C653" i="1"/>
  <c r="C3929" i="1"/>
  <c r="C3928" i="1"/>
  <c r="C2159" i="1"/>
  <c r="C652" i="1"/>
  <c r="C2158" i="1"/>
  <c r="C2157" i="1"/>
  <c r="C651" i="1"/>
  <c r="C650" i="1"/>
  <c r="C649" i="1"/>
  <c r="C6043" i="1"/>
  <c r="C6042" i="1"/>
  <c r="C2156" i="1"/>
  <c r="C2155" i="1"/>
  <c r="C6041" i="1"/>
  <c r="C6433" i="1"/>
  <c r="C3927" i="1"/>
  <c r="C3926" i="1"/>
  <c r="C3925" i="1"/>
  <c r="C648" i="1"/>
  <c r="C3924" i="1"/>
  <c r="C2154" i="1"/>
  <c r="C3923" i="1"/>
  <c r="C3922" i="1"/>
  <c r="C6040" i="1"/>
  <c r="C647" i="1"/>
  <c r="C3921" i="1"/>
  <c r="C3920" i="1"/>
  <c r="C2153" i="1"/>
  <c r="C3919" i="1"/>
  <c r="C646" i="1"/>
  <c r="C645" i="1"/>
  <c r="C644" i="1"/>
  <c r="C2152" i="1"/>
  <c r="C3918" i="1"/>
  <c r="C6039" i="1"/>
  <c r="C643" i="1"/>
  <c r="C6432" i="1"/>
  <c r="C6431" i="1"/>
  <c r="C6430" i="1"/>
  <c r="C6038" i="1"/>
  <c r="C3917" i="1"/>
  <c r="C3916" i="1"/>
  <c r="C3915" i="1"/>
  <c r="C3914" i="1"/>
  <c r="C642" i="1"/>
  <c r="C641" i="1"/>
  <c r="C3913" i="1"/>
  <c r="C2151" i="1"/>
  <c r="C3912" i="1"/>
  <c r="C3911" i="1"/>
  <c r="C3910" i="1"/>
  <c r="C2150" i="1"/>
  <c r="C2149" i="1"/>
  <c r="C2148" i="1"/>
  <c r="C640" i="1"/>
  <c r="C2147" i="1"/>
  <c r="C639" i="1"/>
  <c r="C2146" i="1"/>
  <c r="C638" i="1"/>
  <c r="C3909" i="1"/>
  <c r="C3908" i="1"/>
  <c r="C637" i="1"/>
  <c r="C636" i="1"/>
  <c r="C635" i="1"/>
  <c r="C634" i="1"/>
  <c r="C633" i="1"/>
  <c r="C632" i="1"/>
  <c r="C631" i="1"/>
  <c r="C2145" i="1"/>
  <c r="C6336" i="1"/>
  <c r="C630" i="1"/>
  <c r="C629" i="1"/>
  <c r="C3907" i="1"/>
  <c r="C3906" i="1"/>
  <c r="C3905" i="1"/>
  <c r="C3904" i="1"/>
  <c r="C628" i="1"/>
  <c r="C3903" i="1"/>
  <c r="C3902" i="1"/>
  <c r="C3901" i="1"/>
  <c r="C3900" i="1"/>
  <c r="C3899" i="1"/>
  <c r="C2144" i="1"/>
  <c r="C6037" i="1"/>
  <c r="C2143" i="1"/>
  <c r="C6518" i="1"/>
  <c r="C627" i="1"/>
  <c r="C626" i="1"/>
  <c r="C625" i="1"/>
  <c r="C624" i="1"/>
  <c r="C3898" i="1"/>
  <c r="C623" i="1"/>
  <c r="C2142" i="1"/>
  <c r="C622" i="1"/>
  <c r="C6429" i="1"/>
  <c r="C2141" i="1"/>
  <c r="C2140" i="1"/>
  <c r="C2139" i="1"/>
  <c r="C3897" i="1"/>
  <c r="C3896" i="1"/>
  <c r="C3895" i="1"/>
  <c r="C2138" i="1"/>
  <c r="C2137" i="1"/>
  <c r="C2136" i="1"/>
  <c r="C621" i="1"/>
  <c r="C2135" i="1"/>
  <c r="C620" i="1"/>
  <c r="C619" i="1"/>
  <c r="C3894" i="1"/>
  <c r="C618" i="1"/>
  <c r="C617" i="1"/>
  <c r="C616" i="1"/>
  <c r="C3893" i="1"/>
  <c r="C3892" i="1"/>
  <c r="C3891" i="1"/>
  <c r="C3890" i="1"/>
  <c r="C6036" i="1"/>
  <c r="C2134" i="1"/>
  <c r="C2133" i="1"/>
  <c r="C3889" i="1"/>
  <c r="C6428" i="1"/>
  <c r="C3888" i="1"/>
  <c r="C2132" i="1"/>
  <c r="C2131" i="1"/>
  <c r="C615" i="1"/>
  <c r="C614" i="1"/>
  <c r="C613" i="1"/>
  <c r="C3887" i="1"/>
  <c r="C3886" i="1"/>
  <c r="C6035" i="1"/>
  <c r="C612" i="1"/>
  <c r="C611" i="1"/>
  <c r="C6034" i="1"/>
  <c r="C610" i="1"/>
  <c r="C3885" i="1"/>
  <c r="C609" i="1"/>
  <c r="C608" i="1"/>
  <c r="C3884" i="1"/>
  <c r="C3883" i="1"/>
  <c r="C3882" i="1"/>
  <c r="C2130" i="1"/>
  <c r="C607" i="1"/>
  <c r="C2129" i="1"/>
  <c r="C3881" i="1"/>
  <c r="C606" i="1"/>
  <c r="C2634" i="1"/>
  <c r="C605" i="1"/>
  <c r="C3880" i="1"/>
  <c r="C6033" i="1"/>
  <c r="C604" i="1"/>
  <c r="C3879" i="1"/>
  <c r="C3878" i="1"/>
  <c r="C603" i="1"/>
  <c r="C2128" i="1"/>
  <c r="C3877" i="1"/>
  <c r="C602" i="1"/>
  <c r="C601" i="1"/>
  <c r="C3876" i="1"/>
  <c r="C600" i="1"/>
  <c r="C599" i="1"/>
  <c r="C3875" i="1"/>
  <c r="C3874" i="1"/>
  <c r="C3873" i="1"/>
  <c r="C598" i="1"/>
  <c r="C597" i="1"/>
  <c r="C3872" i="1"/>
  <c r="C596" i="1"/>
  <c r="C595" i="1"/>
  <c r="C594" i="1"/>
  <c r="C2127" i="1"/>
  <c r="C6427" i="1"/>
  <c r="C3871" i="1"/>
  <c r="C6517" i="1"/>
  <c r="C3870" i="1"/>
  <c r="C6335" i="1"/>
  <c r="C3869" i="1"/>
  <c r="C3868" i="1"/>
  <c r="C3867" i="1"/>
  <c r="C3866" i="1"/>
  <c r="C593" i="1"/>
  <c r="C3865" i="1"/>
  <c r="C2126" i="1"/>
  <c r="C2125" i="1"/>
  <c r="C592" i="1"/>
  <c r="C6032" i="1"/>
  <c r="C3864" i="1"/>
  <c r="C3863" i="1"/>
  <c r="C3862" i="1"/>
  <c r="C3861" i="1"/>
  <c r="C3860" i="1"/>
  <c r="C3859" i="1"/>
  <c r="C591" i="1"/>
  <c r="C6031" i="1"/>
  <c r="C3858" i="1"/>
  <c r="C3857" i="1"/>
  <c r="C590" i="1"/>
  <c r="C589" i="1"/>
  <c r="C588" i="1"/>
  <c r="C587" i="1"/>
  <c r="C586" i="1"/>
  <c r="C3856" i="1"/>
  <c r="C3855" i="1"/>
  <c r="C3854" i="1"/>
  <c r="C585" i="1"/>
  <c r="C3853" i="1"/>
  <c r="C3852" i="1"/>
  <c r="C3851" i="1"/>
  <c r="C3850" i="1"/>
  <c r="C3849" i="1"/>
  <c r="C3848" i="1"/>
  <c r="C2124" i="1"/>
  <c r="C3847" i="1"/>
  <c r="C584" i="1"/>
  <c r="C583" i="1"/>
  <c r="C3846" i="1"/>
  <c r="C2123" i="1"/>
  <c r="C3845" i="1"/>
  <c r="C582" i="1"/>
  <c r="C3844" i="1"/>
  <c r="C3843" i="1"/>
  <c r="C581" i="1"/>
  <c r="C580" i="1"/>
  <c r="C3842" i="1"/>
  <c r="C3841" i="1"/>
  <c r="C3840" i="1"/>
  <c r="C3839" i="1"/>
  <c r="C3838" i="1"/>
  <c r="C3837" i="1"/>
  <c r="C3836" i="1"/>
  <c r="C2122" i="1"/>
  <c r="C3835" i="1"/>
  <c r="C3834" i="1"/>
  <c r="C579" i="1"/>
  <c r="C578" i="1"/>
  <c r="C2121" i="1"/>
  <c r="C577" i="1"/>
  <c r="C3833" i="1"/>
  <c r="C576" i="1"/>
  <c r="C3832" i="1"/>
  <c r="C2120" i="1"/>
  <c r="C3831" i="1"/>
  <c r="C6426" i="1"/>
  <c r="C2119" i="1"/>
  <c r="C3830" i="1"/>
  <c r="C3829" i="1"/>
  <c r="C3828" i="1"/>
  <c r="C575" i="1"/>
  <c r="C574" i="1"/>
  <c r="C573" i="1"/>
  <c r="C3827" i="1"/>
  <c r="C3826" i="1"/>
  <c r="C572" i="1"/>
  <c r="C3825" i="1"/>
  <c r="C571" i="1"/>
  <c r="C570" i="1"/>
  <c r="C3824" i="1"/>
  <c r="C3823" i="1"/>
  <c r="C3822" i="1"/>
  <c r="C569" i="1"/>
  <c r="C6334" i="1"/>
  <c r="C3821" i="1"/>
  <c r="C3820" i="1"/>
  <c r="C3819" i="1"/>
  <c r="C2118" i="1"/>
  <c r="C3818" i="1"/>
  <c r="C568" i="1"/>
  <c r="C567" i="1"/>
  <c r="C2117" i="1"/>
  <c r="C2116" i="1"/>
  <c r="C3817" i="1"/>
  <c r="C2115" i="1"/>
  <c r="C3816" i="1"/>
  <c r="C566" i="1"/>
  <c r="C565" i="1"/>
  <c r="C3815" i="1"/>
  <c r="C3814" i="1"/>
  <c r="C564" i="1"/>
  <c r="C2114" i="1"/>
  <c r="C2113" i="1"/>
  <c r="C3813" i="1"/>
  <c r="C563" i="1"/>
  <c r="C2112" i="1"/>
  <c r="C3812" i="1"/>
  <c r="C3811" i="1"/>
  <c r="C3810" i="1"/>
  <c r="C3809" i="1"/>
  <c r="C562" i="1"/>
  <c r="C6030" i="1"/>
  <c r="C2111" i="1"/>
  <c r="C3808" i="1"/>
  <c r="C2110" i="1"/>
  <c r="C3807" i="1"/>
  <c r="C3806" i="1"/>
  <c r="C3805" i="1"/>
  <c r="C3804" i="1"/>
  <c r="C3803" i="1"/>
  <c r="C3802" i="1"/>
  <c r="C2109" i="1"/>
  <c r="C3801" i="1"/>
  <c r="C2633" i="1"/>
  <c r="C3800" i="1"/>
  <c r="C3799" i="1"/>
  <c r="C3798" i="1"/>
  <c r="C6029" i="1"/>
  <c r="C3797" i="1"/>
  <c r="C3796" i="1"/>
  <c r="C2108" i="1"/>
  <c r="C561" i="1"/>
  <c r="C3795" i="1"/>
  <c r="C560" i="1"/>
  <c r="C3794" i="1"/>
  <c r="C559" i="1"/>
  <c r="C3793" i="1"/>
  <c r="C3792" i="1"/>
  <c r="C2107" i="1"/>
  <c r="C6425" i="1"/>
  <c r="C558" i="1"/>
  <c r="C3791" i="1"/>
  <c r="C3790" i="1"/>
  <c r="C3789" i="1"/>
  <c r="C3788" i="1"/>
  <c r="C2106" i="1"/>
  <c r="C3787" i="1"/>
  <c r="C3786" i="1"/>
  <c r="C557" i="1"/>
  <c r="C2105" i="1"/>
  <c r="C3785" i="1"/>
  <c r="C6028" i="1"/>
  <c r="C3784" i="1"/>
  <c r="C6516" i="1"/>
  <c r="C3783" i="1"/>
  <c r="C3782" i="1"/>
  <c r="C2589" i="1"/>
  <c r="C2632" i="1"/>
  <c r="C6027" i="1"/>
  <c r="C556" i="1"/>
  <c r="C2104" i="1"/>
  <c r="C2103" i="1"/>
  <c r="C2102" i="1"/>
  <c r="C2101" i="1"/>
  <c r="C3781" i="1"/>
  <c r="C3780" i="1"/>
  <c r="C3779" i="1"/>
  <c r="C3778" i="1"/>
  <c r="C3777" i="1"/>
  <c r="C555" i="1"/>
  <c r="C3776" i="1"/>
  <c r="C2100" i="1"/>
  <c r="C2099" i="1"/>
  <c r="C2098" i="1"/>
  <c r="C2097" i="1"/>
  <c r="C3775" i="1"/>
  <c r="C3774" i="1"/>
  <c r="C2096" i="1"/>
  <c r="C3773" i="1"/>
  <c r="C2095" i="1"/>
  <c r="C3772" i="1"/>
  <c r="C3771" i="1"/>
  <c r="C3770" i="1"/>
  <c r="C3769" i="1"/>
  <c r="C3768" i="1"/>
  <c r="C3767" i="1"/>
  <c r="C6026" i="1"/>
  <c r="C554" i="1"/>
  <c r="C553" i="1"/>
  <c r="C552" i="1"/>
  <c r="C2094" i="1"/>
  <c r="C6025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2093" i="1"/>
  <c r="C551" i="1"/>
  <c r="C3754" i="1"/>
  <c r="C3753" i="1"/>
  <c r="C550" i="1"/>
  <c r="C2631" i="1"/>
  <c r="C6424" i="1"/>
  <c r="C2092" i="1"/>
  <c r="C6024" i="1"/>
  <c r="C549" i="1"/>
  <c r="C3752" i="1"/>
  <c r="C548" i="1"/>
  <c r="C547" i="1"/>
  <c r="C546" i="1"/>
  <c r="C3751" i="1"/>
  <c r="C3750" i="1"/>
  <c r="C3749" i="1"/>
  <c r="C3748" i="1"/>
  <c r="C3747" i="1"/>
  <c r="C3746" i="1"/>
  <c r="C545" i="1"/>
  <c r="C2091" i="1"/>
  <c r="C3745" i="1"/>
  <c r="C544" i="1"/>
  <c r="C3744" i="1"/>
  <c r="C6333" i="1"/>
  <c r="C3743" i="1"/>
  <c r="C543" i="1"/>
  <c r="C3742" i="1"/>
  <c r="C6332" i="1"/>
  <c r="C3741" i="1"/>
  <c r="C3740" i="1"/>
  <c r="C3739" i="1"/>
  <c r="C3738" i="1"/>
  <c r="C542" i="1"/>
  <c r="C3737" i="1"/>
  <c r="C3736" i="1"/>
  <c r="C541" i="1"/>
  <c r="C3735" i="1"/>
  <c r="C3734" i="1"/>
  <c r="C3733" i="1"/>
  <c r="C3732" i="1"/>
  <c r="C2090" i="1"/>
  <c r="C3731" i="1"/>
  <c r="C540" i="1"/>
  <c r="C6423" i="1"/>
  <c r="C3730" i="1"/>
  <c r="C3729" i="1"/>
  <c r="C3728" i="1"/>
  <c r="C3727" i="1"/>
  <c r="C3726" i="1"/>
  <c r="C3725" i="1"/>
  <c r="C539" i="1"/>
  <c r="C538" i="1"/>
  <c r="C3724" i="1"/>
  <c r="C3723" i="1"/>
  <c r="C3722" i="1"/>
  <c r="C3721" i="1"/>
  <c r="C537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536" i="1"/>
  <c r="C3708" i="1"/>
  <c r="C3707" i="1"/>
  <c r="C3706" i="1"/>
  <c r="C3705" i="1"/>
  <c r="C6023" i="1"/>
  <c r="C2089" i="1"/>
  <c r="C2088" i="1"/>
  <c r="C3704" i="1"/>
  <c r="C3703" i="1"/>
  <c r="C3702" i="1"/>
  <c r="C3701" i="1"/>
  <c r="C535" i="1"/>
  <c r="C3700" i="1"/>
  <c r="C534" i="1"/>
  <c r="C533" i="1"/>
  <c r="C532" i="1"/>
  <c r="C531" i="1"/>
  <c r="C2087" i="1"/>
  <c r="C3699" i="1"/>
  <c r="C2086" i="1"/>
  <c r="C530" i="1"/>
  <c r="C2085" i="1"/>
  <c r="C3698" i="1"/>
  <c r="C529" i="1"/>
  <c r="C3697" i="1"/>
  <c r="C3696" i="1"/>
  <c r="C3695" i="1"/>
  <c r="C3694" i="1"/>
  <c r="C3693" i="1"/>
  <c r="C528" i="1"/>
  <c r="C3692" i="1"/>
  <c r="C3691" i="1"/>
  <c r="C3690" i="1"/>
  <c r="C3689" i="1"/>
  <c r="C527" i="1"/>
  <c r="C3688" i="1"/>
  <c r="C3687" i="1"/>
  <c r="C6331" i="1"/>
  <c r="C3686" i="1"/>
  <c r="C526" i="1"/>
  <c r="C525" i="1"/>
  <c r="C524" i="1"/>
  <c r="C523" i="1"/>
  <c r="C3685" i="1"/>
  <c r="C3684" i="1"/>
  <c r="C3683" i="1"/>
  <c r="C3682" i="1"/>
  <c r="C3681" i="1"/>
  <c r="C3680" i="1"/>
  <c r="C2084" i="1"/>
  <c r="C2083" i="1"/>
  <c r="C3679" i="1"/>
  <c r="C3678" i="1"/>
  <c r="C3677" i="1"/>
  <c r="C522" i="1"/>
  <c r="C6022" i="1"/>
  <c r="C6021" i="1"/>
  <c r="C3676" i="1"/>
  <c r="C3675" i="1"/>
  <c r="C6020" i="1"/>
  <c r="C521" i="1"/>
  <c r="C520" i="1"/>
  <c r="C3674" i="1"/>
  <c r="C3673" i="1"/>
  <c r="C6019" i="1"/>
  <c r="C2082" i="1"/>
  <c r="C3672" i="1"/>
  <c r="C3671" i="1"/>
  <c r="C2081" i="1"/>
  <c r="C3670" i="1"/>
  <c r="C519" i="1"/>
  <c r="C3669" i="1"/>
  <c r="C6018" i="1"/>
  <c r="C3668" i="1"/>
  <c r="C518" i="1"/>
  <c r="C517" i="1"/>
  <c r="C3667" i="1"/>
  <c r="C3666" i="1"/>
  <c r="C3665" i="1"/>
  <c r="C516" i="1"/>
  <c r="C3664" i="1"/>
  <c r="C3663" i="1"/>
  <c r="C3662" i="1"/>
  <c r="C3661" i="1"/>
  <c r="C3660" i="1"/>
  <c r="C515" i="1"/>
  <c r="C514" i="1"/>
  <c r="C2080" i="1"/>
  <c r="C513" i="1"/>
  <c r="C3659" i="1"/>
  <c r="C3658" i="1"/>
  <c r="C3657" i="1"/>
  <c r="C2630" i="1"/>
  <c r="C3656" i="1"/>
  <c r="C3655" i="1"/>
  <c r="C512" i="1"/>
  <c r="C511" i="1"/>
  <c r="C510" i="1"/>
  <c r="C3654" i="1"/>
  <c r="C3653" i="1"/>
  <c r="C3652" i="1"/>
  <c r="C3651" i="1"/>
  <c r="C3650" i="1"/>
  <c r="C3649" i="1"/>
  <c r="C2079" i="1"/>
  <c r="C6017" i="1"/>
  <c r="C3648" i="1"/>
  <c r="C3647" i="1"/>
  <c r="C509" i="1"/>
  <c r="C3646" i="1"/>
  <c r="C508" i="1"/>
  <c r="C6016" i="1"/>
  <c r="C3645" i="1"/>
  <c r="C3644" i="1"/>
  <c r="C3643" i="1"/>
  <c r="C507" i="1"/>
  <c r="C506" i="1"/>
  <c r="C505" i="1"/>
  <c r="C3642" i="1"/>
  <c r="C3641" i="1"/>
  <c r="C6015" i="1"/>
  <c r="C504" i="1"/>
  <c r="C3640" i="1"/>
  <c r="C503" i="1"/>
  <c r="C6515" i="1"/>
  <c r="C3639" i="1"/>
  <c r="C6014" i="1"/>
  <c r="C6013" i="1"/>
  <c r="C3638" i="1"/>
  <c r="C3637" i="1"/>
  <c r="C3636" i="1"/>
  <c r="C502" i="1"/>
  <c r="C501" i="1"/>
  <c r="C3635" i="1"/>
  <c r="C2078" i="1"/>
  <c r="C3634" i="1"/>
  <c r="C500" i="1"/>
  <c r="C499" i="1"/>
  <c r="C3633" i="1"/>
  <c r="C498" i="1"/>
  <c r="C497" i="1"/>
  <c r="C496" i="1"/>
  <c r="C495" i="1"/>
  <c r="C3632" i="1"/>
  <c r="C3631" i="1"/>
  <c r="C494" i="1"/>
  <c r="C2629" i="1"/>
  <c r="C3630" i="1"/>
  <c r="C3629" i="1"/>
  <c r="C493" i="1"/>
  <c r="C3628" i="1"/>
  <c r="C3627" i="1"/>
  <c r="C3626" i="1"/>
  <c r="C492" i="1"/>
  <c r="C3625" i="1"/>
  <c r="C3624" i="1"/>
  <c r="C491" i="1"/>
  <c r="C3623" i="1"/>
  <c r="C3622" i="1"/>
  <c r="C490" i="1"/>
  <c r="C3621" i="1"/>
  <c r="C3620" i="1"/>
  <c r="C489" i="1"/>
  <c r="C2077" i="1"/>
  <c r="C488" i="1"/>
  <c r="C487" i="1"/>
  <c r="C3619" i="1"/>
  <c r="C2076" i="1"/>
  <c r="C2075" i="1"/>
  <c r="C3618" i="1"/>
  <c r="C3617" i="1"/>
  <c r="C3616" i="1"/>
  <c r="C486" i="1"/>
  <c r="C485" i="1"/>
  <c r="C484" i="1"/>
  <c r="C3615" i="1"/>
  <c r="C3614" i="1"/>
  <c r="C483" i="1"/>
  <c r="C3613" i="1"/>
  <c r="C3612" i="1"/>
  <c r="C3611" i="1"/>
  <c r="C482" i="1"/>
  <c r="C3610" i="1"/>
  <c r="C3609" i="1"/>
  <c r="C481" i="1"/>
  <c r="C3608" i="1"/>
  <c r="C480" i="1"/>
  <c r="C6012" i="1"/>
  <c r="C479" i="1"/>
  <c r="C3607" i="1"/>
  <c r="C478" i="1"/>
  <c r="C6422" i="1"/>
  <c r="C3606" i="1"/>
  <c r="C477" i="1"/>
  <c r="C3605" i="1"/>
  <c r="C476" i="1"/>
  <c r="C475" i="1"/>
  <c r="C474" i="1"/>
  <c r="C3604" i="1"/>
  <c r="C3603" i="1"/>
  <c r="C473" i="1"/>
  <c r="C3602" i="1"/>
  <c r="C3601" i="1"/>
  <c r="C472" i="1"/>
  <c r="C6421" i="1"/>
  <c r="C471" i="1"/>
  <c r="C3600" i="1"/>
  <c r="C470" i="1"/>
  <c r="C2074" i="1"/>
  <c r="C2073" i="1"/>
  <c r="C469" i="1"/>
  <c r="C468" i="1"/>
  <c r="C3599" i="1"/>
  <c r="C467" i="1"/>
  <c r="C466" i="1"/>
  <c r="C3598" i="1"/>
  <c r="C465" i="1"/>
  <c r="C3597" i="1"/>
  <c r="C3596" i="1"/>
  <c r="C464" i="1"/>
  <c r="C3595" i="1"/>
  <c r="C3594" i="1"/>
  <c r="C3593" i="1"/>
  <c r="C3592" i="1"/>
  <c r="C3591" i="1"/>
  <c r="C3590" i="1"/>
  <c r="C6011" i="1"/>
  <c r="C463" i="1"/>
  <c r="C462" i="1"/>
  <c r="C3589" i="1"/>
  <c r="C461" i="1"/>
  <c r="C3588" i="1"/>
  <c r="C3587" i="1"/>
  <c r="C460" i="1"/>
  <c r="C3586" i="1"/>
  <c r="C3585" i="1"/>
  <c r="C459" i="1"/>
  <c r="C3584" i="1"/>
  <c r="C3583" i="1"/>
  <c r="C3582" i="1"/>
  <c r="C207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6010" i="1"/>
  <c r="C3568" i="1"/>
  <c r="C3567" i="1"/>
  <c r="C458" i="1"/>
  <c r="C457" i="1"/>
  <c r="C3566" i="1"/>
  <c r="C456" i="1"/>
  <c r="C455" i="1"/>
  <c r="C3565" i="1"/>
  <c r="C3564" i="1"/>
  <c r="C454" i="1"/>
  <c r="C3563" i="1"/>
  <c r="C3562" i="1"/>
  <c r="C3561" i="1"/>
  <c r="C3560" i="1"/>
  <c r="C3559" i="1"/>
  <c r="C3558" i="1"/>
  <c r="C453" i="1"/>
  <c r="C452" i="1"/>
  <c r="C3557" i="1"/>
  <c r="C451" i="1"/>
  <c r="C3556" i="1"/>
  <c r="C450" i="1"/>
  <c r="C3555" i="1"/>
  <c r="C2628" i="1"/>
  <c r="C449" i="1"/>
  <c r="C3554" i="1"/>
  <c r="C3553" i="1"/>
  <c r="C3552" i="1"/>
  <c r="C448" i="1"/>
  <c r="C3551" i="1"/>
  <c r="C447" i="1"/>
  <c r="C446" i="1"/>
  <c r="C3550" i="1"/>
  <c r="C3549" i="1"/>
  <c r="C3548" i="1"/>
  <c r="C445" i="1"/>
  <c r="C3547" i="1"/>
  <c r="C3546" i="1"/>
  <c r="C3545" i="1"/>
  <c r="C3544" i="1"/>
  <c r="C444" i="1"/>
  <c r="C443" i="1"/>
  <c r="C442" i="1"/>
  <c r="C3543" i="1"/>
  <c r="C3542" i="1"/>
  <c r="C3541" i="1"/>
  <c r="C3540" i="1"/>
  <c r="C2071" i="1"/>
  <c r="C441" i="1"/>
  <c r="C2627" i="1"/>
  <c r="C3539" i="1"/>
  <c r="C6009" i="1"/>
  <c r="C440" i="1"/>
  <c r="C439" i="1"/>
  <c r="C6420" i="1"/>
  <c r="C6008" i="1"/>
  <c r="C3538" i="1"/>
  <c r="C438" i="1"/>
  <c r="C437" i="1"/>
  <c r="C6007" i="1"/>
  <c r="C2070" i="1"/>
  <c r="C436" i="1"/>
  <c r="C435" i="1"/>
  <c r="C3537" i="1"/>
  <c r="C3536" i="1"/>
  <c r="C3535" i="1"/>
  <c r="C3534" i="1"/>
  <c r="C3533" i="1"/>
  <c r="C6006" i="1"/>
  <c r="C434" i="1"/>
  <c r="C6005" i="1"/>
  <c r="C3532" i="1"/>
  <c r="C3531" i="1"/>
  <c r="C6004" i="1"/>
  <c r="C3530" i="1"/>
  <c r="C3529" i="1"/>
  <c r="C6003" i="1"/>
  <c r="C3528" i="1"/>
  <c r="C3527" i="1"/>
  <c r="C3526" i="1"/>
  <c r="C433" i="1"/>
  <c r="C3525" i="1"/>
  <c r="C3524" i="1"/>
  <c r="C432" i="1"/>
  <c r="C431" i="1"/>
  <c r="C430" i="1"/>
  <c r="C2069" i="1"/>
  <c r="C2068" i="1"/>
  <c r="C3523" i="1"/>
  <c r="C3522" i="1"/>
  <c r="C3521" i="1"/>
  <c r="C3520" i="1"/>
  <c r="C3519" i="1"/>
  <c r="C429" i="1"/>
  <c r="C3518" i="1"/>
  <c r="C3517" i="1"/>
  <c r="C3516" i="1"/>
  <c r="C3515" i="1"/>
  <c r="C6330" i="1"/>
  <c r="C2067" i="1"/>
  <c r="C428" i="1"/>
  <c r="C3514" i="1"/>
  <c r="C3513" i="1"/>
  <c r="C427" i="1"/>
  <c r="C3512" i="1"/>
  <c r="C3511" i="1"/>
  <c r="C426" i="1"/>
  <c r="C425" i="1"/>
  <c r="C6002" i="1"/>
  <c r="C3510" i="1"/>
  <c r="C424" i="1"/>
  <c r="C3509" i="1"/>
  <c r="C3508" i="1"/>
  <c r="C3507" i="1"/>
  <c r="C423" i="1"/>
  <c r="C3506" i="1"/>
  <c r="C422" i="1"/>
  <c r="C421" i="1"/>
  <c r="C3505" i="1"/>
  <c r="C2066" i="1"/>
  <c r="C3504" i="1"/>
  <c r="C2065" i="1"/>
  <c r="C420" i="1"/>
  <c r="C419" i="1"/>
  <c r="C3503" i="1"/>
  <c r="C2064" i="1"/>
  <c r="C2063" i="1"/>
  <c r="C3502" i="1"/>
  <c r="C3501" i="1"/>
  <c r="C3500" i="1"/>
  <c r="C2062" i="1"/>
  <c r="C2061" i="1"/>
  <c r="C3499" i="1"/>
  <c r="C2060" i="1"/>
  <c r="C6001" i="1"/>
  <c r="C418" i="1"/>
  <c r="C417" i="1"/>
  <c r="C416" i="1"/>
  <c r="C415" i="1"/>
  <c r="C3498" i="1"/>
  <c r="C414" i="1"/>
  <c r="C413" i="1"/>
  <c r="C412" i="1"/>
  <c r="C3497" i="1"/>
  <c r="C6000" i="1"/>
  <c r="C3496" i="1"/>
  <c r="C6419" i="1"/>
  <c r="C3495" i="1"/>
  <c r="C3494" i="1"/>
  <c r="C2059" i="1"/>
  <c r="C411" i="1"/>
  <c r="C410" i="1"/>
  <c r="C5999" i="1"/>
  <c r="C3493" i="1"/>
  <c r="C409" i="1"/>
  <c r="C408" i="1"/>
  <c r="C3492" i="1"/>
  <c r="C6418" i="1"/>
  <c r="C407" i="1"/>
  <c r="C3491" i="1"/>
  <c r="C406" i="1"/>
  <c r="C3490" i="1"/>
  <c r="C3489" i="1"/>
  <c r="C3488" i="1"/>
  <c r="C405" i="1"/>
  <c r="C3487" i="1"/>
  <c r="C3486" i="1"/>
  <c r="C6329" i="1"/>
  <c r="C3485" i="1"/>
  <c r="C3484" i="1"/>
  <c r="C3483" i="1"/>
  <c r="C3482" i="1"/>
  <c r="C5998" i="1"/>
  <c r="C3481" i="1"/>
  <c r="C3480" i="1"/>
  <c r="C404" i="1"/>
  <c r="C3479" i="1"/>
  <c r="C3478" i="1"/>
  <c r="C3477" i="1"/>
  <c r="C3476" i="1"/>
  <c r="C5997" i="1"/>
  <c r="C3475" i="1"/>
  <c r="C403" i="1"/>
  <c r="C3474" i="1"/>
  <c r="C5996" i="1"/>
  <c r="C3473" i="1"/>
  <c r="C2626" i="1"/>
  <c r="C2058" i="1"/>
  <c r="C2057" i="1"/>
  <c r="C3472" i="1"/>
  <c r="C402" i="1"/>
  <c r="C6417" i="1"/>
  <c r="C5995" i="1"/>
  <c r="C3471" i="1"/>
  <c r="C3470" i="1"/>
  <c r="C2056" i="1"/>
  <c r="C3469" i="1"/>
  <c r="C3468" i="1"/>
  <c r="C2055" i="1"/>
  <c r="C3467" i="1"/>
  <c r="C3466" i="1"/>
  <c r="C2054" i="1"/>
  <c r="C401" i="1"/>
  <c r="C400" i="1"/>
  <c r="C3465" i="1"/>
  <c r="C3464" i="1"/>
  <c r="C6416" i="1"/>
  <c r="C399" i="1"/>
  <c r="C3463" i="1"/>
  <c r="C3462" i="1"/>
  <c r="C3461" i="1"/>
  <c r="C398" i="1"/>
  <c r="C397" i="1"/>
  <c r="C2053" i="1"/>
  <c r="C3460" i="1"/>
  <c r="C396" i="1"/>
  <c r="C5994" i="1"/>
  <c r="C3459" i="1"/>
  <c r="C3458" i="1"/>
  <c r="C395" i="1"/>
  <c r="C394" i="1"/>
  <c r="C5993" i="1"/>
  <c r="C393" i="1"/>
  <c r="C3457" i="1"/>
  <c r="C3456" i="1"/>
  <c r="C3455" i="1"/>
  <c r="C392" i="1"/>
  <c r="C391" i="1"/>
  <c r="C390" i="1"/>
  <c r="C389" i="1"/>
  <c r="C2052" i="1"/>
  <c r="C388" i="1"/>
  <c r="C3454" i="1"/>
  <c r="C3453" i="1"/>
  <c r="C3452" i="1"/>
  <c r="C3451" i="1"/>
  <c r="C3450" i="1"/>
  <c r="C3449" i="1"/>
  <c r="C387" i="1"/>
  <c r="C5992" i="1"/>
  <c r="C3448" i="1"/>
  <c r="C3447" i="1"/>
  <c r="C386" i="1"/>
  <c r="C385" i="1"/>
  <c r="C3446" i="1"/>
  <c r="C3445" i="1"/>
  <c r="C3444" i="1"/>
  <c r="C384" i="1"/>
  <c r="C3443" i="1"/>
  <c r="C3442" i="1"/>
  <c r="C5991" i="1"/>
  <c r="C3441" i="1"/>
  <c r="C383" i="1"/>
  <c r="C3440" i="1"/>
  <c r="C3439" i="1"/>
  <c r="C382" i="1"/>
  <c r="C2051" i="1"/>
  <c r="C3438" i="1"/>
  <c r="C5990" i="1"/>
  <c r="C5989" i="1"/>
  <c r="C3437" i="1"/>
  <c r="C3436" i="1"/>
  <c r="C5988" i="1"/>
  <c r="C3435" i="1"/>
  <c r="C3434" i="1"/>
  <c r="C381" i="1"/>
  <c r="C3433" i="1"/>
  <c r="C3432" i="1"/>
  <c r="C3431" i="1"/>
  <c r="C5987" i="1"/>
  <c r="C2050" i="1"/>
  <c r="C3430" i="1"/>
  <c r="C3429" i="1"/>
  <c r="C3428" i="1"/>
  <c r="C3427" i="1"/>
  <c r="C5986" i="1"/>
  <c r="C380" i="1"/>
  <c r="C6415" i="1"/>
  <c r="C6414" i="1"/>
  <c r="C3426" i="1"/>
  <c r="C3425" i="1"/>
  <c r="C3424" i="1"/>
  <c r="C3423" i="1"/>
  <c r="C2625" i="1"/>
  <c r="C3422" i="1"/>
  <c r="C3421" i="1"/>
  <c r="C3420" i="1"/>
  <c r="C3419" i="1"/>
  <c r="C379" i="1"/>
  <c r="C378" i="1"/>
  <c r="C377" i="1"/>
  <c r="C376" i="1"/>
  <c r="C375" i="1"/>
  <c r="C3418" i="1"/>
  <c r="C3417" i="1"/>
  <c r="C374" i="1"/>
  <c r="C3416" i="1"/>
  <c r="C3415" i="1"/>
  <c r="C2049" i="1"/>
  <c r="C5985" i="1"/>
  <c r="C5984" i="1"/>
  <c r="C3414" i="1"/>
  <c r="C3413" i="1"/>
  <c r="C2048" i="1"/>
  <c r="C3412" i="1"/>
  <c r="C3411" i="1"/>
  <c r="C373" i="1"/>
  <c r="C3410" i="1"/>
  <c r="C3409" i="1"/>
  <c r="C3408" i="1"/>
  <c r="C3407" i="1"/>
  <c r="C3406" i="1"/>
  <c r="C6413" i="1"/>
  <c r="C3405" i="1"/>
  <c r="C3404" i="1"/>
  <c r="C372" i="1"/>
  <c r="C371" i="1"/>
  <c r="C6412" i="1"/>
  <c r="C6411" i="1"/>
  <c r="C3403" i="1"/>
  <c r="C3402" i="1"/>
  <c r="C3401" i="1"/>
  <c r="C5983" i="1"/>
  <c r="C3400" i="1"/>
  <c r="C3399" i="1"/>
  <c r="C3398" i="1"/>
  <c r="C5982" i="1"/>
  <c r="C5981" i="1"/>
  <c r="C370" i="1"/>
  <c r="C3397" i="1"/>
  <c r="C3396" i="1"/>
  <c r="C3395" i="1"/>
  <c r="C3394" i="1"/>
  <c r="C3393" i="1"/>
  <c r="C3392" i="1"/>
  <c r="C3391" i="1"/>
  <c r="C3390" i="1"/>
  <c r="C369" i="1"/>
  <c r="C3389" i="1"/>
  <c r="C3388" i="1"/>
  <c r="C368" i="1"/>
  <c r="C5980" i="1"/>
  <c r="C3387" i="1"/>
  <c r="C367" i="1"/>
  <c r="C3386" i="1"/>
  <c r="C366" i="1"/>
  <c r="C3385" i="1"/>
  <c r="C3384" i="1"/>
  <c r="C3383" i="1"/>
  <c r="C3382" i="1"/>
  <c r="C3381" i="1"/>
  <c r="C3380" i="1"/>
  <c r="C3379" i="1"/>
  <c r="C365" i="1"/>
  <c r="C3378" i="1"/>
  <c r="C364" i="1"/>
  <c r="C3377" i="1"/>
  <c r="C3376" i="1"/>
  <c r="C6410" i="1"/>
  <c r="C363" i="1"/>
  <c r="C3375" i="1"/>
  <c r="C3374" i="1"/>
  <c r="C3373" i="1"/>
  <c r="C3372" i="1"/>
  <c r="C3371" i="1"/>
  <c r="C3370" i="1"/>
  <c r="C362" i="1"/>
  <c r="C3369" i="1"/>
  <c r="C3368" i="1"/>
  <c r="C361" i="1"/>
  <c r="C3367" i="1"/>
  <c r="C3366" i="1"/>
  <c r="C3365" i="1"/>
  <c r="C3364" i="1"/>
  <c r="C3363" i="1"/>
  <c r="C3362" i="1"/>
  <c r="C3361" i="1"/>
  <c r="C3360" i="1"/>
  <c r="C360" i="1"/>
  <c r="C3359" i="1"/>
  <c r="C3358" i="1"/>
  <c r="C3357" i="1"/>
  <c r="C3356" i="1"/>
  <c r="C3355" i="1"/>
  <c r="C3354" i="1"/>
  <c r="C2624" i="1"/>
  <c r="C3353" i="1"/>
  <c r="C3352" i="1"/>
  <c r="C3351" i="1"/>
  <c r="C3350" i="1"/>
  <c r="C3349" i="1"/>
  <c r="C359" i="1"/>
  <c r="C3348" i="1"/>
  <c r="C3347" i="1"/>
  <c r="C358" i="1"/>
  <c r="C3346" i="1"/>
  <c r="C3345" i="1"/>
  <c r="C357" i="1"/>
  <c r="C3344" i="1"/>
  <c r="C3343" i="1"/>
  <c r="C3342" i="1"/>
  <c r="C3341" i="1"/>
  <c r="C6409" i="1"/>
  <c r="C3340" i="1"/>
  <c r="C356" i="1"/>
  <c r="C355" i="1"/>
  <c r="C2047" i="1"/>
  <c r="C354" i="1"/>
  <c r="C353" i="1"/>
  <c r="C352" i="1"/>
  <c r="C351" i="1"/>
  <c r="C350" i="1"/>
  <c r="C349" i="1"/>
  <c r="C5979" i="1"/>
  <c r="C348" i="1"/>
  <c r="C3339" i="1"/>
  <c r="C2046" i="1"/>
  <c r="C2045" i="1"/>
  <c r="C2044" i="1"/>
  <c r="C6408" i="1"/>
  <c r="C347" i="1"/>
  <c r="C3338" i="1"/>
  <c r="C3337" i="1"/>
  <c r="C346" i="1"/>
  <c r="C345" i="1"/>
  <c r="C3336" i="1"/>
  <c r="C3335" i="1"/>
  <c r="C3334" i="1"/>
  <c r="C3333" i="1"/>
  <c r="C3332" i="1"/>
  <c r="C3331" i="1"/>
  <c r="C3330" i="1"/>
  <c r="C2623" i="1"/>
  <c r="C344" i="1"/>
  <c r="C343" i="1"/>
  <c r="C342" i="1"/>
  <c r="C341" i="1"/>
  <c r="C340" i="1"/>
  <c r="C339" i="1"/>
  <c r="C338" i="1"/>
  <c r="C3329" i="1"/>
  <c r="C3328" i="1"/>
  <c r="C337" i="1"/>
  <c r="C6407" i="1"/>
  <c r="C336" i="1"/>
  <c r="C3327" i="1"/>
  <c r="C3326" i="1"/>
  <c r="C3325" i="1"/>
  <c r="C3324" i="1"/>
  <c r="C3323" i="1"/>
  <c r="C2043" i="1"/>
  <c r="C3322" i="1"/>
  <c r="C3321" i="1"/>
  <c r="C335" i="1"/>
  <c r="C3320" i="1"/>
  <c r="C3319" i="1"/>
  <c r="C334" i="1"/>
  <c r="C3318" i="1"/>
  <c r="C333" i="1"/>
  <c r="C5978" i="1"/>
  <c r="C2042" i="1"/>
  <c r="C3317" i="1"/>
  <c r="C332" i="1"/>
  <c r="C3316" i="1"/>
  <c r="C331" i="1"/>
  <c r="C330" i="1"/>
  <c r="C329" i="1"/>
  <c r="C328" i="1"/>
  <c r="C3315" i="1"/>
  <c r="C2588" i="1"/>
  <c r="C3314" i="1"/>
  <c r="C3313" i="1"/>
  <c r="C2041" i="1"/>
  <c r="C3312" i="1"/>
  <c r="C3311" i="1"/>
  <c r="C3310" i="1"/>
  <c r="C2040" i="1"/>
  <c r="C3309" i="1"/>
  <c r="C327" i="1"/>
  <c r="C3308" i="1"/>
  <c r="C3307" i="1"/>
  <c r="C2039" i="1"/>
  <c r="C3306" i="1"/>
  <c r="C3305" i="1"/>
  <c r="C3304" i="1"/>
  <c r="C3303" i="1"/>
  <c r="C3302" i="1"/>
  <c r="C3301" i="1"/>
  <c r="C3300" i="1"/>
  <c r="C3299" i="1"/>
  <c r="C3298" i="1"/>
  <c r="C3297" i="1"/>
  <c r="C2622" i="1"/>
  <c r="C326" i="1"/>
  <c r="C3296" i="1"/>
  <c r="C325" i="1"/>
  <c r="C3295" i="1"/>
  <c r="C324" i="1"/>
  <c r="C323" i="1"/>
  <c r="C3294" i="1"/>
  <c r="C3293" i="1"/>
  <c r="C5977" i="1"/>
  <c r="C3292" i="1"/>
  <c r="C322" i="1"/>
  <c r="C5976" i="1"/>
  <c r="C6406" i="1"/>
  <c r="C321" i="1"/>
  <c r="C3291" i="1"/>
  <c r="C3290" i="1"/>
  <c r="C3289" i="1"/>
  <c r="C3288" i="1"/>
  <c r="C3287" i="1"/>
  <c r="C3286" i="1"/>
  <c r="C3285" i="1"/>
  <c r="C3284" i="1"/>
  <c r="C320" i="1"/>
  <c r="C3283" i="1"/>
  <c r="C3282" i="1"/>
  <c r="C3281" i="1"/>
  <c r="C3280" i="1"/>
  <c r="C2038" i="1"/>
  <c r="C319" i="1"/>
  <c r="C5975" i="1"/>
  <c r="C3279" i="1"/>
  <c r="C3278" i="1"/>
  <c r="C3277" i="1"/>
  <c r="C3276" i="1"/>
  <c r="C6405" i="1"/>
  <c r="C318" i="1"/>
  <c r="C3275" i="1"/>
  <c r="C3274" i="1"/>
  <c r="C317" i="1"/>
  <c r="C3273" i="1"/>
  <c r="C316" i="1"/>
  <c r="C315" i="1"/>
  <c r="C3272" i="1"/>
  <c r="C6404" i="1"/>
  <c r="C314" i="1"/>
  <c r="C3271" i="1"/>
  <c r="C2037" i="1"/>
  <c r="C2036" i="1"/>
  <c r="C3270" i="1"/>
  <c r="C2035" i="1"/>
  <c r="C2034" i="1"/>
  <c r="C313" i="1"/>
  <c r="C5974" i="1"/>
  <c r="C312" i="1"/>
  <c r="C311" i="1"/>
  <c r="C3269" i="1"/>
  <c r="C3268" i="1"/>
  <c r="C3267" i="1"/>
  <c r="C310" i="1"/>
  <c r="C309" i="1"/>
  <c r="C2033" i="1"/>
  <c r="C2032" i="1"/>
  <c r="C2031" i="1"/>
  <c r="C308" i="1"/>
  <c r="C5973" i="1"/>
  <c r="C307" i="1"/>
  <c r="C3266" i="1"/>
  <c r="C2030" i="1"/>
  <c r="C2029" i="1"/>
  <c r="C2028" i="1"/>
  <c r="C2027" i="1"/>
  <c r="C3265" i="1"/>
  <c r="C2026" i="1"/>
  <c r="C2025" i="1"/>
  <c r="C3264" i="1"/>
  <c r="C3263" i="1"/>
  <c r="C3262" i="1"/>
  <c r="C2024" i="1"/>
  <c r="C3261" i="1"/>
  <c r="C3260" i="1"/>
  <c r="C3259" i="1"/>
  <c r="C3258" i="1"/>
  <c r="C3257" i="1"/>
  <c r="C3256" i="1"/>
  <c r="C5972" i="1"/>
  <c r="C3255" i="1"/>
  <c r="C2023" i="1"/>
  <c r="C2022" i="1"/>
  <c r="C2021" i="1"/>
  <c r="C3254" i="1"/>
  <c r="C3253" i="1"/>
  <c r="C306" i="1"/>
  <c r="C3252" i="1"/>
  <c r="C2020" i="1"/>
  <c r="C2019" i="1"/>
  <c r="C2018" i="1"/>
  <c r="C2017" i="1"/>
  <c r="C2016" i="1"/>
  <c r="C2015" i="1"/>
  <c r="C3251" i="1"/>
  <c r="C3250" i="1"/>
  <c r="C3249" i="1"/>
  <c r="C3248" i="1"/>
  <c r="C2014" i="1"/>
  <c r="C3247" i="1"/>
  <c r="C6403" i="1"/>
  <c r="C6402" i="1"/>
  <c r="C6401" i="1"/>
  <c r="C2013" i="1"/>
  <c r="C3246" i="1"/>
  <c r="C3245" i="1"/>
  <c r="C3244" i="1"/>
  <c r="C3243" i="1"/>
  <c r="C3242" i="1"/>
  <c r="C2012" i="1"/>
  <c r="C3241" i="1"/>
  <c r="C2011" i="1"/>
  <c r="C2010" i="1"/>
  <c r="C2009" i="1"/>
  <c r="C3240" i="1"/>
  <c r="C3239" i="1"/>
  <c r="C3238" i="1"/>
  <c r="C3237" i="1"/>
  <c r="C3236" i="1"/>
  <c r="C3235" i="1"/>
  <c r="C3234" i="1"/>
  <c r="C3233" i="1"/>
  <c r="C2008" i="1"/>
  <c r="C3232" i="1"/>
  <c r="C5971" i="1"/>
  <c r="C2007" i="1"/>
  <c r="C3231" i="1"/>
  <c r="C305" i="1"/>
  <c r="C3230" i="1"/>
  <c r="C3229" i="1"/>
  <c r="C304" i="1"/>
  <c r="C3228" i="1"/>
  <c r="C3227" i="1"/>
  <c r="C3226" i="1"/>
  <c r="C3225" i="1"/>
  <c r="C2621" i="1"/>
  <c r="C2006" i="1"/>
  <c r="C2620" i="1"/>
  <c r="C3224" i="1"/>
  <c r="C3223" i="1"/>
  <c r="C3222" i="1"/>
  <c r="C3221" i="1"/>
  <c r="C2005" i="1"/>
  <c r="C3220" i="1"/>
  <c r="C303" i="1"/>
  <c r="C3219" i="1"/>
  <c r="C3218" i="1"/>
  <c r="C3217" i="1"/>
  <c r="C3216" i="1"/>
  <c r="C3215" i="1"/>
  <c r="C3214" i="1"/>
  <c r="C3213" i="1"/>
  <c r="C3212" i="1"/>
  <c r="C302" i="1"/>
  <c r="C3211" i="1"/>
  <c r="C3210" i="1"/>
  <c r="C3209" i="1"/>
  <c r="C5970" i="1"/>
  <c r="C3208" i="1"/>
  <c r="C3207" i="1"/>
  <c r="C3206" i="1"/>
  <c r="C3205" i="1"/>
  <c r="C301" i="1"/>
  <c r="C3204" i="1"/>
  <c r="C5969" i="1"/>
  <c r="C3203" i="1"/>
  <c r="C300" i="1"/>
  <c r="C3202" i="1"/>
  <c r="C3201" i="1"/>
  <c r="C2004" i="1"/>
  <c r="C3200" i="1"/>
  <c r="C299" i="1"/>
  <c r="C2619" i="1"/>
  <c r="C2003" i="1"/>
  <c r="C2002" i="1"/>
  <c r="C3199" i="1"/>
  <c r="C298" i="1"/>
  <c r="C3198" i="1"/>
  <c r="C2001" i="1"/>
  <c r="C297" i="1"/>
  <c r="C6400" i="1"/>
  <c r="C3197" i="1"/>
  <c r="C5968" i="1"/>
  <c r="C3196" i="1"/>
  <c r="C3195" i="1"/>
  <c r="C3194" i="1"/>
  <c r="C2000" i="1"/>
  <c r="C3193" i="1"/>
  <c r="C3192" i="1"/>
  <c r="C3191" i="1"/>
  <c r="C296" i="1"/>
  <c r="C295" i="1"/>
  <c r="C3190" i="1"/>
  <c r="C294" i="1"/>
  <c r="C3189" i="1"/>
  <c r="C293" i="1"/>
  <c r="C3188" i="1"/>
  <c r="C292" i="1"/>
  <c r="C3187" i="1"/>
  <c r="C3186" i="1"/>
  <c r="C3185" i="1"/>
  <c r="C1999" i="1"/>
  <c r="C6399" i="1"/>
  <c r="C291" i="1"/>
  <c r="C3184" i="1"/>
  <c r="C290" i="1"/>
  <c r="C289" i="1"/>
  <c r="C288" i="1"/>
  <c r="C3183" i="1"/>
  <c r="C287" i="1"/>
  <c r="C3182" i="1"/>
  <c r="C3181" i="1"/>
  <c r="C3180" i="1"/>
  <c r="C3179" i="1"/>
  <c r="C3178" i="1"/>
  <c r="C5967" i="1"/>
  <c r="C3177" i="1"/>
  <c r="C286" i="1"/>
  <c r="C3176" i="1"/>
  <c r="C1998" i="1"/>
  <c r="C1997" i="1"/>
  <c r="C1996" i="1"/>
  <c r="C3175" i="1"/>
  <c r="C1995" i="1"/>
  <c r="C1994" i="1"/>
  <c r="C3174" i="1"/>
  <c r="C3173" i="1"/>
  <c r="C3172" i="1"/>
  <c r="C1993" i="1"/>
  <c r="C285" i="1"/>
  <c r="C284" i="1"/>
  <c r="C2618" i="1"/>
  <c r="C1992" i="1"/>
  <c r="C1991" i="1"/>
  <c r="C1990" i="1"/>
  <c r="C283" i="1"/>
  <c r="C1989" i="1"/>
  <c r="C3171" i="1"/>
  <c r="C3170" i="1"/>
  <c r="C2617" i="1"/>
  <c r="C2616" i="1"/>
  <c r="C3169" i="1"/>
  <c r="C3168" i="1"/>
  <c r="C3167" i="1"/>
  <c r="C282" i="1"/>
  <c r="C1988" i="1"/>
  <c r="C3166" i="1"/>
  <c r="C3165" i="1"/>
  <c r="C3164" i="1"/>
  <c r="C5966" i="1"/>
  <c r="C1987" i="1"/>
  <c r="C1986" i="1"/>
  <c r="C5965" i="1"/>
  <c r="C1985" i="1"/>
  <c r="C1984" i="1"/>
  <c r="C1983" i="1"/>
  <c r="C3163" i="1"/>
  <c r="C281" i="1"/>
  <c r="C3162" i="1"/>
  <c r="C3161" i="1"/>
  <c r="C3160" i="1"/>
  <c r="C3159" i="1"/>
  <c r="C3158" i="1"/>
  <c r="C3157" i="1"/>
  <c r="C3156" i="1"/>
  <c r="C1982" i="1"/>
  <c r="C1981" i="1"/>
  <c r="C280" i="1"/>
  <c r="C3155" i="1"/>
  <c r="C2615" i="1"/>
  <c r="C279" i="1"/>
  <c r="C278" i="1"/>
  <c r="C5964" i="1"/>
  <c r="C3154" i="1"/>
  <c r="C6398" i="1"/>
  <c r="C3153" i="1"/>
  <c r="C3152" i="1"/>
  <c r="C5963" i="1"/>
  <c r="C5962" i="1"/>
  <c r="C3151" i="1"/>
  <c r="C3150" i="1"/>
  <c r="C3149" i="1"/>
  <c r="C3148" i="1"/>
  <c r="C277" i="1"/>
  <c r="C6397" i="1"/>
  <c r="C3147" i="1"/>
  <c r="C3146" i="1"/>
  <c r="C276" i="1"/>
  <c r="C3145" i="1"/>
  <c r="C3144" i="1"/>
  <c r="C1980" i="1"/>
  <c r="C1979" i="1"/>
  <c r="C3143" i="1"/>
  <c r="C3142" i="1"/>
  <c r="C275" i="1"/>
  <c r="C3141" i="1"/>
  <c r="C274" i="1"/>
  <c r="C3140" i="1"/>
  <c r="C273" i="1"/>
  <c r="C3139" i="1"/>
  <c r="C3138" i="1"/>
  <c r="C3137" i="1"/>
  <c r="C3136" i="1"/>
  <c r="C3135" i="1"/>
  <c r="C3134" i="1"/>
  <c r="C3133" i="1"/>
  <c r="C3132" i="1"/>
  <c r="C272" i="1"/>
  <c r="C1978" i="1"/>
  <c r="C1977" i="1"/>
  <c r="C3131" i="1"/>
  <c r="C3130" i="1"/>
  <c r="C3129" i="1"/>
  <c r="C3128" i="1"/>
  <c r="C1976" i="1"/>
  <c r="C271" i="1"/>
  <c r="C270" i="1"/>
  <c r="C269" i="1"/>
  <c r="C2614" i="1"/>
  <c r="C2613" i="1"/>
  <c r="C268" i="1"/>
  <c r="C3127" i="1"/>
  <c r="C267" i="1"/>
  <c r="C5961" i="1"/>
  <c r="C3126" i="1"/>
  <c r="C266" i="1"/>
  <c r="C265" i="1"/>
  <c r="C3125" i="1"/>
  <c r="C3124" i="1"/>
  <c r="C3123" i="1"/>
  <c r="C3122" i="1"/>
  <c r="C5960" i="1"/>
  <c r="C1975" i="1"/>
  <c r="C264" i="1"/>
  <c r="C3121" i="1"/>
  <c r="C5959" i="1"/>
  <c r="C1974" i="1"/>
  <c r="C1973" i="1"/>
  <c r="C1972" i="1"/>
  <c r="C3120" i="1"/>
  <c r="C3119" i="1"/>
  <c r="C3118" i="1"/>
  <c r="C263" i="1"/>
  <c r="C1971" i="1"/>
  <c r="C3117" i="1"/>
  <c r="C3116" i="1"/>
  <c r="C262" i="1"/>
  <c r="C261" i="1"/>
  <c r="C5958" i="1"/>
  <c r="C260" i="1"/>
  <c r="C1970" i="1"/>
  <c r="C1969" i="1"/>
  <c r="C1968" i="1"/>
  <c r="C3115" i="1"/>
  <c r="C259" i="1"/>
  <c r="C3114" i="1"/>
  <c r="C258" i="1"/>
  <c r="C257" i="1"/>
  <c r="C256" i="1"/>
  <c r="C255" i="1"/>
  <c r="C254" i="1"/>
  <c r="C3113" i="1"/>
  <c r="C3112" i="1"/>
  <c r="C253" i="1"/>
  <c r="C3111" i="1"/>
  <c r="C3110" i="1"/>
  <c r="C5957" i="1"/>
  <c r="C3109" i="1"/>
  <c r="C252" i="1"/>
  <c r="C3108" i="1"/>
  <c r="C251" i="1"/>
  <c r="C250" i="1"/>
  <c r="C3107" i="1"/>
  <c r="C3106" i="1"/>
  <c r="C1967" i="1"/>
  <c r="C3105" i="1"/>
  <c r="C1966" i="1"/>
  <c r="C6396" i="1"/>
  <c r="C249" i="1"/>
  <c r="C3104" i="1"/>
  <c r="C248" i="1"/>
  <c r="C1965" i="1"/>
  <c r="C247" i="1"/>
  <c r="C246" i="1"/>
  <c r="C2612" i="1"/>
  <c r="C3103" i="1"/>
  <c r="C3102" i="1"/>
  <c r="C3101" i="1"/>
  <c r="C3100" i="1"/>
  <c r="C3099" i="1"/>
  <c r="C3098" i="1"/>
  <c r="C245" i="1"/>
  <c r="C3097" i="1"/>
  <c r="C3096" i="1"/>
  <c r="C244" i="1"/>
  <c r="C1964" i="1"/>
  <c r="C1963" i="1"/>
  <c r="C3095" i="1"/>
  <c r="C3094" i="1"/>
  <c r="C5956" i="1"/>
  <c r="C243" i="1"/>
  <c r="C5955" i="1"/>
  <c r="C242" i="1"/>
  <c r="C1962" i="1"/>
  <c r="C241" i="1"/>
  <c r="C3093" i="1"/>
  <c r="C6395" i="1"/>
  <c r="C3092" i="1"/>
  <c r="C3091" i="1"/>
  <c r="C240" i="1"/>
  <c r="C239" i="1"/>
  <c r="C3090" i="1"/>
  <c r="C6394" i="1"/>
  <c r="C5954" i="1"/>
  <c r="C3089" i="1"/>
  <c r="C3088" i="1"/>
  <c r="C3087" i="1"/>
  <c r="C3086" i="1"/>
  <c r="C3085" i="1"/>
  <c r="C238" i="1"/>
  <c r="C1961" i="1"/>
  <c r="C237" i="1"/>
  <c r="C1960" i="1"/>
  <c r="C2611" i="1"/>
  <c r="C236" i="1"/>
  <c r="C235" i="1"/>
  <c r="C6393" i="1"/>
  <c r="C234" i="1"/>
  <c r="C1959" i="1"/>
  <c r="C233" i="1"/>
  <c r="C3084" i="1"/>
  <c r="C3083" i="1"/>
  <c r="C3082" i="1"/>
  <c r="C3081" i="1"/>
  <c r="C1958" i="1"/>
  <c r="C232" i="1"/>
  <c r="C3080" i="1"/>
  <c r="C231" i="1"/>
  <c r="C1957" i="1"/>
  <c r="C1956" i="1"/>
  <c r="C1955" i="1"/>
  <c r="C230" i="1"/>
  <c r="C3079" i="1"/>
  <c r="C3078" i="1"/>
  <c r="C229" i="1"/>
  <c r="C1954" i="1"/>
  <c r="C1953" i="1"/>
  <c r="C228" i="1"/>
  <c r="C227" i="1"/>
  <c r="C3077" i="1"/>
  <c r="C226" i="1"/>
  <c r="C1952" i="1"/>
  <c r="C6328" i="1"/>
  <c r="C5953" i="1"/>
  <c r="C1951" i="1"/>
  <c r="C5952" i="1"/>
  <c r="C1950" i="1"/>
  <c r="C225" i="1"/>
  <c r="C224" i="1"/>
  <c r="C223" i="1"/>
  <c r="C222" i="1"/>
  <c r="C3076" i="1"/>
  <c r="C3075" i="1"/>
  <c r="C3074" i="1"/>
  <c r="C3073" i="1"/>
  <c r="C221" i="1"/>
  <c r="C6392" i="1"/>
  <c r="C1949" i="1"/>
  <c r="C3072" i="1"/>
  <c r="C3071" i="1"/>
  <c r="C3070" i="1"/>
  <c r="C3069" i="1"/>
  <c r="C3068" i="1"/>
  <c r="C3067" i="1"/>
  <c r="C3066" i="1"/>
  <c r="C3065" i="1"/>
  <c r="C3064" i="1"/>
  <c r="C1948" i="1"/>
  <c r="C3063" i="1"/>
  <c r="C3062" i="1"/>
  <c r="C3061" i="1"/>
  <c r="C3060" i="1"/>
  <c r="C3059" i="1"/>
  <c r="C1947" i="1"/>
  <c r="C3058" i="1"/>
  <c r="C3057" i="1"/>
  <c r="C3056" i="1"/>
  <c r="C220" i="1"/>
  <c r="C3055" i="1"/>
  <c r="C219" i="1"/>
  <c r="C3054" i="1"/>
  <c r="C3053" i="1"/>
  <c r="C218" i="1"/>
  <c r="C3052" i="1"/>
  <c r="C217" i="1"/>
  <c r="C5951" i="1"/>
  <c r="C216" i="1"/>
  <c r="C215" i="1"/>
  <c r="C214" i="1"/>
  <c r="C213" i="1"/>
  <c r="C212" i="1"/>
  <c r="C3051" i="1"/>
  <c r="C3050" i="1"/>
  <c r="C211" i="1"/>
  <c r="C3049" i="1"/>
  <c r="C3048" i="1"/>
  <c r="C3047" i="1"/>
  <c r="C210" i="1"/>
  <c r="C3046" i="1"/>
  <c r="C3045" i="1"/>
  <c r="C1946" i="1"/>
  <c r="C3044" i="1"/>
  <c r="C209" i="1"/>
  <c r="C1945" i="1"/>
  <c r="C208" i="1"/>
  <c r="C207" i="1"/>
  <c r="C3043" i="1"/>
  <c r="C1944" i="1"/>
  <c r="C3042" i="1"/>
  <c r="C3041" i="1"/>
  <c r="C206" i="1"/>
  <c r="C3040" i="1"/>
  <c r="C3039" i="1"/>
  <c r="C3038" i="1"/>
  <c r="C3037" i="1"/>
  <c r="C3036" i="1"/>
  <c r="C3035" i="1"/>
  <c r="C3034" i="1"/>
  <c r="C3033" i="1"/>
  <c r="C3032" i="1"/>
  <c r="C3031" i="1"/>
  <c r="C5950" i="1"/>
  <c r="C1943" i="1"/>
  <c r="C5949" i="1"/>
  <c r="C5948" i="1"/>
  <c r="C1942" i="1"/>
  <c r="C1941" i="1"/>
  <c r="C3030" i="1"/>
  <c r="C1940" i="1"/>
  <c r="C6391" i="1"/>
  <c r="C3029" i="1"/>
  <c r="C3028" i="1"/>
  <c r="C3027" i="1"/>
  <c r="C205" i="1"/>
  <c r="C3026" i="1"/>
  <c r="C3025" i="1"/>
  <c r="C3024" i="1"/>
  <c r="C1939" i="1"/>
  <c r="C204" i="1"/>
  <c r="C3023" i="1"/>
  <c r="C3022" i="1"/>
  <c r="C3021" i="1"/>
  <c r="C203" i="1"/>
  <c r="C3020" i="1"/>
  <c r="C5947" i="1"/>
  <c r="C5946" i="1"/>
  <c r="C202" i="1"/>
  <c r="C3019" i="1"/>
  <c r="C5945" i="1"/>
  <c r="C5944" i="1"/>
  <c r="C1938" i="1"/>
  <c r="C3018" i="1"/>
  <c r="C3017" i="1"/>
  <c r="C3016" i="1"/>
  <c r="C3015" i="1"/>
  <c r="C3014" i="1"/>
  <c r="C1937" i="1"/>
  <c r="C3013" i="1"/>
  <c r="C201" i="1"/>
  <c r="C3012" i="1"/>
  <c r="C1936" i="1"/>
  <c r="C5943" i="1"/>
  <c r="C1935" i="1"/>
  <c r="C3011" i="1"/>
  <c r="C3010" i="1"/>
  <c r="C3009" i="1"/>
  <c r="C3008" i="1"/>
  <c r="C3007" i="1"/>
  <c r="C3006" i="1"/>
  <c r="C3005" i="1"/>
  <c r="C200" i="1"/>
  <c r="C5942" i="1"/>
  <c r="C3004" i="1"/>
  <c r="C3003" i="1"/>
  <c r="C3002" i="1"/>
  <c r="C199" i="1"/>
  <c r="C5941" i="1"/>
  <c r="C3001" i="1"/>
  <c r="C1934" i="1"/>
  <c r="C3000" i="1"/>
  <c r="C2999" i="1"/>
  <c r="C1933" i="1"/>
  <c r="C1932" i="1"/>
  <c r="C5940" i="1"/>
  <c r="C2998" i="1"/>
  <c r="C2610" i="1"/>
  <c r="C198" i="1"/>
  <c r="C2997" i="1"/>
  <c r="C2996" i="1"/>
  <c r="C1931" i="1"/>
  <c r="C197" i="1"/>
  <c r="C2995" i="1"/>
  <c r="C1930" i="1"/>
  <c r="C1929" i="1"/>
  <c r="C2994" i="1"/>
  <c r="C1928" i="1"/>
  <c r="C196" i="1"/>
  <c r="C195" i="1"/>
  <c r="C194" i="1"/>
  <c r="C5939" i="1"/>
  <c r="C193" i="1"/>
  <c r="C192" i="1"/>
  <c r="C191" i="1"/>
  <c r="C190" i="1"/>
  <c r="C2993" i="1"/>
  <c r="C189" i="1"/>
  <c r="C2992" i="1"/>
  <c r="C188" i="1"/>
  <c r="C187" i="1"/>
  <c r="C2991" i="1"/>
  <c r="C2990" i="1"/>
  <c r="C2989" i="1"/>
  <c r="C2988" i="1"/>
  <c r="C2987" i="1"/>
  <c r="C5938" i="1"/>
  <c r="C2986" i="1"/>
  <c r="C2985" i="1"/>
  <c r="C186" i="1"/>
  <c r="C5937" i="1"/>
  <c r="C2984" i="1"/>
  <c r="C185" i="1"/>
  <c r="C2983" i="1"/>
  <c r="C184" i="1"/>
  <c r="C2982" i="1"/>
  <c r="C183" i="1"/>
  <c r="C1927" i="1"/>
  <c r="C2981" i="1"/>
  <c r="C1926" i="1"/>
  <c r="C1925" i="1"/>
  <c r="C2980" i="1"/>
  <c r="C182" i="1"/>
  <c r="C1924" i="1"/>
  <c r="C1923" i="1"/>
  <c r="C2979" i="1"/>
  <c r="C1922" i="1"/>
  <c r="C2609" i="1"/>
  <c r="C2978" i="1"/>
  <c r="C2977" i="1"/>
  <c r="C5936" i="1"/>
  <c r="C1921" i="1"/>
  <c r="C5935" i="1"/>
  <c r="C181" i="1"/>
  <c r="C180" i="1"/>
  <c r="C2976" i="1"/>
  <c r="C2975" i="1"/>
  <c r="C1920" i="1"/>
  <c r="C179" i="1"/>
  <c r="C2974" i="1"/>
  <c r="C178" i="1"/>
  <c r="C2973" i="1"/>
  <c r="C1919" i="1"/>
  <c r="C177" i="1"/>
  <c r="C176" i="1"/>
  <c r="C175" i="1"/>
  <c r="C2972" i="1"/>
  <c r="C1918" i="1"/>
  <c r="C1917" i="1"/>
  <c r="C174" i="1"/>
  <c r="C1916" i="1"/>
  <c r="C2971" i="1"/>
  <c r="C2970" i="1"/>
  <c r="C2969" i="1"/>
  <c r="C2968" i="1"/>
  <c r="C2967" i="1"/>
  <c r="C2966" i="1"/>
  <c r="C2965" i="1"/>
  <c r="C5934" i="1"/>
  <c r="C1915" i="1"/>
  <c r="C2964" i="1"/>
  <c r="C2963" i="1"/>
  <c r="C2962" i="1"/>
  <c r="C173" i="1"/>
  <c r="C172" i="1"/>
  <c r="C2961" i="1"/>
  <c r="C2960" i="1"/>
  <c r="C5933" i="1"/>
  <c r="C171" i="1"/>
  <c r="C5932" i="1"/>
  <c r="C2959" i="1"/>
  <c r="C2958" i="1"/>
  <c r="C2957" i="1"/>
  <c r="C2956" i="1"/>
  <c r="C170" i="1"/>
  <c r="C169" i="1"/>
  <c r="C2955" i="1"/>
  <c r="C6390" i="1"/>
  <c r="C168" i="1"/>
  <c r="C2954" i="1"/>
  <c r="C2953" i="1"/>
  <c r="C2952" i="1"/>
  <c r="C167" i="1"/>
  <c r="C2951" i="1"/>
  <c r="C1914" i="1"/>
  <c r="C166" i="1"/>
  <c r="C2950" i="1"/>
  <c r="C2949" i="1"/>
  <c r="C2948" i="1"/>
  <c r="C2947" i="1"/>
  <c r="C1913" i="1"/>
  <c r="C2946" i="1"/>
  <c r="C2945" i="1"/>
  <c r="C2944" i="1"/>
  <c r="C2943" i="1"/>
  <c r="C2942" i="1"/>
  <c r="C165" i="1"/>
  <c r="C164" i="1"/>
  <c r="C2941" i="1"/>
  <c r="C2940" i="1"/>
  <c r="C163" i="1"/>
  <c r="C2939" i="1"/>
  <c r="C2938" i="1"/>
  <c r="C2937" i="1"/>
  <c r="C2936" i="1"/>
  <c r="C2935" i="1"/>
  <c r="C2934" i="1"/>
  <c r="C162" i="1"/>
  <c r="C161" i="1"/>
  <c r="C1912" i="1"/>
  <c r="C2933" i="1"/>
  <c r="C2932" i="1"/>
  <c r="C2931" i="1"/>
  <c r="C2930" i="1"/>
  <c r="C2929" i="1"/>
  <c r="C160" i="1"/>
  <c r="C159" i="1"/>
  <c r="C158" i="1"/>
  <c r="C2928" i="1"/>
  <c r="C157" i="1"/>
  <c r="C1911" i="1"/>
  <c r="C2927" i="1"/>
  <c r="C156" i="1"/>
  <c r="C155" i="1"/>
  <c r="C154" i="1"/>
  <c r="C2926" i="1"/>
  <c r="C153" i="1"/>
  <c r="C1910" i="1"/>
  <c r="C2925" i="1"/>
  <c r="C2924" i="1"/>
  <c r="C152" i="1"/>
  <c r="C1909" i="1"/>
  <c r="C1908" i="1"/>
  <c r="C1907" i="1"/>
  <c r="C1906" i="1"/>
  <c r="C1905" i="1"/>
  <c r="C2923" i="1"/>
  <c r="C6327" i="1"/>
  <c r="C151" i="1"/>
  <c r="C5931" i="1"/>
  <c r="C1904" i="1"/>
  <c r="C2922" i="1"/>
  <c r="C2608" i="1"/>
  <c r="C2921" i="1"/>
  <c r="C2920" i="1"/>
  <c r="C150" i="1"/>
  <c r="C149" i="1"/>
  <c r="C148" i="1"/>
  <c r="C147" i="1"/>
  <c r="C2919" i="1"/>
  <c r="C6389" i="1"/>
  <c r="C1903" i="1"/>
  <c r="C1902" i="1"/>
  <c r="C146" i="1"/>
  <c r="C145" i="1"/>
  <c r="C2918" i="1"/>
  <c r="C144" i="1"/>
  <c r="C5930" i="1"/>
  <c r="C6388" i="1"/>
  <c r="C2917" i="1"/>
  <c r="C6387" i="1"/>
  <c r="C5929" i="1"/>
  <c r="C2916" i="1"/>
  <c r="C143" i="1"/>
  <c r="C2915" i="1"/>
  <c r="C5928" i="1"/>
  <c r="C2914" i="1"/>
  <c r="C2913" i="1"/>
  <c r="C142" i="1"/>
  <c r="C2912" i="1"/>
  <c r="C2911" i="1"/>
  <c r="C141" i="1"/>
  <c r="C140" i="1"/>
  <c r="C2910" i="1"/>
  <c r="C1901" i="1"/>
  <c r="C1900" i="1"/>
  <c r="C139" i="1"/>
  <c r="C2909" i="1"/>
  <c r="C2908" i="1"/>
  <c r="C2907" i="1"/>
  <c r="C138" i="1"/>
  <c r="C6386" i="1"/>
  <c r="C2906" i="1"/>
  <c r="C2905" i="1"/>
  <c r="C2904" i="1"/>
  <c r="C5927" i="1"/>
  <c r="C137" i="1"/>
  <c r="C136" i="1"/>
  <c r="C2903" i="1"/>
  <c r="C135" i="1"/>
  <c r="C134" i="1"/>
  <c r="C133" i="1"/>
  <c r="C132" i="1"/>
  <c r="C2902" i="1"/>
  <c r="C1899" i="1"/>
  <c r="C131" i="1"/>
  <c r="C130" i="1"/>
  <c r="C1898" i="1"/>
  <c r="C6326" i="1"/>
  <c r="C2901" i="1"/>
  <c r="C1897" i="1"/>
  <c r="C129" i="1"/>
  <c r="C2900" i="1"/>
  <c r="C128" i="1"/>
  <c r="C2899" i="1"/>
  <c r="C5926" i="1"/>
  <c r="C127" i="1"/>
  <c r="C2898" i="1"/>
  <c r="C126" i="1"/>
  <c r="C1896" i="1"/>
  <c r="C2897" i="1"/>
  <c r="C2896" i="1"/>
  <c r="C2895" i="1"/>
  <c r="C2894" i="1"/>
  <c r="C2893" i="1"/>
  <c r="C1895" i="1"/>
  <c r="C125" i="1"/>
  <c r="C2892" i="1"/>
  <c r="C124" i="1"/>
  <c r="C2891" i="1"/>
  <c r="C2890" i="1"/>
  <c r="C5925" i="1"/>
  <c r="C123" i="1"/>
  <c r="C1894" i="1"/>
  <c r="C2889" i="1"/>
  <c r="C5907" i="1"/>
  <c r="C2888" i="1"/>
  <c r="C2887" i="1"/>
  <c r="C5924" i="1"/>
  <c r="C2886" i="1"/>
  <c r="C2885" i="1"/>
  <c r="C122" i="1"/>
  <c r="C2884" i="1"/>
  <c r="C2883" i="1"/>
  <c r="C2882" i="1"/>
  <c r="C2881" i="1"/>
  <c r="C2880" i="1"/>
  <c r="C2879" i="1"/>
  <c r="C121" i="1"/>
  <c r="C2607" i="1"/>
  <c r="C1893" i="1"/>
  <c r="C1892" i="1"/>
  <c r="C120" i="1"/>
  <c r="C119" i="1"/>
  <c r="C118" i="1"/>
  <c r="C2878" i="1"/>
  <c r="C2877" i="1"/>
  <c r="C2876" i="1"/>
  <c r="C2875" i="1"/>
  <c r="C117" i="1"/>
  <c r="C1891" i="1"/>
  <c r="C1890" i="1"/>
  <c r="C1889" i="1"/>
  <c r="C1888" i="1"/>
  <c r="C2874" i="1"/>
  <c r="C2873" i="1"/>
  <c r="C2872" i="1"/>
  <c r="C2871" i="1"/>
  <c r="C116" i="1"/>
  <c r="C1887" i="1"/>
  <c r="C115" i="1"/>
  <c r="C2870" i="1"/>
  <c r="C114" i="1"/>
  <c r="C113" i="1"/>
  <c r="C1886" i="1"/>
  <c r="C112" i="1"/>
  <c r="C2869" i="1"/>
  <c r="C111" i="1"/>
  <c r="C1885" i="1"/>
  <c r="C1884" i="1"/>
  <c r="C2868" i="1"/>
  <c r="C2867" i="1"/>
  <c r="C110" i="1"/>
  <c r="C109" i="1"/>
  <c r="C6325" i="1"/>
  <c r="C108" i="1"/>
  <c r="C107" i="1"/>
  <c r="C2866" i="1"/>
  <c r="C2865" i="1"/>
  <c r="C106" i="1"/>
  <c r="C2864" i="1"/>
  <c r="C2863" i="1"/>
  <c r="C2862" i="1"/>
  <c r="C2861" i="1"/>
  <c r="C2860" i="1"/>
  <c r="C2859" i="1"/>
  <c r="C105" i="1"/>
  <c r="C104" i="1"/>
  <c r="C103" i="1"/>
  <c r="C2858" i="1"/>
  <c r="C2857" i="1"/>
  <c r="C2856" i="1"/>
  <c r="C2855" i="1"/>
  <c r="C2854" i="1"/>
  <c r="C102" i="1"/>
  <c r="C2853" i="1"/>
  <c r="C5923" i="1"/>
  <c r="C101" i="1"/>
  <c r="C5922" i="1"/>
  <c r="C2852" i="1"/>
  <c r="C100" i="1"/>
  <c r="C99" i="1"/>
  <c r="C2851" i="1"/>
  <c r="C2606" i="1"/>
  <c r="C2605" i="1"/>
  <c r="C2604" i="1"/>
  <c r="C2850" i="1"/>
  <c r="C2849" i="1"/>
  <c r="C5921" i="1"/>
  <c r="C2848" i="1"/>
  <c r="C2847" i="1"/>
  <c r="C2846" i="1"/>
  <c r="C2845" i="1"/>
  <c r="C1883" i="1"/>
  <c r="C6385" i="1"/>
  <c r="C2844" i="1"/>
  <c r="C2843" i="1"/>
  <c r="C1882" i="1"/>
  <c r="C2842" i="1"/>
  <c r="C1881" i="1"/>
  <c r="C2841" i="1"/>
  <c r="C2840" i="1"/>
  <c r="C2839" i="1"/>
  <c r="C2838" i="1"/>
  <c r="C2837" i="1"/>
  <c r="C5920" i="1"/>
  <c r="C2836" i="1"/>
  <c r="C2835" i="1"/>
  <c r="C2834" i="1"/>
  <c r="C2833" i="1"/>
  <c r="C2832" i="1"/>
  <c r="C2831" i="1"/>
  <c r="C2830" i="1"/>
  <c r="C2829" i="1"/>
  <c r="C98" i="1"/>
  <c r="C97" i="1"/>
  <c r="C1880" i="1"/>
  <c r="C5919" i="1"/>
  <c r="C1879" i="1"/>
  <c r="C1878" i="1"/>
  <c r="C1877" i="1"/>
  <c r="C96" i="1"/>
  <c r="C95" i="1"/>
  <c r="C1876" i="1"/>
  <c r="C6384" i="1"/>
  <c r="C94" i="1"/>
  <c r="C1875" i="1"/>
  <c r="C1874" i="1"/>
  <c r="C2828" i="1"/>
  <c r="C93" i="1"/>
  <c r="C2827" i="1"/>
  <c r="C5918" i="1"/>
  <c r="C2826" i="1"/>
  <c r="C1873" i="1"/>
  <c r="C1872" i="1"/>
  <c r="C92" i="1"/>
  <c r="C2825" i="1"/>
  <c r="C91" i="1"/>
  <c r="C2824" i="1"/>
  <c r="C2823" i="1"/>
  <c r="C1871" i="1"/>
  <c r="C1870" i="1"/>
  <c r="C1869" i="1"/>
  <c r="C1868" i="1"/>
  <c r="C1867" i="1"/>
  <c r="C1866" i="1"/>
  <c r="C1865" i="1"/>
  <c r="C90" i="1"/>
  <c r="C89" i="1"/>
  <c r="C1864" i="1"/>
  <c r="C1863" i="1"/>
  <c r="C2822" i="1"/>
  <c r="C5917" i="1"/>
  <c r="C5916" i="1"/>
  <c r="C1862" i="1"/>
  <c r="C6383" i="1"/>
  <c r="C2821" i="1"/>
  <c r="C2820" i="1"/>
  <c r="C2819" i="1"/>
  <c r="C2818" i="1"/>
  <c r="C2817" i="1"/>
  <c r="C2603" i="1"/>
  <c r="C2602" i="1"/>
  <c r="C1861" i="1"/>
  <c r="C1860" i="1"/>
  <c r="C88" i="1"/>
  <c r="C2816" i="1"/>
  <c r="C2815" i="1"/>
  <c r="C1859" i="1"/>
  <c r="C87" i="1"/>
  <c r="C2814" i="1"/>
  <c r="C86" i="1"/>
  <c r="C85" i="1"/>
  <c r="C84" i="1"/>
  <c r="C83" i="1"/>
  <c r="C2813" i="1"/>
  <c r="C2812" i="1"/>
  <c r="C2811" i="1"/>
  <c r="C82" i="1"/>
  <c r="C6382" i="1"/>
  <c r="C6381" i="1"/>
  <c r="C6380" i="1"/>
  <c r="C81" i="1"/>
  <c r="C80" i="1"/>
  <c r="C2810" i="1"/>
  <c r="C2809" i="1"/>
  <c r="C79" i="1"/>
  <c r="C78" i="1"/>
  <c r="C77" i="1"/>
  <c r="C76" i="1"/>
  <c r="C2808" i="1"/>
  <c r="C2807" i="1"/>
  <c r="C2806" i="1"/>
  <c r="C2805" i="1"/>
  <c r="C75" i="1"/>
  <c r="C2804" i="1"/>
  <c r="C2803" i="1"/>
  <c r="C74" i="1"/>
  <c r="C73" i="1"/>
  <c r="C5915" i="1"/>
  <c r="C2802" i="1"/>
  <c r="C72" i="1"/>
  <c r="C2801" i="1"/>
  <c r="C1858" i="1"/>
  <c r="C71" i="1"/>
  <c r="C2800" i="1"/>
  <c r="C70" i="1"/>
  <c r="C69" i="1"/>
  <c r="C2799" i="1"/>
  <c r="C2798" i="1"/>
  <c r="C68" i="1"/>
  <c r="C1857" i="1"/>
  <c r="C2797" i="1"/>
  <c r="C2601" i="1"/>
  <c r="C1856" i="1"/>
  <c r="C67" i="1"/>
  <c r="C2796" i="1"/>
  <c r="C2795" i="1"/>
  <c r="C66" i="1"/>
  <c r="C2794" i="1"/>
  <c r="C2793" i="1"/>
  <c r="C2792" i="1"/>
  <c r="C2791" i="1"/>
  <c r="C65" i="1"/>
  <c r="C64" i="1"/>
  <c r="C63" i="1"/>
  <c r="C62" i="1"/>
  <c r="C6379" i="1"/>
  <c r="C6378" i="1"/>
  <c r="C2790" i="1"/>
  <c r="C2789" i="1"/>
  <c r="C2788" i="1"/>
  <c r="C2787" i="1"/>
  <c r="C2786" i="1"/>
  <c r="C61" i="1"/>
  <c r="C2785" i="1"/>
  <c r="C2784" i="1"/>
  <c r="C2783" i="1"/>
  <c r="C2782" i="1"/>
  <c r="C60" i="1"/>
  <c r="C2781" i="1"/>
  <c r="C59" i="1"/>
  <c r="C58" i="1"/>
  <c r="C2780" i="1"/>
  <c r="C57" i="1"/>
  <c r="C2779" i="1"/>
  <c r="C56" i="1"/>
  <c r="C2778" i="1"/>
  <c r="C2777" i="1"/>
  <c r="C55" i="1"/>
  <c r="C54" i="1"/>
  <c r="C53" i="1"/>
  <c r="C52" i="1"/>
  <c r="C1855" i="1"/>
  <c r="C2776" i="1"/>
  <c r="C2775" i="1"/>
  <c r="C2774" i="1"/>
  <c r="C51" i="1"/>
  <c r="C2773" i="1"/>
  <c r="C2772" i="1"/>
  <c r="C50" i="1"/>
  <c r="C2771" i="1"/>
  <c r="C2770" i="1"/>
  <c r="C2769" i="1"/>
  <c r="C5914" i="1"/>
  <c r="C2768" i="1"/>
  <c r="C2600" i="1"/>
  <c r="C49" i="1"/>
  <c r="C1854" i="1"/>
  <c r="C1853" i="1"/>
  <c r="C1852" i="1"/>
  <c r="C2767" i="1"/>
  <c r="C2766" i="1"/>
  <c r="C48" i="1"/>
  <c r="C47" i="1"/>
  <c r="C46" i="1"/>
  <c r="C1851" i="1"/>
  <c r="C45" i="1"/>
  <c r="C1850" i="1"/>
  <c r="C2765" i="1"/>
  <c r="C44" i="1"/>
  <c r="C43" i="1"/>
  <c r="C5913" i="1"/>
  <c r="C2764" i="1"/>
  <c r="C2763" i="1"/>
  <c r="C1849" i="1"/>
  <c r="C1848" i="1"/>
  <c r="C1847" i="1"/>
  <c r="C2762" i="1"/>
  <c r="C42" i="1"/>
  <c r="C41" i="1"/>
  <c r="C40" i="1"/>
  <c r="C39" i="1"/>
  <c r="C1846" i="1"/>
  <c r="C2761" i="1"/>
  <c r="C38" i="1"/>
  <c r="C37" i="1"/>
  <c r="C2760" i="1"/>
  <c r="C36" i="1"/>
  <c r="C2759" i="1"/>
  <c r="C35" i="1"/>
  <c r="C2758" i="1"/>
  <c r="C34" i="1"/>
  <c r="C33" i="1"/>
  <c r="C1845" i="1"/>
  <c r="C2757" i="1"/>
  <c r="C6377" i="1"/>
  <c r="C2756" i="1"/>
  <c r="C32" i="1"/>
  <c r="C2755" i="1"/>
  <c r="C2754" i="1"/>
  <c r="C5912" i="1"/>
  <c r="C2753" i="1"/>
  <c r="C2752" i="1"/>
  <c r="C5911" i="1"/>
  <c r="C2751" i="1"/>
  <c r="C2750" i="1"/>
  <c r="C2749" i="1"/>
  <c r="C2748" i="1"/>
  <c r="C2747" i="1"/>
  <c r="C2599" i="1"/>
  <c r="C31" i="1"/>
  <c r="C30" i="1"/>
  <c r="C29" i="1"/>
  <c r="C2746" i="1"/>
  <c r="C2745" i="1"/>
  <c r="C28" i="1"/>
  <c r="C2744" i="1"/>
  <c r="C2743" i="1"/>
  <c r="C27" i="1"/>
  <c r="C2742" i="1"/>
  <c r="C2741" i="1"/>
  <c r="C26" i="1"/>
  <c r="C2740" i="1"/>
  <c r="C2739" i="1"/>
  <c r="C2738" i="1"/>
  <c r="C25" i="1"/>
  <c r="C24" i="1"/>
  <c r="C2737" i="1"/>
  <c r="C23" i="1"/>
  <c r="C2736" i="1"/>
  <c r="C2735" i="1"/>
  <c r="C2734" i="1"/>
  <c r="C2733" i="1"/>
  <c r="C2732" i="1"/>
  <c r="C2731" i="1"/>
  <c r="C1844" i="1"/>
  <c r="C2730" i="1"/>
  <c r="C22" i="1"/>
  <c r="C1843" i="1"/>
  <c r="C2729" i="1"/>
  <c r="C2728" i="1"/>
  <c r="C1842" i="1"/>
  <c r="C21" i="1"/>
  <c r="C2727" i="1"/>
  <c r="C2726" i="1"/>
  <c r="C2725" i="1"/>
  <c r="C1841" i="1"/>
  <c r="C1840" i="1"/>
  <c r="C2724" i="1"/>
  <c r="C2723" i="1"/>
  <c r="C2722" i="1"/>
  <c r="C6376" i="1"/>
  <c r="C2721" i="1"/>
  <c r="C2720" i="1"/>
  <c r="C2719" i="1"/>
  <c r="C2718" i="1"/>
  <c r="C2717" i="1"/>
  <c r="C2716" i="1"/>
  <c r="C20" i="1"/>
  <c r="C2715" i="1"/>
  <c r="C19" i="1"/>
  <c r="C1839" i="1"/>
  <c r="C18" i="1"/>
  <c r="C17" i="1"/>
  <c r="C2714" i="1"/>
  <c r="C2713" i="1"/>
  <c r="C16" i="1"/>
  <c r="C2712" i="1"/>
  <c r="C2711" i="1"/>
  <c r="C15" i="1"/>
  <c r="C2710" i="1"/>
  <c r="C2709" i="1"/>
  <c r="C2708" i="1"/>
  <c r="C2707" i="1"/>
  <c r="C1838" i="1"/>
  <c r="C1837" i="1"/>
  <c r="C14" i="1"/>
  <c r="C2706" i="1"/>
  <c r="C2705" i="1"/>
  <c r="C2704" i="1"/>
  <c r="C2703" i="1"/>
  <c r="C13" i="1"/>
  <c r="C12" i="1"/>
  <c r="C11" i="1"/>
  <c r="C2702" i="1"/>
  <c r="C1836" i="1"/>
  <c r="C1835" i="1"/>
  <c r="C1834" i="1"/>
  <c r="C1833" i="1"/>
  <c r="C1832" i="1"/>
  <c r="C2701" i="1"/>
  <c r="C2700" i="1"/>
  <c r="C2699" i="1"/>
  <c r="C2698" i="1"/>
  <c r="C2697" i="1"/>
  <c r="C2696" i="1"/>
  <c r="C2695" i="1"/>
  <c r="C2694" i="1"/>
  <c r="C6375" i="1"/>
  <c r="C2693" i="1"/>
  <c r="C10" i="1"/>
  <c r="C5910" i="1"/>
  <c r="C9" i="1"/>
  <c r="C8" i="1"/>
  <c r="C7" i="1"/>
  <c r="C2692" i="1"/>
  <c r="C2691" i="1"/>
  <c r="C2690" i="1"/>
  <c r="C6" i="1"/>
  <c r="C5" i="1"/>
  <c r="C4" i="1"/>
  <c r="C3" i="1"/>
  <c r="C6374" i="1"/>
  <c r="C2689" i="1"/>
  <c r="C2" i="1"/>
  <c r="C2598" i="1"/>
  <c r="C2597" i="1"/>
  <c r="C2596" i="1"/>
  <c r="C2688" i="1"/>
</calcChain>
</file>

<file path=xl/sharedStrings.xml><?xml version="1.0" encoding="utf-8"?>
<sst xmlns="http://schemas.openxmlformats.org/spreadsheetml/2006/main" count="26497" uniqueCount="1279">
  <si>
    <t>CRAFT MARKET AT RIVERSIDE</t>
  </si>
  <si>
    <t>Coaster</t>
  </si>
  <si>
    <t>HUDSONS NORTH SIDE GRILLE</t>
  </si>
  <si>
    <t>jmeharg</t>
  </si>
  <si>
    <t>Stoneface - IPA</t>
  </si>
  <si>
    <t>scamuso</t>
  </si>
  <si>
    <t>TEMPESTA'S</t>
  </si>
  <si>
    <t>Downeast - Pomegranate</t>
  </si>
  <si>
    <t>SMOKE HAUS</t>
  </si>
  <si>
    <t>Able - Lady of the Lake</t>
  </si>
  <si>
    <t>SHAW'S #4555 - W.LEB</t>
  </si>
  <si>
    <t>HARLOWS PUBLIC HOUSE</t>
  </si>
  <si>
    <t>DERRY SALEM ELKS 2226</t>
  </si>
  <si>
    <t>APPLESEED LAKESIDE REST</t>
  </si>
  <si>
    <t>BBCO - Wizard</t>
  </si>
  <si>
    <t>Fiddlehead - White</t>
  </si>
  <si>
    <t>ALAMO TEXAS BAR-B-QUE &amp; TEQUILA BAR</t>
  </si>
  <si>
    <t>ITALIAN CLUB</t>
  </si>
  <si>
    <t>MARKET BASKET #39 NASHUA - NORTHWEST BLVD</t>
  </si>
  <si>
    <t>PETER CHRISTIANS TAVERN</t>
  </si>
  <si>
    <t>POOR THOMS TAVERN</t>
  </si>
  <si>
    <t>603 Brew - Mitz RIS</t>
  </si>
  <si>
    <t>New Belgium - Fat Tire</t>
  </si>
  <si>
    <t>SHAW'S #2492 - MILFORD</t>
  </si>
  <si>
    <t>von Trapp - Pilsner</t>
  </si>
  <si>
    <t>CROTCHED MOUNTAIN SKI AREA</t>
  </si>
  <si>
    <t>MONADNOCK COUNTRY CLUB</t>
  </si>
  <si>
    <t>HANOVER INN</t>
  </si>
  <si>
    <t>Concord Craft - Irish Stout</t>
  </si>
  <si>
    <t>Henniker - Flap Jack</t>
  </si>
  <si>
    <t>603 Brew - Seltzer Black Cherry</t>
  </si>
  <si>
    <t>Maine Beer Co - Red IPA</t>
  </si>
  <si>
    <t>SAWTOOTH KITCHEN LLC</t>
  </si>
  <si>
    <t>Upper Pass - First Drop</t>
  </si>
  <si>
    <t>603 Brew - APL</t>
  </si>
  <si>
    <t>COMMON MAN - CLAREMONT</t>
  </si>
  <si>
    <t>HIDDEN PIG (THE)</t>
  </si>
  <si>
    <t>NASHUA CONVENIENCE</t>
  </si>
  <si>
    <t>SANDRI STOP MART - KEENE</t>
  </si>
  <si>
    <t>BBCO - Phantom Glow</t>
  </si>
  <si>
    <t>NH-VT SMOKE &amp; BEVERAGE OUTLET INC</t>
  </si>
  <si>
    <t>Henniker - Flyway</t>
  </si>
  <si>
    <t>Henniker - Picnic</t>
  </si>
  <si>
    <t>ATHEN'S PIZZA</t>
  </si>
  <si>
    <t>Austin Street - Patina</t>
  </si>
  <si>
    <t>T-BIRD MINI MART - CLAREMONT-WASHINGTON ST</t>
  </si>
  <si>
    <t>GIABELLA'S</t>
  </si>
  <si>
    <t>Stoneface - Crown Shy</t>
  </si>
  <si>
    <t>Henniker - Kolsch</t>
  </si>
  <si>
    <t>NEWPORT VETERAN'S CLUB</t>
  </si>
  <si>
    <t>tjebol</t>
  </si>
  <si>
    <t>Mas+ by Messi</t>
  </si>
  <si>
    <t>CASA VIEJA MEXICAN GRILL</t>
  </si>
  <si>
    <t>Founders - Nitro Rubaeus Rasp Ale</t>
  </si>
  <si>
    <t>Wormtown - Yard Party</t>
  </si>
  <si>
    <t>DOWD'S COUNTRY INN &amp; LATHAM HOUSE TAVERN</t>
  </si>
  <si>
    <t>SAKE HOUSE</t>
  </si>
  <si>
    <t>Citizen Cider - Juicy Haze</t>
  </si>
  <si>
    <t>Gold Road Belgian White</t>
  </si>
  <si>
    <t>Brand</t>
  </si>
  <si>
    <t>Bud Light</t>
  </si>
  <si>
    <t>Henniker - First One Today</t>
  </si>
  <si>
    <t>jcaron</t>
  </si>
  <si>
    <t>Mighty Squirrel - Cloud Candy</t>
  </si>
  <si>
    <t>sshaunessy</t>
  </si>
  <si>
    <t>jmorse</t>
  </si>
  <si>
    <t>Jack's Abby - Porch Fest</t>
  </si>
  <si>
    <t>Ryse Energy + Protein</t>
  </si>
  <si>
    <t>MARKET BASKET #06 SALEM</t>
  </si>
  <si>
    <t>Fiddlehead - IPA</t>
  </si>
  <si>
    <t>SALT HILL PUB - LEBANON</t>
  </si>
  <si>
    <t>MURPHY'S TAPROOM AND CARRIAGE HOUSE</t>
  </si>
  <si>
    <t>Able - Burn the Ships</t>
  </si>
  <si>
    <t>MOLLY'S TAVERN &amp; RESTAURANT</t>
  </si>
  <si>
    <t>TEXAS ROADHOUSE</t>
  </si>
  <si>
    <t>SNAX</t>
  </si>
  <si>
    <t>STROKERS</t>
  </si>
  <si>
    <t>PEYTON PLACE RESTAURANT</t>
  </si>
  <si>
    <t>HARE OF THE DAWG BAR &amp; GRILL</t>
  </si>
  <si>
    <t>CHILI'S - SALEM</t>
  </si>
  <si>
    <t>PRICE CHOPPER #208 - KEENE</t>
  </si>
  <si>
    <t>Concord Craft - Kapital Kolsch</t>
  </si>
  <si>
    <t>THE PERCH</t>
  </si>
  <si>
    <t>AMERICAN LEGION POST 4 - KEENE</t>
  </si>
  <si>
    <t>Deciduous - Easy Operator</t>
  </si>
  <si>
    <t>SURF RESTAURANT INC</t>
  </si>
  <si>
    <t>HENHOUSE BAR &amp; GRILL</t>
  </si>
  <si>
    <t>UPPER VALLEY SNOW SPORTS FOUNDATION @ WHALEBACK MO</t>
  </si>
  <si>
    <t>CALI B HUDSON</t>
  </si>
  <si>
    <t>MOBIL ON THE RUN #200626 - HENNIKER</t>
  </si>
  <si>
    <t>GAME CHANGER SPORTS BAR &amp; GRILL</t>
  </si>
  <si>
    <t>HAMPSHIRE DOME (THE)</t>
  </si>
  <si>
    <t>MILANO HOUSE OF PIZZA-NASHUA</t>
  </si>
  <si>
    <t>RESTAURANT AT BURDICKS</t>
  </si>
  <si>
    <t>MR MIKE'S - FITZWILLIAM</t>
  </si>
  <si>
    <t>RENEGADES PUB</t>
  </si>
  <si>
    <t>Henniker - Hop Slinger IPA</t>
  </si>
  <si>
    <t>WILDWOOD SMOKEHOUSE</t>
  </si>
  <si>
    <t>14th Star - Maple Br</t>
  </si>
  <si>
    <t>ALSTEAD GENERAL STORE</t>
  </si>
  <si>
    <t>Widowmaker - Green Wizard</t>
  </si>
  <si>
    <t>RUSTIC TABLE (THE)</t>
  </si>
  <si>
    <t>ZO'S PLACE</t>
  </si>
  <si>
    <t>POLISH AMER CITIZENS CLUB-CLAREMONT</t>
  </si>
  <si>
    <t>BBCO - Doom Wizard</t>
  </si>
  <si>
    <t>NUTFIELD COUNTRY STORE</t>
  </si>
  <si>
    <t>AMPHORA RESTAURANT</t>
  </si>
  <si>
    <t>GRUMPY'S BAR &amp; GRILL</t>
  </si>
  <si>
    <t>Cigar City - Maduro</t>
  </si>
  <si>
    <t>Wormtown - Fresh Patch</t>
  </si>
  <si>
    <t>PRESSED CAFE - SALEM</t>
  </si>
  <si>
    <t>IMPERIAL BUFFET &amp; LOUNGE</t>
  </si>
  <si>
    <t>Able - Homecoming Pumpkin Ale</t>
  </si>
  <si>
    <t>Other Half - Ideal Wave</t>
  </si>
  <si>
    <t>Zero Gravity - Woodchuck</t>
  </si>
  <si>
    <t>SEVEN ELEV #37392 - LONDONDERY - ROCKINGHAM RD</t>
  </si>
  <si>
    <t>NEWBURY DELI</t>
  </si>
  <si>
    <t>Founders - Imperial Thorn</t>
  </si>
  <si>
    <t>Henniker - Seltzer Baboosic</t>
  </si>
  <si>
    <t>RIVERWALK BAKERY &amp; CAFE</t>
  </si>
  <si>
    <t>mblais</t>
  </si>
  <si>
    <t>BUCKLEY'S GREAT STEAKS</t>
  </si>
  <si>
    <t>Upper Pass - Blue Lemon</t>
  </si>
  <si>
    <t>Stoneface - Neon Slick</t>
  </si>
  <si>
    <t>Snapple</t>
  </si>
  <si>
    <t>HANNAFORD #8180 - RINDGE</t>
  </si>
  <si>
    <t>svisentin</t>
  </si>
  <si>
    <t>STINSON'S VILLAGE STORE</t>
  </si>
  <si>
    <t>Nutrl Lemonade Vrty</t>
  </si>
  <si>
    <t>ORE MILL BAR &amp; GRILLE</t>
  </si>
  <si>
    <t>MDP MOTORSPORTS PROMOTIONS LLC</t>
  </si>
  <si>
    <t>Able - Emma Wood</t>
  </si>
  <si>
    <t>DELAY'S HARVESTER MARKET</t>
  </si>
  <si>
    <t>BLACK MAGIC MEXICAN</t>
  </si>
  <si>
    <t>Banded - Wicked</t>
  </si>
  <si>
    <t>CANTORE'S PIZZA</t>
  </si>
  <si>
    <t>Berkshire - Dandelion</t>
  </si>
  <si>
    <t>Widowmaker - Riff City</t>
  </si>
  <si>
    <t>DOG DAYS CRAFT BEER</t>
  </si>
  <si>
    <t>Stella Artois</t>
  </si>
  <si>
    <t>PEDDLER'S DAUGHTER</t>
  </si>
  <si>
    <t>Sparkling Ice</t>
  </si>
  <si>
    <t>AMERICAN LEGION POST 100 - PELHAM</t>
  </si>
  <si>
    <t>THIRSTY MOOSE</t>
  </si>
  <si>
    <t>lortiz</t>
  </si>
  <si>
    <t>99 REST - SALEM</t>
  </si>
  <si>
    <t>Able - Fighting 69th</t>
  </si>
  <si>
    <t>LYNN'S 102 TAVERN</t>
  </si>
  <si>
    <t>pwollert</t>
  </si>
  <si>
    <t>JAMISON'S</t>
  </si>
  <si>
    <t>Epigram - Temptation</t>
  </si>
  <si>
    <t>50 EAST DERRY RD CONVENIENCE - REST</t>
  </si>
  <si>
    <t>TREMONT HOUSE OF PIZZA</t>
  </si>
  <si>
    <t>Founders - All Day IPA</t>
  </si>
  <si>
    <t>Ryse Fuel</t>
  </si>
  <si>
    <t>Wormtown - Irish Red</t>
  </si>
  <si>
    <t>Murphy's Irish</t>
  </si>
  <si>
    <t>PANDA GOURMET</t>
  </si>
  <si>
    <t>MAIN CRUST CO.</t>
  </si>
  <si>
    <t>FANG CHEN'S RESTAURANT</t>
  </si>
  <si>
    <t>SALT HILL PUB - NEWBURY</t>
  </si>
  <si>
    <t>Lord Hobo - Boomsauce</t>
  </si>
  <si>
    <t>Maine Beer Co - Peeper</t>
  </si>
  <si>
    <t>Downeast - Original</t>
  </si>
  <si>
    <t>MARKET BASKET #53 CLAREMNT</t>
  </si>
  <si>
    <t>TOLL BOOTH TAVERN (THE)</t>
  </si>
  <si>
    <t>SHAW'S #0678 - MERRIMACK - CONTINENTAL</t>
  </si>
  <si>
    <t>TROY DELI &amp; MARKET PLACE</t>
  </si>
  <si>
    <t>TOOKY MILLS PUB</t>
  </si>
  <si>
    <t>Cigar City - Jai Alai</t>
  </si>
  <si>
    <t>STAGE HANDS RESTAURANT</t>
  </si>
  <si>
    <t>FORESTERS OF AMERICA</t>
  </si>
  <si>
    <t>SHAW'S #0113 - NASHUA - MAIN ST</t>
  </si>
  <si>
    <t>BUDDY T'S</t>
  </si>
  <si>
    <t>SUNNYSIDE STOP</t>
  </si>
  <si>
    <t>BUFFALO BO'S</t>
  </si>
  <si>
    <t>50 EAST DERRY ROAD CONVENIENCE</t>
  </si>
  <si>
    <t>Founders - Mortal Bloom</t>
  </si>
  <si>
    <t>Downeast - Cranberry</t>
  </si>
  <si>
    <t>Shipyard - Prelude</t>
  </si>
  <si>
    <t>PIZZERIA ZACHARIA</t>
  </si>
  <si>
    <t>DERRY QUICK MART</t>
  </si>
  <si>
    <t>WEST OF THE BORDER</t>
  </si>
  <si>
    <t>Fiddlehead - Second</t>
  </si>
  <si>
    <t>NEW WORLD GAS - RINDGE</t>
  </si>
  <si>
    <t>LA CARRETA - DERRY</t>
  </si>
  <si>
    <t>SWANZEY NEIGHBOR</t>
  </si>
  <si>
    <t>HOWIE GLYNN &amp; SONS CONVENIENCE</t>
  </si>
  <si>
    <t>SAKURA</t>
  </si>
  <si>
    <t>SMOKE N BARLEY - SALEM</t>
  </si>
  <si>
    <t>DEL ROSSI'S TRATTORIA OF DUBLIN</t>
  </si>
  <si>
    <t>Southern - Caramel Pumking</t>
  </si>
  <si>
    <t>14th Star - Mexican Lager</t>
  </si>
  <si>
    <t>14th Star - Oktoberfest</t>
  </si>
  <si>
    <t>Arizona</t>
  </si>
  <si>
    <t>ARIANA'S RESTAURANT</t>
  </si>
  <si>
    <t>Exhibit A - Goody Shoes</t>
  </si>
  <si>
    <t>Zero Gravity - Oktoberfest</t>
  </si>
  <si>
    <t>MIKES ITALIAN KITCHEN</t>
  </si>
  <si>
    <t>TOSTAO'S TAPAS BAR</t>
  </si>
  <si>
    <t>WAL-MART #1907 - HINSDALE</t>
  </si>
  <si>
    <t>HIDDEN CREEK COUNTRY CLUB</t>
  </si>
  <si>
    <t>Tivoli - Outlaw</t>
  </si>
  <si>
    <t>Maine Beer Co - Wolfe's Neck</t>
  </si>
  <si>
    <t>SUGAR RIVER MARKET &amp; DELI</t>
  </si>
  <si>
    <t>Left Hand - Man/Hibiscus Belg White Nitro</t>
  </si>
  <si>
    <t>BBCO - Straw Whale</t>
  </si>
  <si>
    <t>Jack's Abby - Brite as Hell</t>
  </si>
  <si>
    <t>Von Trapp - Dortmunder</t>
  </si>
  <si>
    <t>Foundation - Burnside</t>
  </si>
  <si>
    <t>RED ROBIN GOURMET BURGERS - SALEM</t>
  </si>
  <si>
    <t>RUSTIC ROSE TAVERN</t>
  </si>
  <si>
    <t>Other</t>
  </si>
  <si>
    <t>MI JALISCO - PETERBORO</t>
  </si>
  <si>
    <t>AMERICAN LEGION POST 27 - LONDONDERRY</t>
  </si>
  <si>
    <t>603 Brew - IPA</t>
  </si>
  <si>
    <t>pbelanger</t>
  </si>
  <si>
    <t>STONECUTTERS PUB</t>
  </si>
  <si>
    <t>RICK'S THE SPIRIT OF KINGSTON</t>
  </si>
  <si>
    <t>RAMUNTOS - CLAREMONT</t>
  </si>
  <si>
    <t>AMERICAN LEGION POST 10 - WILTON</t>
  </si>
  <si>
    <t>SHAW'S #3533 - WALPOLE</t>
  </si>
  <si>
    <t>RAGGED MOUNTAIN</t>
  </si>
  <si>
    <t>Deciduous - Easier Operator</t>
  </si>
  <si>
    <t>PATS PEAK</t>
  </si>
  <si>
    <t>FIGARO'S MARTINI BAR + KITCHEN</t>
  </si>
  <si>
    <t>epaquette</t>
  </si>
  <si>
    <t>DADDY'S PIZZA</t>
  </si>
  <si>
    <t>Wormtown - Be Hoppy</t>
  </si>
  <si>
    <t>Johny Bootlegger</t>
  </si>
  <si>
    <t>BANTAM GRILL</t>
  </si>
  <si>
    <t>Athletic - Run Wild</t>
  </si>
  <si>
    <t>SHAW'S #3669 - PLAISTOW</t>
  </si>
  <si>
    <t>WATERHOUSE BISTRO</t>
  </si>
  <si>
    <t>603 Brew - Coffee Cake Porter</t>
  </si>
  <si>
    <t>Maine Beer Co - Dinner</t>
  </si>
  <si>
    <t>JAKES MARKET AND DELI- NEW LONDON</t>
  </si>
  <si>
    <t>CASEY MAGEE'S</t>
  </si>
  <si>
    <t>Mighty Squirrel - Heart</t>
  </si>
  <si>
    <t>SUPPAS PIZZA LONDONDERRY</t>
  </si>
  <si>
    <t>JIFFY MART #200459 - WALPOLE</t>
  </si>
  <si>
    <t>REED'S FERRY MARKET</t>
  </si>
  <si>
    <t>Bells - Christmas Ale</t>
  </si>
  <si>
    <t>OLDE KILKENNY PUB</t>
  </si>
  <si>
    <t>CARRS STORE (TBIRD DUBLIN)</t>
  </si>
  <si>
    <t>GUSANOZ MEXICAN REST</t>
  </si>
  <si>
    <t>THREE TOMATOES TRATTORIA</t>
  </si>
  <si>
    <t>Stoneface - Duderino</t>
  </si>
  <si>
    <t>STONEBRIDGE COUNTRY CLUB</t>
  </si>
  <si>
    <t>WILLIE JEWELL'S OLD SCHOOL BBQ</t>
  </si>
  <si>
    <t>Other Half - Broccoli</t>
  </si>
  <si>
    <t>Clearly Canadian Mountain Blackberry</t>
  </si>
  <si>
    <t>14th Star - N Maple Br</t>
  </si>
  <si>
    <t>HAMPSHIRE HILLS S&amp;F CLUB</t>
  </si>
  <si>
    <t>Henniker - Oktoberfest</t>
  </si>
  <si>
    <t>mbertolami</t>
  </si>
  <si>
    <t>SOHO RESTAURANT</t>
  </si>
  <si>
    <t>DOLLAR GENER #17668 - TROY</t>
  </si>
  <si>
    <t>CHICKEN N CHIP'S</t>
  </si>
  <si>
    <t>RUSTY LANTER MARKET #0004</t>
  </si>
  <si>
    <t>WESTMORELAND GENERAL STORE</t>
  </si>
  <si>
    <t>Mighty Squirrel - Fluff</t>
  </si>
  <si>
    <t>Beatbox Hard T</t>
  </si>
  <si>
    <t>Sea Dog - Sun Fish</t>
  </si>
  <si>
    <t>BBCO - Uncanny Valley</t>
  </si>
  <si>
    <t>Jack's Abby - Lavenade</t>
  </si>
  <si>
    <t>Natural Ice</t>
  </si>
  <si>
    <t>MARLBOROUGH CTRY CONVENIENCE</t>
  </si>
  <si>
    <t>Good Boy Vodka</t>
  </si>
  <si>
    <t>ddooling</t>
  </si>
  <si>
    <t>GRANFANALLYS PIZZA PUB</t>
  </si>
  <si>
    <t>Kona - Big Wave</t>
  </si>
  <si>
    <t>Busch Light</t>
  </si>
  <si>
    <t>MICHAELS FLATBREAD PIZZA CO.</t>
  </si>
  <si>
    <t>PHOENIX SMOKEHOUSE AND TAQUERIA</t>
  </si>
  <si>
    <t>CHRYSANTHI'S</t>
  </si>
  <si>
    <t>PINE VALLEY GOLF COURSE</t>
  </si>
  <si>
    <t>Bells - Two Hearted</t>
  </si>
  <si>
    <t>Founders - Breakfast Stout</t>
  </si>
  <si>
    <t>PEARL RESTAURANT &amp; OYSTER</t>
  </si>
  <si>
    <t>RALPHIE'S CAFE ITALIANO</t>
  </si>
  <si>
    <t>LOBSTER BOAT RESTAURANT</t>
  </si>
  <si>
    <t>MURPHY'S ON THE GREEN</t>
  </si>
  <si>
    <t>CHILI'S - W.LEB</t>
  </si>
  <si>
    <t>MARKET BASKET #25 PLAISTOW</t>
  </si>
  <si>
    <t>Frost - Little Lush</t>
  </si>
  <si>
    <t>NEW NAN KING RESTAURANT</t>
  </si>
  <si>
    <t>Promo Item</t>
  </si>
  <si>
    <t>TOMAHAWK BUTCHERY &amp; TAVERN (REST)</t>
  </si>
  <si>
    <t>COMMON MAN - MERRIMACK</t>
  </si>
  <si>
    <t>Zero Gravity - Cone Head</t>
  </si>
  <si>
    <t>Zero Gravity - Powder Jones</t>
  </si>
  <si>
    <t>FODY'S TAVERN (DERRY)</t>
  </si>
  <si>
    <t>MARKET BASKET #13 NASHUA - DW HWY</t>
  </si>
  <si>
    <t>Athletic - Upside Dawn</t>
  </si>
  <si>
    <t>Banded - Charm</t>
  </si>
  <si>
    <t>FAMILY PIZZA AND ROAST BEEF OF NASHUA</t>
  </si>
  <si>
    <t>Maine Beer Co - MO</t>
  </si>
  <si>
    <t>VFW #3968 - WINCHESTER</t>
  </si>
  <si>
    <t>GRANFANALLYS -PIZZA PUB</t>
  </si>
  <si>
    <t>14th Star - Remix</t>
  </si>
  <si>
    <t>603 Brew - Mitz BA RIS</t>
  </si>
  <si>
    <t>CIRCLE K #7204 - NEWPORT</t>
  </si>
  <si>
    <t>Concord Craft - Blue Coggler</t>
  </si>
  <si>
    <t>BOBOLA RESTAURANT</t>
  </si>
  <si>
    <t>603 Brew - Slightly Tstd</t>
  </si>
  <si>
    <t>Mighty Squirrel - Sour Face</t>
  </si>
  <si>
    <t>LEO'S BAR &amp; GRILL</t>
  </si>
  <si>
    <t>UNION COFFEE COMPANY</t>
  </si>
  <si>
    <t>Equilibrium - MC2</t>
  </si>
  <si>
    <t>Mighty Squirrel - Oktoberfest</t>
  </si>
  <si>
    <t>U.S. 202 EXPRESS MINI MART INC</t>
  </si>
  <si>
    <t>THE CITY TOBACCO AND BEVERAGE CENTER #7 - PLAISTOW</t>
  </si>
  <si>
    <t>ALL IN ONE MARKET LLC</t>
  </si>
  <si>
    <t>TJ'S DELI AND CATERING PIZZA AND SUBS (CATERING)</t>
  </si>
  <si>
    <t>SAN FRANCISCO KITCHEN INC</t>
  </si>
  <si>
    <t>Good Boy J Daly</t>
  </si>
  <si>
    <t>Jack's Abby - Blood Orange Wheat</t>
  </si>
  <si>
    <t>Poland Spring</t>
  </si>
  <si>
    <t>Jack's Abby - Post Shift</t>
  </si>
  <si>
    <t>rconstant</t>
  </si>
  <si>
    <t>EMMAS 321</t>
  </si>
  <si>
    <t>Concord Craft - Four Rivers</t>
  </si>
  <si>
    <t>Budweiser</t>
  </si>
  <si>
    <t>RIVER ROAD TAVERN</t>
  </si>
  <si>
    <t>OTTO PORTLAND</t>
  </si>
  <si>
    <t>SHAW'S #4694 - PETERBORO</t>
  </si>
  <si>
    <t>OLDE TOWNE TAVERN</t>
  </si>
  <si>
    <t>Zero Gravity - Green State</t>
  </si>
  <si>
    <t>AMERICAN LEGION POST 29 - CLAREMONT</t>
  </si>
  <si>
    <t>ZIGGY'S PIZZA - W. LEB</t>
  </si>
  <si>
    <t>Elysian Space Dust</t>
  </si>
  <si>
    <t>SHAW'S #0484 - LONDERRY</t>
  </si>
  <si>
    <t>99 REST - W.LEB</t>
  </si>
  <si>
    <t>BBCO - Little Wizard</t>
  </si>
  <si>
    <t>ODD FELLOWS BREWING COMPANY</t>
  </si>
  <si>
    <t>ON THE CORNER GRILL</t>
  </si>
  <si>
    <t>BRADYS BAR AND GRILL</t>
  </si>
  <si>
    <t>Henniker - Miles &amp; Miles</t>
  </si>
  <si>
    <t>NEW CHIEF WOK</t>
  </si>
  <si>
    <t>KINGSTON VETS CLUB INC</t>
  </si>
  <si>
    <t>aparente</t>
  </si>
  <si>
    <t>SMOKE SHACK CAFE</t>
  </si>
  <si>
    <t>Concord Craft - Pond Hockey</t>
  </si>
  <si>
    <t>von Trapp - Schwarz</t>
  </si>
  <si>
    <t>FRIENDLY REDS - DERRY</t>
  </si>
  <si>
    <t>Throwback - Cheek Squeezer</t>
  </si>
  <si>
    <t>LOCAL BURGER OF KEENE</t>
  </si>
  <si>
    <t>DISCOUNT BEVERAGE KING W. LEB</t>
  </si>
  <si>
    <t>kpeacock</t>
  </si>
  <si>
    <t>Shipyard - Boatload Berry</t>
  </si>
  <si>
    <t>LIM'S SPORTS BAR &amp; CAFE</t>
  </si>
  <si>
    <t>HANNAFORD #8186 - NASHUA</t>
  </si>
  <si>
    <t>MINUTE MART</t>
  </si>
  <si>
    <t>Downeast - Pumpkin</t>
  </si>
  <si>
    <t>PLAISTOW MINI EXPRESS</t>
  </si>
  <si>
    <t>tpiccinono</t>
  </si>
  <si>
    <t>Throwback - Rule Roost</t>
  </si>
  <si>
    <t>Weihenstephaner - Kristalweiss</t>
  </si>
  <si>
    <t>BEAVER STREET MARKET</t>
  </si>
  <si>
    <t>KSONES THAI DINING</t>
  </si>
  <si>
    <t>FRATERNAL ORDER OF EAGLES</t>
  </si>
  <si>
    <t>LA HACIENDA DEL RIO</t>
  </si>
  <si>
    <t>KITCHEN 56</t>
  </si>
  <si>
    <t>Zero Gravity - Green State Light</t>
  </si>
  <si>
    <t>SEVEN ELEV #32504 B- KEENE</t>
  </si>
  <si>
    <t>PATRIOT GAS</t>
  </si>
  <si>
    <t>PINE STREET EATERY</t>
  </si>
  <si>
    <t>SUMO SUSHI</t>
  </si>
  <si>
    <t>TOWN SQUARE TAVERN</t>
  </si>
  <si>
    <t>MARGARITA'S - KEENE</t>
  </si>
  <si>
    <t>Phorm Energy Blue Blitz</t>
  </si>
  <si>
    <t>PAPAGALLOS RESTAURANT</t>
  </si>
  <si>
    <t>603 Brew - Smoketoberfest</t>
  </si>
  <si>
    <t>Clearly Canadian Country Raspberry</t>
  </si>
  <si>
    <t>SUN ASIAN BISTRO</t>
  </si>
  <si>
    <t>Foundation - Fetch</t>
  </si>
  <si>
    <t>Battery - Blueberry</t>
  </si>
  <si>
    <t>von Trapp - Radler</t>
  </si>
  <si>
    <t>SWEET FIRE BARBECUE AND TAKE OUT</t>
  </si>
  <si>
    <t>LOST COWBOY BREWING</t>
  </si>
  <si>
    <t>dtaylor</t>
  </si>
  <si>
    <t>603 Brew - Straw Wheat</t>
  </si>
  <si>
    <t>DRIVING RANGE (THE) &amp; MARTY'S ICE CREAM</t>
  </si>
  <si>
    <t>HANNAFORD #8183 - HUDSON</t>
  </si>
  <si>
    <t>Downeast - Guava Passion</t>
  </si>
  <si>
    <t>Austin Street - Instant Crush</t>
  </si>
  <si>
    <t>BUD LIGHT SELTZER PINK LEMONADE</t>
  </si>
  <si>
    <t>Founders - All Day Shandy</t>
  </si>
  <si>
    <t>Bud American Ale</t>
  </si>
  <si>
    <t>BBCO - Dank Wizard</t>
  </si>
  <si>
    <t>bhanscom</t>
  </si>
  <si>
    <t>Shipyard - Summer</t>
  </si>
  <si>
    <t>Banded - Dakaiju</t>
  </si>
  <si>
    <t>Maine Beer Co - Spring</t>
  </si>
  <si>
    <t>BIRCHWOOD INN (THE)</t>
  </si>
  <si>
    <t>maanderson</t>
  </si>
  <si>
    <t>BACKSTREET BAR &amp; GRILL LLC</t>
  </si>
  <si>
    <t>tchagnon</t>
  </si>
  <si>
    <t>Downeast - Black Cherry</t>
  </si>
  <si>
    <t>TAVERNE ON THE SQUARE LLC</t>
  </si>
  <si>
    <t>TAVERN ON THE GREENS</t>
  </si>
  <si>
    <t>Downeast - Apple Pie</t>
  </si>
  <si>
    <t>COOPER'S HILL</t>
  </si>
  <si>
    <t>SHAKER &amp; FORK RESTAURANT &amp; BAR (TIME-OUT SPORTS )</t>
  </si>
  <si>
    <t>LAFAYETTE CLUB A.C.</t>
  </si>
  <si>
    <t>TWINS SMOKE SHOP</t>
  </si>
  <si>
    <t>Maine Beer Co - Another One</t>
  </si>
  <si>
    <t>Stoneface - Sunday Sauce</t>
  </si>
  <si>
    <t>von Trapp - Dunkel</t>
  </si>
  <si>
    <t>WOODBOUND INN</t>
  </si>
  <si>
    <t>Downeast - Winter</t>
  </si>
  <si>
    <t>O'NEIL CINEMAS</t>
  </si>
  <si>
    <t>Southern - Chestnut Praline</t>
  </si>
  <si>
    <t>CARRIAGE TOWN BAR &amp; GRILL</t>
  </si>
  <si>
    <t>BeatBox Vrty</t>
  </si>
  <si>
    <t>LOS PRIMOS MEXICAN RESTAURANT</t>
  </si>
  <si>
    <t>von Trapp - Vienna</t>
  </si>
  <si>
    <t>THE KITCHEN BY JTAPS</t>
  </si>
  <si>
    <t>NOURIA ENERGY #1122 - NASH - BROAD ST</t>
  </si>
  <si>
    <t>Zero Gravity - Evergreen</t>
  </si>
  <si>
    <t>MAIN STREET MINI MART</t>
  </si>
  <si>
    <t>Goose - Bourb County</t>
  </si>
  <si>
    <t>Ryse Protein</t>
  </si>
  <si>
    <t>K2 MOBIL MART</t>
  </si>
  <si>
    <t>Foundation - Epiphany</t>
  </si>
  <si>
    <t>TARGET # 3401 - W. LEBANON</t>
  </si>
  <si>
    <t>Bud Select</t>
  </si>
  <si>
    <t>VAIL RESORT/ MOUNT SUNAPEE</t>
  </si>
  <si>
    <t>JIFFY MART #200431 - CLAREMONT</t>
  </si>
  <si>
    <t>Carlson - Berry</t>
  </si>
  <si>
    <t>BBCO - Barista</t>
  </si>
  <si>
    <t>HELEN'S PLACE</t>
  </si>
  <si>
    <t>AMERICAN LEGION POST 11 - JAFFREY</t>
  </si>
  <si>
    <t>Shipyard - Smashed Pumpkin</t>
  </si>
  <si>
    <t>KEENE LODGE OF ELKS</t>
  </si>
  <si>
    <t>Downeast - Cider Donut</t>
  </si>
  <si>
    <t>HOUSE SALES</t>
  </si>
  <si>
    <t>ROUTE 13 STATELINE CONV MART</t>
  </si>
  <si>
    <t>POST &amp; BEAM</t>
  </si>
  <si>
    <t>Epigram - Liam's Lager</t>
  </si>
  <si>
    <t>JESSES STEAKHOUSE</t>
  </si>
  <si>
    <t>SHAW'S #3483- DERRY</t>
  </si>
  <si>
    <t>Equilibrium - eMCee</t>
  </si>
  <si>
    <t>CrowBAR</t>
  </si>
  <si>
    <t>Equilibrium - Fluctuations</t>
  </si>
  <si>
    <t>SUMMIT STORES - KEENE</t>
  </si>
  <si>
    <t>Orono - Wicked</t>
  </si>
  <si>
    <t>AMERICAN LEGION POST 13 - GREENVILLE</t>
  </si>
  <si>
    <t>Bells - Oberon</t>
  </si>
  <si>
    <t>ncavallo</t>
  </si>
  <si>
    <t>Bud Lt Summer Rita</t>
  </si>
  <si>
    <t>Bud Lt Straw-Ber-Rita</t>
  </si>
  <si>
    <t>BILL FLYNNS WINDHAM CC INC</t>
  </si>
  <si>
    <t>CANOBIE LAKE PARK</t>
  </si>
  <si>
    <t>Happy Dad Variety</t>
  </si>
  <si>
    <t>Wicked Weed Pernicious</t>
  </si>
  <si>
    <t>MARKET BASKET #57 MILFORD</t>
  </si>
  <si>
    <t>Customer Name</t>
  </si>
  <si>
    <t>jgrumblatt</t>
  </si>
  <si>
    <t>Jack's Abby - Citrus Wave</t>
  </si>
  <si>
    <t>PEPPERS PUB (NEW)</t>
  </si>
  <si>
    <t>PPC KITCHEN &amp; BAR</t>
  </si>
  <si>
    <t>T&amp;T WAY</t>
  </si>
  <si>
    <t>Shocktop</t>
  </si>
  <si>
    <t>WAL-MART #3549 - KEENE</t>
  </si>
  <si>
    <t>MAMA MCDONOUGH'S IRISH PUB</t>
  </si>
  <si>
    <t>adennis</t>
  </si>
  <si>
    <t>von Trapp - Helles</t>
  </si>
  <si>
    <t>STATELINE GROCERY</t>
  </si>
  <si>
    <t>Mirror</t>
  </si>
  <si>
    <t>MADAME SHERRI'S</t>
  </si>
  <si>
    <t>Zero Gravity - Extra Stout</t>
  </si>
  <si>
    <t>FRONTERA GRILL OF NASHUA</t>
  </si>
  <si>
    <t>PASTA LOFT RESTAURANT &amp; BRICKHOUSE-HAMPSTEAD</t>
  </si>
  <si>
    <t>MARKET BASKET #31 SALEM</t>
  </si>
  <si>
    <t>Carlsberg - Lager</t>
  </si>
  <si>
    <t>LIVE! CASINO SALEM</t>
  </si>
  <si>
    <t>ZOOMIES CORNER MARKET</t>
  </si>
  <si>
    <t>BROAD ST. PETROLEUM LLC</t>
  </si>
  <si>
    <t>21 ROXBURY BAR &amp; GRILL</t>
  </si>
  <si>
    <t>HANNAFORD #8311 - GOFFSTOWN</t>
  </si>
  <si>
    <t>NASH CASINO</t>
  </si>
  <si>
    <t>Stoneface - Full Clip</t>
  </si>
  <si>
    <t>Hacker-Pschorr</t>
  </si>
  <si>
    <t>Stoneface - Pink Duct Tape</t>
  </si>
  <si>
    <t>Frost - Starchild</t>
  </si>
  <si>
    <t>BEER STORE LLC (THE) - SALEM</t>
  </si>
  <si>
    <t>RTE. 63 COUNTRY STORE</t>
  </si>
  <si>
    <t>Spaten</t>
  </si>
  <si>
    <t>SAKANA JAPANESE RESTAURANT</t>
  </si>
  <si>
    <t>Henniker - West Coast Colab</t>
  </si>
  <si>
    <t>TIO JUAN'S MARGARITAS MEXICAN REST-SALEM</t>
  </si>
  <si>
    <t>Citizen Cider - BD Donut</t>
  </si>
  <si>
    <t>Other Half - Ticker Shock</t>
  </si>
  <si>
    <t>T-BIRD MINI MART - CLAREMONT-CHARLESTOWN RD</t>
  </si>
  <si>
    <t>Carlson - Oak Hill</t>
  </si>
  <si>
    <t>Umbrella</t>
  </si>
  <si>
    <t>PIZZICO - ITALIAN RESTAURANT - NASHUA</t>
  </si>
  <si>
    <t>Kelsen - Spacetown</t>
  </si>
  <si>
    <t>REVO CASINO AND SOCIAL HOUSE</t>
  </si>
  <si>
    <t>NOURIA ENERGY # 1268 - HAMPSTEAD</t>
  </si>
  <si>
    <t>True North - Coast to Coast</t>
  </si>
  <si>
    <t>WHIRLING VAPORS</t>
  </si>
  <si>
    <t>Equilibrium - Tomorrow</t>
  </si>
  <si>
    <t>New Belgium - Juice Force</t>
  </si>
  <si>
    <t>jaustin</t>
  </si>
  <si>
    <t>LUK'S BAR &amp; GRILL</t>
  </si>
  <si>
    <t>Fiddlehead - Hodad</t>
  </si>
  <si>
    <t>BIG DEAL - SPOFFORD</t>
  </si>
  <si>
    <t>KILKENNY PUB - KEENE</t>
  </si>
  <si>
    <t>PELHAM STREET BLACK WATER GRILL</t>
  </si>
  <si>
    <t>Nutrl Lime</t>
  </si>
  <si>
    <t>Devils BB - Vrty</t>
  </si>
  <si>
    <t>DON RAMON</t>
  </si>
  <si>
    <t>SHAW'S #4514 - HILLSBORO</t>
  </si>
  <si>
    <t>TAVERN IN THE SQUARE BEDFORD LLC</t>
  </si>
  <si>
    <t>BARK &amp; BEVY CO.</t>
  </si>
  <si>
    <t>SPECTACLE MANAGEMENT INC</t>
  </si>
  <si>
    <t>MEXICA MEXICAN RESTAURANT</t>
  </si>
  <si>
    <t>LEBANON VILLAGE PIZZA</t>
  </si>
  <si>
    <t>HANNAFORD #8185 - LONDERY</t>
  </si>
  <si>
    <t>JALISCO MEXICAN BAR &amp; GRILL</t>
  </si>
  <si>
    <t>Oskar Blues - Dbl Dales Pale</t>
  </si>
  <si>
    <t>Founders - Porter</t>
  </si>
  <si>
    <t>WEST CHESTERFIELD SHELL #200643</t>
  </si>
  <si>
    <t>Good 2 grow</t>
  </si>
  <si>
    <t>HUNGRY DINER (THE)</t>
  </si>
  <si>
    <t>SHAW'S #4534 - NEWPORT</t>
  </si>
  <si>
    <t>WATKINS INN &amp; TAVERN</t>
  </si>
  <si>
    <t>ALLTOWN MARKET #200311- PETERBOROUGH</t>
  </si>
  <si>
    <t>WASHINGTON GENERAL STORE REST</t>
  </si>
  <si>
    <t>SUPER SHELL FOOD MART #1128 - HARRIS RD - NASHUA</t>
  </si>
  <si>
    <t>MAIN DUNSTABLE SHELL #1124</t>
  </si>
  <si>
    <t>DIYA MART</t>
  </si>
  <si>
    <t>FODY'S TAVERN (NASHUA)</t>
  </si>
  <si>
    <t>THE REFINERY</t>
  </si>
  <si>
    <t>COPPER DOOR - SALEM</t>
  </si>
  <si>
    <t>KEENE COUNTRY CLUB INC</t>
  </si>
  <si>
    <t>Bud Ice</t>
  </si>
  <si>
    <t>GIORGIO'S TRATTORIA - MERRIMACK</t>
  </si>
  <si>
    <t>HOMESTEAD RESTAURANT &amp; TAVERN</t>
  </si>
  <si>
    <t>Able - Victory Nor Defeat</t>
  </si>
  <si>
    <t>DW HIGHWAY MOBIL INC</t>
  </si>
  <si>
    <t>Able - Gemultich German Lager</t>
  </si>
  <si>
    <t>Zero Gravity - Pisolino</t>
  </si>
  <si>
    <t>THE 12% SOLUTION</t>
  </si>
  <si>
    <t>GOLDEN DRAGON RESTAURANT</t>
  </si>
  <si>
    <t>HAFFNERS- ENERGY NORTH</t>
  </si>
  <si>
    <t>COURTYARD KEENE DOWNTOWN</t>
  </si>
  <si>
    <t>Equilibrium - Field Theory</t>
  </si>
  <si>
    <t>Zero Gravity - Shandy</t>
  </si>
  <si>
    <t>Lord Hobo - 617 IPA</t>
  </si>
  <si>
    <t>R &amp; B SUPERETTE</t>
  </si>
  <si>
    <t>BLACK BIRD MARKET AND DELI</t>
  </si>
  <si>
    <t>CLAREMONT LODGE OF ELKS</t>
  </si>
  <si>
    <t>Landshark Lager</t>
  </si>
  <si>
    <t>Old Speckled Hen</t>
  </si>
  <si>
    <t>Stoneface - Coral Star</t>
  </si>
  <si>
    <t>AYASOFIA MEDITERRANEAN RESTAURANT</t>
  </si>
  <si>
    <t>Hoop Tea</t>
  </si>
  <si>
    <t>Stoneface - Green Duct Tape</t>
  </si>
  <si>
    <t>Gold Road Mango Cart</t>
  </si>
  <si>
    <t>jgiuffrida</t>
  </si>
  <si>
    <t>Nutrl</t>
  </si>
  <si>
    <t>PROFESSOR SPORTS PUB</t>
  </si>
  <si>
    <t>lnorton</t>
  </si>
  <si>
    <t>NATIONAL CLUB (THE)</t>
  </si>
  <si>
    <t>EVVIVA TRATTORIA - NASHUA</t>
  </si>
  <si>
    <t>New Belgium - Juicy Haze</t>
  </si>
  <si>
    <t>MARKET BASKET #71 BEDFORD</t>
  </si>
  <si>
    <t>VILLAGE TRESTLE (THE)</t>
  </si>
  <si>
    <t>HYLA BROOK ESTATE</t>
  </si>
  <si>
    <t>APPLEBEES - DERRY</t>
  </si>
  <si>
    <t>BUBBA'S BAR AND GRILLE</t>
  </si>
  <si>
    <t>BBCO - Lunar Wizard</t>
  </si>
  <si>
    <t>pvoniderstin</t>
  </si>
  <si>
    <t>Jack's Abby - House Lager</t>
  </si>
  <si>
    <t>Bud Light Seltzer Sangria Splash Variety</t>
  </si>
  <si>
    <t>SHAW'S #3505 - MERRIMACK - DWH</t>
  </si>
  <si>
    <t>Berkshire - Coffehouse Porter</t>
  </si>
  <si>
    <t>JADE DRAGON-MERRIMACK</t>
  </si>
  <si>
    <t>Captain Eli's</t>
  </si>
  <si>
    <t>Citizen Cider - Mimosa Crush</t>
  </si>
  <si>
    <t>ANTRIM MARKET</t>
  </si>
  <si>
    <t>Jack's Abby - Framinghammer</t>
  </si>
  <si>
    <t>MR MIKE'S - STODDARD</t>
  </si>
  <si>
    <t>Widowmaker - Blue Comet</t>
  </si>
  <si>
    <t>SALEM CONVENIENCE STORE</t>
  </si>
  <si>
    <t>MR MIKE'S - JAFFREY</t>
  </si>
  <si>
    <t>ALLTOWN MARKET 202767- WINCHESTER</t>
  </si>
  <si>
    <t>Cabot</t>
  </si>
  <si>
    <t>RUM BROOK MARKET</t>
  </si>
  <si>
    <t>Breck Christmas</t>
  </si>
  <si>
    <t>Henniker - Henni Light</t>
  </si>
  <si>
    <t>TACO TIME COCINA &amp; CANTINA</t>
  </si>
  <si>
    <t>JAKES MARKET AND DELI - GEORGES MILLS</t>
  </si>
  <si>
    <t>SPEEDWAY #46190 - DERRY</t>
  </si>
  <si>
    <t>CROYDON GENERAL STORE</t>
  </si>
  <si>
    <t>BISTRO 603</t>
  </si>
  <si>
    <t>JIFFY MART #200691 - WESTMORELAND</t>
  </si>
  <si>
    <t>ENTERTAINMENT CINEMAS - LEBANON</t>
  </si>
  <si>
    <t>Able - Broad Arrow</t>
  </si>
  <si>
    <t>TAVERN IN THE SQUARE SALEM LLC</t>
  </si>
  <si>
    <t>CITY LINE MARKET (NEW)</t>
  </si>
  <si>
    <t>SHAWNEE GENERAL STORE</t>
  </si>
  <si>
    <t>CLAREMONT MOBIL</t>
  </si>
  <si>
    <t>VFW SOCIAL CLUB</t>
  </si>
  <si>
    <t>LEBANON LODGE OF ELKS</t>
  </si>
  <si>
    <t>603 Brew - Wood Devil IPA</t>
  </si>
  <si>
    <t>CHA'S GEM SHOP AND CONV</t>
  </si>
  <si>
    <t>LUI LUI - WEST LEBANON</t>
  </si>
  <si>
    <t>MERRIMACK TEN PIN CENTER</t>
  </si>
  <si>
    <t>LONGHORN STEAK #5457 - NASHUA</t>
  </si>
  <si>
    <t>Phorm Energy Freedom</t>
  </si>
  <si>
    <t>WAL-MART #1975 - CLAREMONT</t>
  </si>
  <si>
    <t>Shocktop - Pretzel</t>
  </si>
  <si>
    <t>603 Brew - Octoberfest</t>
  </si>
  <si>
    <t>ALYSONS ORCHARD</t>
  </si>
  <si>
    <t>FRIENDLY RED'S - WINDHAM</t>
  </si>
  <si>
    <t>NOCA</t>
  </si>
  <si>
    <t>BIRDIES</t>
  </si>
  <si>
    <t>THE BLUE CANOE</t>
  </si>
  <si>
    <t>WHIP-POOR WILL GOLF CLUB</t>
  </si>
  <si>
    <t>T-BIRD MINI MART - KEENE</t>
  </si>
  <si>
    <t>SAMPAN CHINESE RESTAURANT</t>
  </si>
  <si>
    <t>BBCO - Time Chimp</t>
  </si>
  <si>
    <t>Foundation - Raspberry</t>
  </si>
  <si>
    <t>NEW HARVESTER MARKET INC</t>
  </si>
  <si>
    <t>VFW #1088 - KINGSTON</t>
  </si>
  <si>
    <t>AMIGO'S MEXICAN CANTINA</t>
  </si>
  <si>
    <t>GATE CITY CASINO</t>
  </si>
  <si>
    <t>GRANITE GORGE PARTNERSHIP</t>
  </si>
  <si>
    <t>LAKE SUNAPEE YACHT CLUB</t>
  </si>
  <si>
    <t>Concord Craft - Pina Colada</t>
  </si>
  <si>
    <t>THE NUCHE TAVERN</t>
  </si>
  <si>
    <t>AMHERST COUNTRY CLUB</t>
  </si>
  <si>
    <t>PLEASANT ST MOBIL</t>
  </si>
  <si>
    <t>amartin</t>
  </si>
  <si>
    <t>99 REST - NASHUA</t>
  </si>
  <si>
    <t>jsewall</t>
  </si>
  <si>
    <t>SHORTY'S MEXICAN ROADHOUSE</t>
  </si>
  <si>
    <t>Super Coffee</t>
  </si>
  <si>
    <t>Bells - Kalamazo</t>
  </si>
  <si>
    <t>Heineken</t>
  </si>
  <si>
    <t>GAGE HILL FARM</t>
  </si>
  <si>
    <t>KAT'S COUNTRY CORNER</t>
  </si>
  <si>
    <t>mcanavan</t>
  </si>
  <si>
    <t>Henniker - King Misanthrope</t>
  </si>
  <si>
    <t>LAB'N LAGER KEENE</t>
  </si>
  <si>
    <t>THE CLUBHOUSE BAR AND GRILLE</t>
  </si>
  <si>
    <t>Dos Equis Amber</t>
  </si>
  <si>
    <t>PENUCHE'S ALE HOUSE-NASHUA</t>
  </si>
  <si>
    <t>HOWIE GLYNN - DERRY</t>
  </si>
  <si>
    <t>Jack's Abby - Extra Layer</t>
  </si>
  <si>
    <t>Paulaner</t>
  </si>
  <si>
    <t>Von Trapp - Polotmavy</t>
  </si>
  <si>
    <t>TOMO STEAKHOUSE</t>
  </si>
  <si>
    <t>MERIDEN DELI MART</t>
  </si>
  <si>
    <t>YANKEE LANES / KEENE BOWL</t>
  </si>
  <si>
    <t>BURTON'S GRILL</t>
  </si>
  <si>
    <t>Left Hand - Mexican Hot Choc Milk Stout</t>
  </si>
  <si>
    <t>AXE PLAY</t>
  </si>
  <si>
    <t>Citizen Cider - Unified Press</t>
  </si>
  <si>
    <t>Shipyard - Pumpkin Head</t>
  </si>
  <si>
    <t>STATELINE GROCERY'S</t>
  </si>
  <si>
    <t>Citizen Cider - Strawb Haze</t>
  </si>
  <si>
    <t>DUNK'S SPORTS GRILL</t>
  </si>
  <si>
    <t>Shipyard - Signature Series</t>
  </si>
  <si>
    <t>Zero Gravity - Jaws Czech</t>
  </si>
  <si>
    <t>Bud Lt Lime-A-Rita</t>
  </si>
  <si>
    <t>SAKA HIBACHI STEAKHOUSE</t>
  </si>
  <si>
    <t>INDIAN ROCK MARKET &amp; SMOKE SHOP</t>
  </si>
  <si>
    <t>Equilibrium - Dream Wave</t>
  </si>
  <si>
    <t>Able - Glory Not Prey</t>
  </si>
  <si>
    <t>KELARI TAVERNA &amp; BAR</t>
  </si>
  <si>
    <t>CALIFORNIA BURRITOS-AMHERST</t>
  </si>
  <si>
    <t>Exhibit A - Cats Meow</t>
  </si>
  <si>
    <t>Deep River</t>
  </si>
  <si>
    <t>PIZZA PEDDLER &amp; MINI MART</t>
  </si>
  <si>
    <t>WAL-MART #1796 - AMHERST</t>
  </si>
  <si>
    <t>DREWSVILLE GENERAL STORE</t>
  </si>
  <si>
    <t>Concord Craft - Safe Space</t>
  </si>
  <si>
    <t>99 REST - LONDONDERRY</t>
  </si>
  <si>
    <t>COUNTRY SPIRIT RESTAURANT &amp; TAVERN</t>
  </si>
  <si>
    <t>Deciduous - Lollipop Rasp</t>
  </si>
  <si>
    <t>Concord Craft - White Mtn White</t>
  </si>
  <si>
    <t>STUMBLE INN BAR &amp; GRILL</t>
  </si>
  <si>
    <t>Sea Dog - Blueberry</t>
  </si>
  <si>
    <t>MARKET BASKET #42 LONDERRY</t>
  </si>
  <si>
    <t>Downeast - Prickly Pear</t>
  </si>
  <si>
    <t>T-BONES - DERRY</t>
  </si>
  <si>
    <t>Able - Auburn</t>
  </si>
  <si>
    <t>T-BIRD MINI MART - W. SWANZEY</t>
  </si>
  <si>
    <t>RANCHO VIEJO MEXICAN FOOD AND CANTINA</t>
  </si>
  <si>
    <t>CHILI'S - NASHUA - DW HWY</t>
  </si>
  <si>
    <t>HILLSBORO HOUSE OF PIZZA</t>
  </si>
  <si>
    <t>CHILI'S - KEENE</t>
  </si>
  <si>
    <t>AJ'S SPORTS BAR &amp; GRILL</t>
  </si>
  <si>
    <t>DIAMOND PIZZA</t>
  </si>
  <si>
    <t>WEATHERVANE - W.LEB</t>
  </si>
  <si>
    <t>THE NEST PUB AND GRILL</t>
  </si>
  <si>
    <t>APPLEBEES - KEENE #6714</t>
  </si>
  <si>
    <t>Widowmaker - Return to Dust</t>
  </si>
  <si>
    <t>MANCHESTER COUNTRY CLUB</t>
  </si>
  <si>
    <t>Left Hand - Candy Cane Nitro</t>
  </si>
  <si>
    <t>EL TAPATIO RESTAURANTE MEXICANO LLC</t>
  </si>
  <si>
    <t>Popwell</t>
  </si>
  <si>
    <t>NASHUA COUNTRY CLUB</t>
  </si>
  <si>
    <t>BRICKHOUSE PIZZA &amp; WINGS</t>
  </si>
  <si>
    <t>T-BIRD MINI MART - HINSDALE</t>
  </si>
  <si>
    <t>MARKET BASKET #64 SWANZEY</t>
  </si>
  <si>
    <t>MI JALISCO - KEENE</t>
  </si>
  <si>
    <t>Athletic - Lite</t>
  </si>
  <si>
    <t>Athletic - Free Wave</t>
  </si>
  <si>
    <t>Citizen Cider - BD Apple Pie</t>
  </si>
  <si>
    <t>Wormtown - Blizzard</t>
  </si>
  <si>
    <t>Champlain Orch - Kingston Dry</t>
  </si>
  <si>
    <t>Bells - Big hearted</t>
  </si>
  <si>
    <t>A &amp; P CORNER MARKET LLC</t>
  </si>
  <si>
    <t>WEST HOLLIS STREET SHELL #1126</t>
  </si>
  <si>
    <t>MARLBOROUGH FOOD MART</t>
  </si>
  <si>
    <t>DOUBLETREE BY HILTON NASHUA</t>
  </si>
  <si>
    <t>Natural Light</t>
  </si>
  <si>
    <t>PASQUALE'S RISTORANTE</t>
  </si>
  <si>
    <t>KEV'S COUNTRY STORE</t>
  </si>
  <si>
    <t>APPLEKNOCKERS STORE</t>
  </si>
  <si>
    <t>RILEY'S PLACE</t>
  </si>
  <si>
    <t>LUI LUI - NASHUA</t>
  </si>
  <si>
    <t>Cigar City - Oatmeal Raisin Cookie</t>
  </si>
  <si>
    <t>von Trapp - Oktober</t>
  </si>
  <si>
    <t>jarquiett</t>
  </si>
  <si>
    <t>SEVEN ELEV #32502 - LITCHFIELD</t>
  </si>
  <si>
    <t>Mich Ultra Org</t>
  </si>
  <si>
    <t>Citizen Cider - B Cider</t>
  </si>
  <si>
    <t>Kelsen - Gallowglass</t>
  </si>
  <si>
    <t>ALLTOWN #202152 - LONDONDERRY</t>
  </si>
  <si>
    <t>Southern - Pumking</t>
  </si>
  <si>
    <t>LA CARRETA - NASHUA</t>
  </si>
  <si>
    <t>HALCYON CLUB</t>
  </si>
  <si>
    <t>Battery - Endless</t>
  </si>
  <si>
    <t>JM NORTH OF THE BORDER</t>
  </si>
  <si>
    <t>Wormtown - Summer</t>
  </si>
  <si>
    <t>FUEGO LATIN FUSION BAR &amp; RESTAURANT</t>
  </si>
  <si>
    <t>Widowmaker - Mindcrawler</t>
  </si>
  <si>
    <t>AYOTTES &amp; SMOKIN' JOES PREMIUM CIGARS</t>
  </si>
  <si>
    <t>Concord Craft - Pandora Kettle</t>
  </si>
  <si>
    <t>Stoneface - Astral Surf</t>
  </si>
  <si>
    <t>T-BONES - SALEM</t>
  </si>
  <si>
    <t>FRIENDLY RED'S - HUDSON</t>
  </si>
  <si>
    <t>sclark</t>
  </si>
  <si>
    <t>Display/ Display Enhancer</t>
  </si>
  <si>
    <t>Kelsen - Paradigm</t>
  </si>
  <si>
    <t>UPPER VALLEY EVENT CENTER</t>
  </si>
  <si>
    <t>jjohnson</t>
  </si>
  <si>
    <t>JESSE'S STEAKHOUSE</t>
  </si>
  <si>
    <t>T-BIRD MINI MART - SWANZEY MONADNOCK HIGHWAY #676</t>
  </si>
  <si>
    <t>KINSLEY HOUSE OF PIZZA</t>
  </si>
  <si>
    <t>CASA JALISCO BAR &amp; GRILL</t>
  </si>
  <si>
    <t>603 Brew - Beer Hall</t>
  </si>
  <si>
    <t>POOR HOUSE BAR-B-QUE RESTAURANT AND SUPPLIES</t>
  </si>
  <si>
    <t>STELLA'S ITALIAN KITCHEN &amp; CAFE (OFF PREMISE)</t>
  </si>
  <si>
    <t>WICKED TASTY (CATERING)</t>
  </si>
  <si>
    <t>HALUWA</t>
  </si>
  <si>
    <t>MARGARITAS MEXICAN RESTAURANT-NASHUA</t>
  </si>
  <si>
    <t>Henniker - Wrking Man Porter</t>
  </si>
  <si>
    <t>Orono - Tubular</t>
  </si>
  <si>
    <t>ROMANO'S PIZZA LLC</t>
  </si>
  <si>
    <t>RIVIERA NAYARITA MEXICAN-STYLE SEAFOOD</t>
  </si>
  <si>
    <t>SADDLE UP SALOON</t>
  </si>
  <si>
    <t>VFW #8641 - MERRIMACK</t>
  </si>
  <si>
    <t>MISC Encompass Conv Items</t>
  </si>
  <si>
    <t>SHOP EXPRESS</t>
  </si>
  <si>
    <t>SUNA RESTAURANT</t>
  </si>
  <si>
    <t>14th Star - Valor</t>
  </si>
  <si>
    <t>AMERICAN LEGION POST 98 - MERRIMACK</t>
  </si>
  <si>
    <t>AMHERST STREET SHELL #1123 - 190 AMHERST - NASHUA</t>
  </si>
  <si>
    <t>CIRCLE K #7247 - ANDOVER</t>
  </si>
  <si>
    <t>STATELINE PAYSAVER</t>
  </si>
  <si>
    <t>kford</t>
  </si>
  <si>
    <t>FOUR CORNERS GENERAL STORE</t>
  </si>
  <si>
    <t>SEVMAR MEDITERRANEAN BISTRO</t>
  </si>
  <si>
    <t>Jack's Abby - Banner</t>
  </si>
  <si>
    <t>ISLAND POND CONVENIENCE</t>
  </si>
  <si>
    <t>HOWIE GLYNN - SALEM</t>
  </si>
  <si>
    <t>BIRNEY'S MINI MART</t>
  </si>
  <si>
    <t>1911 - Cider Donut</t>
  </si>
  <si>
    <t>1911 - Maple Bourbon Cider</t>
  </si>
  <si>
    <t>Glass</t>
  </si>
  <si>
    <t>Maine Beer Co - Waters</t>
  </si>
  <si>
    <t>Jack's Abby - Copper Legend</t>
  </si>
  <si>
    <t>1911 - Haunted Hayride</t>
  </si>
  <si>
    <t>MILL VILLAGE CTRY STORE</t>
  </si>
  <si>
    <t>Weihenstephaner - Fiestbier</t>
  </si>
  <si>
    <t>Downeast - Peach Mango</t>
  </si>
  <si>
    <t>POLISH AMERICAN CLUB-NASHUA</t>
  </si>
  <si>
    <t>HANNAFORD #8190 - HAMPSTEAD</t>
  </si>
  <si>
    <t>THE SPICE</t>
  </si>
  <si>
    <t>COLLEGE CONVENIENCE</t>
  </si>
  <si>
    <t>NEW LONDON INN/COACH HOUSE RESTAURANT</t>
  </si>
  <si>
    <t>Carlson - Honey Crisp</t>
  </si>
  <si>
    <t>Links Drinks</t>
  </si>
  <si>
    <t>MCKINNON'S MARKET PLACE</t>
  </si>
  <si>
    <t>Shipyard - Finder Session</t>
  </si>
  <si>
    <t>VFW #808 - CLAREMONT</t>
  </si>
  <si>
    <t>Illuminated Sign</t>
  </si>
  <si>
    <t>RED ROBIN BURGERS #515 NASHUA</t>
  </si>
  <si>
    <t>603 Brew - Irish Hello</t>
  </si>
  <si>
    <t>CLIFFY'S PUB</t>
  </si>
  <si>
    <t>SHAKING SEAFOOD</t>
  </si>
  <si>
    <t>603 Brew - Pipes &amp; Drums</t>
  </si>
  <si>
    <t>BIG DEAL - KEENE</t>
  </si>
  <si>
    <t>AMIGOS MEXICAN CANTINA</t>
  </si>
  <si>
    <t>Left Hand - Coconut Milk Stout</t>
  </si>
  <si>
    <t>PINARDVILLE ATHLETIC CLUB</t>
  </si>
  <si>
    <t>Epigram - Rowdy House</t>
  </si>
  <si>
    <t>SAYDES RESTAURANT INC.</t>
  </si>
  <si>
    <t>603 Brew - Winni</t>
  </si>
  <si>
    <t>603 Brew - Hard Seltzer</t>
  </si>
  <si>
    <t>RIVERSIDE GROCERY</t>
  </si>
  <si>
    <t>CIRCLE K #7261 - HUDSON</t>
  </si>
  <si>
    <t>Breck Vanilla Porter</t>
  </si>
  <si>
    <t>Maine Beer Co - N Mean Tom</t>
  </si>
  <si>
    <t>A-1 PIZZA &amp; GRILL HINSDALE</t>
  </si>
  <si>
    <t>Frost - Lush</t>
  </si>
  <si>
    <t>Deciduous - NH Lager</t>
  </si>
  <si>
    <t>SHAW'S #3510 - NASHUA - ROYAL RIDGE</t>
  </si>
  <si>
    <t>JUKK INC</t>
  </si>
  <si>
    <t>Stoneface - Imaginary Cartwheel</t>
  </si>
  <si>
    <t>WINDHAM RESTAURANT (THE)</t>
  </si>
  <si>
    <t>VFW #4368 - MILFORD</t>
  </si>
  <si>
    <t>EVVIVA TRATTORIA - BEDFORD</t>
  </si>
  <si>
    <t>AMERICAN LEGION POST 23 - MILFORD</t>
  </si>
  <si>
    <t>NASHUA SHELL #1127 - 620 AMHERST ST</t>
  </si>
  <si>
    <t>HANNAFORD #8266 - W.LEB</t>
  </si>
  <si>
    <t>Tuckerman - Rock Pile IPA</t>
  </si>
  <si>
    <t>LITTLE BROTHERS BURGERS</t>
  </si>
  <si>
    <t>Stoneface - Berliner Weisse</t>
  </si>
  <si>
    <t>APPLEBEES - W.LEB #6732</t>
  </si>
  <si>
    <t>DRAFT HOUSE LAKESIDE BAR &amp; GRILLE (THE)</t>
  </si>
  <si>
    <t>COURTYARD BY MARRIOTT - NASHUA</t>
  </si>
  <si>
    <t>Maine Beer Co - Tiny</t>
  </si>
  <si>
    <t>THE BRICKHOUSE RESTAURANT AND BREWERY</t>
  </si>
  <si>
    <t>STOCKWELL RESTAURANT</t>
  </si>
  <si>
    <t>BRETWOOD GOLF COURSE</t>
  </si>
  <si>
    <t>PASSACONAWAY COUNTRY CLUB</t>
  </si>
  <si>
    <t>Weihenstephaner - Hefe Dunkel</t>
  </si>
  <si>
    <t>LONGHORN STEAK #0003 - KEENE</t>
  </si>
  <si>
    <t>Battery - Flume</t>
  </si>
  <si>
    <t>Other Half - Hop Showers</t>
  </si>
  <si>
    <t>SEVEN ELEV #32504 - KEENE</t>
  </si>
  <si>
    <t>MARKET BASKET #47 RINDGE</t>
  </si>
  <si>
    <t>Von Trapp - NZ Pilsner</t>
  </si>
  <si>
    <t>Frost - Plush</t>
  </si>
  <si>
    <t>HANNAFORD #8015 - PELHAM</t>
  </si>
  <si>
    <t>Henniker - Damn Sure</t>
  </si>
  <si>
    <t>Devils BB - Orng Smash</t>
  </si>
  <si>
    <t>JIFFY MART #200692 - KEENE</t>
  </si>
  <si>
    <t>Equilibrium - Light at the end of the Tunnel</t>
  </si>
  <si>
    <t>Widowmaker - Blue Wizard</t>
  </si>
  <si>
    <t>Bud Lt Lemon-Ade-Rita</t>
  </si>
  <si>
    <t>SPIT BROOK MARKET</t>
  </si>
  <si>
    <t>Golden Road AF Mango</t>
  </si>
  <si>
    <t>bgermano</t>
  </si>
  <si>
    <t>Maine Beer Co - Lunch</t>
  </si>
  <si>
    <t>T-BONES - BEDFORD</t>
  </si>
  <si>
    <t>Mich Ultra</t>
  </si>
  <si>
    <t>GUERRILLA GRILL</t>
  </si>
  <si>
    <t>HANNAFORD #8246 - NEW LONDON</t>
  </si>
  <si>
    <t>ggage</t>
  </si>
  <si>
    <t>MOLLYS RESTAURANT</t>
  </si>
  <si>
    <t>jcannamucio</t>
  </si>
  <si>
    <t>COACH STOP</t>
  </si>
  <si>
    <t>BOWLING ACRES</t>
  </si>
  <si>
    <t>ATKINSON RESORT AND COUNTRY CLUB</t>
  </si>
  <si>
    <t>DIPLOMAT (THE)</t>
  </si>
  <si>
    <t>Founders - KBS</t>
  </si>
  <si>
    <t>POUR HOUSE (THE)</t>
  </si>
  <si>
    <t>DREO FOOD AND DRINK</t>
  </si>
  <si>
    <t>Concord Craft - Conquered</t>
  </si>
  <si>
    <t>GIORGIO'S RISTORANTE - MILFORD</t>
  </si>
  <si>
    <t>SALT HILL PUB - NEWPORT</t>
  </si>
  <si>
    <t>Von Trapp - West Coast</t>
  </si>
  <si>
    <t>OLD SCHOOL BAR AND GRILL</t>
  </si>
  <si>
    <t>VFW #799 - KEENE</t>
  </si>
  <si>
    <t>Newburyport - Plum Island</t>
  </si>
  <si>
    <t>TJ'S DELI AND CATERING</t>
  </si>
  <si>
    <t>ROYAL PIZZA</t>
  </si>
  <si>
    <t>1750-TAPHOUSE</t>
  </si>
  <si>
    <t>SUN BAR &amp; GRILL</t>
  </si>
  <si>
    <t>BLUE BEAR HOSPITALITY LLC</t>
  </si>
  <si>
    <t>MOBIL MART SHOP</t>
  </si>
  <si>
    <t>A AND S FOODMART</t>
  </si>
  <si>
    <t>X-GOLF BEDFORD</t>
  </si>
  <si>
    <t>TORTILLA FLAT</t>
  </si>
  <si>
    <t>MARKET BASKET #33 HUDSON</t>
  </si>
  <si>
    <t>Founders - CBS</t>
  </si>
  <si>
    <t>Other Half - LACEd in Space</t>
  </si>
  <si>
    <t>BBCO - Good Company</t>
  </si>
  <si>
    <t>Equilibrium - Mmm...Osa</t>
  </si>
  <si>
    <t>rwallace</t>
  </si>
  <si>
    <t>SLADES FOOD &amp; SPIRITS</t>
  </si>
  <si>
    <t>LI'L LOBSTER BOAT</t>
  </si>
  <si>
    <t>UNION PUBLIC HOUSE</t>
  </si>
  <si>
    <t>21 Amend - Hell High Water</t>
  </si>
  <si>
    <t>603 Brew - Toast Pumpkin</t>
  </si>
  <si>
    <t>Mighty Squirrel - Kiwi White</t>
  </si>
  <si>
    <t>603 Brew - Scenic</t>
  </si>
  <si>
    <t>Stoneface - Reg Sch Pro</t>
  </si>
  <si>
    <t>Battery - Golden Path</t>
  </si>
  <si>
    <t>HANNAFORD #8119 - CLAREMNT</t>
  </si>
  <si>
    <t>Downeast - Drier Side</t>
  </si>
  <si>
    <t>ARLINGTON INN &amp; TAVERN (THE)</t>
  </si>
  <si>
    <t>Clubtails</t>
  </si>
  <si>
    <t>TOWN HALL TAPHOUSE AND EATERY</t>
  </si>
  <si>
    <t>BBCO - Creatures Magic</t>
  </si>
  <si>
    <t>PLEASANT ST SMOKE &amp; BEER</t>
  </si>
  <si>
    <t>LA CARRETA - LONDONDERRY</t>
  </si>
  <si>
    <t>FORBES TAVERN AND EVENTS</t>
  </si>
  <si>
    <t>BBCO - Lighthouse</t>
  </si>
  <si>
    <t>NOBLE RAMEN HOUSE</t>
  </si>
  <si>
    <t>eleahy</t>
  </si>
  <si>
    <t>PRESSED CAFE - BEDFORD</t>
  </si>
  <si>
    <t>eplatt</t>
  </si>
  <si>
    <t>LA VAKA MEXICAN RESTAURANT</t>
  </si>
  <si>
    <t>SNACKSHOT CATERING</t>
  </si>
  <si>
    <t>AMERICAN LEGION POST 59 - HILLSBORO</t>
  </si>
  <si>
    <t>Dos Equis</t>
  </si>
  <si>
    <t>Athletic - All Out</t>
  </si>
  <si>
    <t>KEENE DISCOUNT MART</t>
  </si>
  <si>
    <t>GET-N-GO</t>
  </si>
  <si>
    <t>Downeast - Blackberry</t>
  </si>
  <si>
    <t>Tuckerman - Pale Ale</t>
  </si>
  <si>
    <t>BL Seltzer Variety</t>
  </si>
  <si>
    <t>CHARTWELL'S DINING SERVICES</t>
  </si>
  <si>
    <t>PAR28</t>
  </si>
  <si>
    <t>DANIEL'S PUB INC</t>
  </si>
  <si>
    <t>Kelsen - Battle Axe</t>
  </si>
  <si>
    <t>COPPER DOOR - BEDFORD</t>
  </si>
  <si>
    <t>Fiddlehead - Mastermind</t>
  </si>
  <si>
    <t>BAR</t>
  </si>
  <si>
    <t>AMERICAN LEGION POST 22 - GRAFTON</t>
  </si>
  <si>
    <t>PIZZICO - MERRIMACK</t>
  </si>
  <si>
    <t>Bitburger - Premium Pils</t>
  </si>
  <si>
    <t>Concord Craft - Squirrel Fights</t>
  </si>
  <si>
    <t>NH SPORTSPLEX</t>
  </si>
  <si>
    <t>BUFFALO WILD WINGS GRILL &amp; BAR - NASHUA</t>
  </si>
  <si>
    <t>YELLOW BELL CAFE</t>
  </si>
  <si>
    <t>ROCCO'S PIZZA</t>
  </si>
  <si>
    <t>NEWPORT MEAT MARKET</t>
  </si>
  <si>
    <t>Other Half - Superfun!</t>
  </si>
  <si>
    <t>Downeast - Caramel Apple</t>
  </si>
  <si>
    <t>Upper Pass - Cloud Drop</t>
  </si>
  <si>
    <t>BRADFORD MARKET</t>
  </si>
  <si>
    <t>BUDGET LUCKY MART</t>
  </si>
  <si>
    <t>Natty Daddy</t>
  </si>
  <si>
    <t>SANDRI STOP - HINSDALE</t>
  </si>
  <si>
    <t>LYME COUNTRY STORE</t>
  </si>
  <si>
    <t>Wormtown - Blizzard_2</t>
  </si>
  <si>
    <t>True North - Witch</t>
  </si>
  <si>
    <t>CLAREMONT COUNTRY CLUB</t>
  </si>
  <si>
    <t>RALPH'S SUPERMARKET</t>
  </si>
  <si>
    <t>PHO TAI LOC</t>
  </si>
  <si>
    <t>Daily's Cocktails</t>
  </si>
  <si>
    <t>True North - Violet</t>
  </si>
  <si>
    <t>PENALTY BOX BAR &amp; GRILL</t>
  </si>
  <si>
    <t>PATEL'S MAMMOTH CONVENIENCE</t>
  </si>
  <si>
    <t>Oskar Blues - Dales Pale</t>
  </si>
  <si>
    <t>Weihenstephaner - Hefe</t>
  </si>
  <si>
    <t>603 Brew - Summa</t>
  </si>
  <si>
    <t>TOBACCO JUNCTION - HUDSON</t>
  </si>
  <si>
    <t>QUICK MART - NASHUA</t>
  </si>
  <si>
    <t>THE HANCOCK MARKET</t>
  </si>
  <si>
    <t>GERARDO'S TRATTORIA AMALF</t>
  </si>
  <si>
    <t>Zero Gravity - Madonna</t>
  </si>
  <si>
    <t>TACOS Y TEQUILA HANOVER</t>
  </si>
  <si>
    <t>Widowmaker - Spring Wake</t>
  </si>
  <si>
    <t>BBCO - Enchanted</t>
  </si>
  <si>
    <t>Mighty Squirrel - Magic Rain</t>
  </si>
  <si>
    <t>Henniker - Dinger</t>
  </si>
  <si>
    <t>LAKE SUNAPEE COUNTRY CLUB</t>
  </si>
  <si>
    <t>CONVENIENCE PLUS LONDONDERRY</t>
  </si>
  <si>
    <t>Industrial - Wrench</t>
  </si>
  <si>
    <t>21B BAR AND GRILL</t>
  </si>
  <si>
    <t>NEWPORT GOLF CLUB</t>
  </si>
  <si>
    <t>Other Half - Big Necatron Vibes</t>
  </si>
  <si>
    <t>Sparkling Ice Caf</t>
  </si>
  <si>
    <t>DUBLIN SMOKE HAUS</t>
  </si>
  <si>
    <t>Other Half - Tall Kiwi</t>
  </si>
  <si>
    <t>THE FRIENDLY TOAST - BEDFORD</t>
  </si>
  <si>
    <t>PLAISTOW CIGAR COMPANY</t>
  </si>
  <si>
    <t>LEO'S ONE STOP</t>
  </si>
  <si>
    <t>Henniker - Roast</t>
  </si>
  <si>
    <t>Left Hand - Milk Stout</t>
  </si>
  <si>
    <t>Moretti</t>
  </si>
  <si>
    <t>RUM BROOK-MARKET</t>
  </si>
  <si>
    <t>Widowmaker - Riff</t>
  </si>
  <si>
    <t>NEW WA TOY</t>
  </si>
  <si>
    <t>CIRCLE K #7233 - GOFFSTOWN</t>
  </si>
  <si>
    <t>True North - Any Tang</t>
  </si>
  <si>
    <t>Peak - Sweet Tarts</t>
  </si>
  <si>
    <t>RIVERSIDE GRILLE</t>
  </si>
  <si>
    <t>Southern - Caramel Cookie Bar</t>
  </si>
  <si>
    <t>Mighty Squirrel - Hammer</t>
  </si>
  <si>
    <t>Nutrl Pineapple</t>
  </si>
  <si>
    <t>APPLEBEES - NASHUA Amherst St</t>
  </si>
  <si>
    <t>CAMPBELL'S SCOTTISH HIGHLAND GOLF COURSE</t>
  </si>
  <si>
    <t>WAL-MART #1753 - DERRY</t>
  </si>
  <si>
    <t>BAR ONE</t>
  </si>
  <si>
    <t>T-BONES - HUDSON</t>
  </si>
  <si>
    <t>Equilibrium - Tidal Balance</t>
  </si>
  <si>
    <t>TEQUILA JALISCO MEXICAN CUISINE AND CANTINA</t>
  </si>
  <si>
    <t>PIERRE'S PLACE</t>
  </si>
  <si>
    <t>LUCKY DISCOUNT MART</t>
  </si>
  <si>
    <t>ZHONG'S RESTAURANT</t>
  </si>
  <si>
    <t>Lord Hobo - Good Jake</t>
  </si>
  <si>
    <t>WALPOLE GROCERY</t>
  </si>
  <si>
    <t>PLAISTOW QUICK MART</t>
  </si>
  <si>
    <t>KJ'S PIZZA &amp; SUBS</t>
  </si>
  <si>
    <t>NOT YOUR AVERAGE JOE'S</t>
  </si>
  <si>
    <t>Wormtown - Be Juicy</t>
  </si>
  <si>
    <t>603 Brew - Knuckle</t>
  </si>
  <si>
    <t>DESTINATION INDIA RESTAURANT &amp; BAR</t>
  </si>
  <si>
    <t>Lord Hobo - Atomic Black</t>
  </si>
  <si>
    <t>Zero Gravity - Cone Head Haze</t>
  </si>
  <si>
    <t>Stoneface - Treat Me</t>
  </si>
  <si>
    <t>SAL'S PIZZA OF MILFORD</t>
  </si>
  <si>
    <t>Wormtown - Irish Red_2</t>
  </si>
  <si>
    <t>Henniker - Space Race</t>
  </si>
  <si>
    <t>STILL NORTH BOOKS &amp; BAR</t>
  </si>
  <si>
    <t>Other Half - Green City</t>
  </si>
  <si>
    <t>TUPELO VENUE</t>
  </si>
  <si>
    <t>CUMBERLAND FM #5545 - PLAISTOW</t>
  </si>
  <si>
    <t>Other Half - Juice Brawl</t>
  </si>
  <si>
    <t>DUSTY'S CONVENIENCE INC.</t>
  </si>
  <si>
    <t>Some - PB Whoopie</t>
  </si>
  <si>
    <t>T-BIRD MINI MART - ANTRIM</t>
  </si>
  <si>
    <t>Throwback - Wallis White</t>
  </si>
  <si>
    <t>TARGET #2120 - KEENE</t>
  </si>
  <si>
    <t>Tuckerman - Headwall Alt</t>
  </si>
  <si>
    <t>TARGET #1228 - NASHUA - DWH</t>
  </si>
  <si>
    <t>Frost - Dented</t>
  </si>
  <si>
    <t>BEDFORD VILLAGE INN &amp; REST.</t>
  </si>
  <si>
    <t>Stoneface - Porter</t>
  </si>
  <si>
    <t>Stoneface - Double Clip</t>
  </si>
  <si>
    <t>NAJI'S PIZZA</t>
  </si>
  <si>
    <t>CIRCLE K #7263 - BEDFORD - WHITE AVE</t>
  </si>
  <si>
    <t>True North - Bright &amp; Early</t>
  </si>
  <si>
    <t>Frost - Brown</t>
  </si>
  <si>
    <t>SMOKING TROUT (THE)</t>
  </si>
  <si>
    <t>NEWBURY PALACE PIZZA</t>
  </si>
  <si>
    <t>OM SHELL FOOD</t>
  </si>
  <si>
    <t>Sea Dog - Blood Orange</t>
  </si>
  <si>
    <t>Busch</t>
  </si>
  <si>
    <t>gconnor</t>
  </si>
  <si>
    <t>UNO PIZZERIA &amp; GRILL - AMHERST ST - NASHUA</t>
  </si>
  <si>
    <t>Guinness Pretzel Pieces</t>
  </si>
  <si>
    <t>CUMBERLAND FM #5425 - KEENE</t>
  </si>
  <si>
    <t>CHESHIRE VILLAGE PIZZA</t>
  </si>
  <si>
    <t>Equilibrium - Einsteins Quartet</t>
  </si>
  <si>
    <t>Henniker - Sour Flower</t>
  </si>
  <si>
    <t>Southern - Mokah</t>
  </si>
  <si>
    <t>AMERICAN LEGION POST 3 - NASHUA</t>
  </si>
  <si>
    <t>MICKEY'S NY PIZZA</t>
  </si>
  <si>
    <t>RITE AID #10285 - PETERBOROUGH</t>
  </si>
  <si>
    <t>WASABI SUSHI HIBACHI INC.</t>
  </si>
  <si>
    <t>RITE AID #1653 - JAFFREY</t>
  </si>
  <si>
    <t>Shipyard - American Pale Ale</t>
  </si>
  <si>
    <t>Southern - Irish Cream</t>
  </si>
  <si>
    <t>Zero Gravity - 40 Thieves</t>
  </si>
  <si>
    <t>von Trapp - Echo Love</t>
  </si>
  <si>
    <t>CHEN YANG LI RESTAURANT BY KFZ</t>
  </si>
  <si>
    <t>ACE DISCOUNT CIGARETTES</t>
  </si>
  <si>
    <t>Founders - Curmudgeon Old Ale 2016</t>
  </si>
  <si>
    <t>Mich Ultra Zero</t>
  </si>
  <si>
    <t>603 Brew - Lono Tiki</t>
  </si>
  <si>
    <t>KETTLEHEAD BREWING CO - NASHUA</t>
  </si>
  <si>
    <t>True North - Winter Woods</t>
  </si>
  <si>
    <t>AR VILLAGE STORE</t>
  </si>
  <si>
    <t>Foundation - Berry Trifle</t>
  </si>
  <si>
    <t>Bud Light Next</t>
  </si>
  <si>
    <t>RAY'S STATE LINE</t>
  </si>
  <si>
    <t>KARMA SMOKE BEER &amp; WINE</t>
  </si>
  <si>
    <t>Other Half - Tens of Hundreds</t>
  </si>
  <si>
    <t>Kentucky - Cocoa Porter</t>
  </si>
  <si>
    <t>SUNNYSIDE - STOP</t>
  </si>
  <si>
    <t>LUCKY MOOSE CASINO &amp; TAVERN (THE)</t>
  </si>
  <si>
    <t>Lord Hobo - Hop Tobaggin</t>
  </si>
  <si>
    <t>LATIN BAKERY &amp; MULTISERVICE INC</t>
  </si>
  <si>
    <t>Frost - Double Ponyboy</t>
  </si>
  <si>
    <t>WICKED TASTY</t>
  </si>
  <si>
    <t>Henniker - Hugs From</t>
  </si>
  <si>
    <t>Carlson - Harvard Harvest</t>
  </si>
  <si>
    <t>KEGLERS DEN</t>
  </si>
  <si>
    <t>Equilibrium - Wavelength</t>
  </si>
  <si>
    <t>True North - Northern</t>
  </si>
  <si>
    <t>ATKINSON SUNOCO</t>
  </si>
  <si>
    <t>Misc Keg Other</t>
  </si>
  <si>
    <t>von Trapp - Trosten</t>
  </si>
  <si>
    <t>Jack's Abby - Toy Soldier</t>
  </si>
  <si>
    <t>New Belgium - Holiday Ale</t>
  </si>
  <si>
    <t>GRUMPY'S CIGARS AND LOUNGE</t>
  </si>
  <si>
    <t>Berkshire - Apuckalips</t>
  </si>
  <si>
    <t>CIRCLE K #7259 - BEDFORD - TECHNOLOGY DR</t>
  </si>
  <si>
    <t>SUSHI TIME RESTAURANT</t>
  </si>
  <si>
    <t>UNWINED</t>
  </si>
  <si>
    <t>Henniker - Footy Pj's</t>
  </si>
  <si>
    <t>NEST KITCHEN &amp; CAFE (THE)</t>
  </si>
  <si>
    <t>Founders - All Day Grapefruit IPA</t>
  </si>
  <si>
    <t>Stoneface - Duct Tape</t>
  </si>
  <si>
    <t>HAR HAR MAHADEV INC</t>
  </si>
  <si>
    <t>AXE TOWNE</t>
  </si>
  <si>
    <t>Austin Street - Florens</t>
  </si>
  <si>
    <t>Austin Street - Offset</t>
  </si>
  <si>
    <t>CIRCLE K #7236 - MILFORD</t>
  </si>
  <si>
    <t>Zero Gravity - Duck Duck</t>
  </si>
  <si>
    <t>Other Half - Motueka + Galaxy</t>
  </si>
  <si>
    <t>Joe Tea</t>
  </si>
  <si>
    <t>Battery - Flume*2</t>
  </si>
  <si>
    <t>FLACO'S MEXICAN RESTUARANT &amp; CANTINA</t>
  </si>
  <si>
    <t>NASHUA ELKS LODGE 720</t>
  </si>
  <si>
    <t>PATTERSON GROCERY &amp; DELI</t>
  </si>
  <si>
    <t>CIRCLE K # 7257 - KEENE</t>
  </si>
  <si>
    <t>RAMUNTO'S BRICK &amp; BRICK &amp; BREW PIZZERIA-HANOVER</t>
  </si>
  <si>
    <t>Wicked Weed Pernicious Haze</t>
  </si>
  <si>
    <t>MARKET BASKET #84 SALEM</t>
  </si>
  <si>
    <t>Henniker - Dustoff</t>
  </si>
  <si>
    <t>NOCA - Alcolo</t>
  </si>
  <si>
    <t>NEWPORT VILLAGE PIZZA</t>
  </si>
  <si>
    <t>ANGUS LEA GOLF COURSE</t>
  </si>
  <si>
    <t>Lord Hobo - Doomsauce</t>
  </si>
  <si>
    <t>CIRCLE K #7246 - W.LEB</t>
  </si>
  <si>
    <t>CIRCLE K #7245 - HANOVER</t>
  </si>
  <si>
    <t>CIRCLE K #7230 - HILLSBORO</t>
  </si>
  <si>
    <t>COMMON MAN - WINDHAM</t>
  </si>
  <si>
    <t>Nutrl Orange</t>
  </si>
  <si>
    <t>77 SPORTS BAR &amp; LOUNGE</t>
  </si>
  <si>
    <t>Champlain Orch - Original</t>
  </si>
  <si>
    <t>Citizen Cider - Cran Crush</t>
  </si>
  <si>
    <t>Widowmaker - Mt. Doom</t>
  </si>
  <si>
    <t>NEW ENGLAND SPORTS CENTER</t>
  </si>
  <si>
    <t>HANNAFORD #8016 - DERRY</t>
  </si>
  <si>
    <t>Southern - Orange Twist</t>
  </si>
  <si>
    <t>LA PINATA MEXICAN GRILL</t>
  </si>
  <si>
    <t>Berkshire - Pumpkin</t>
  </si>
  <si>
    <t>GD CATERING LLC</t>
  </si>
  <si>
    <t>Wicked Weed</t>
  </si>
  <si>
    <t>Stoneface - DDH Full Clip</t>
  </si>
  <si>
    <t>KASHMIR INDIAN CUISINE</t>
  </si>
  <si>
    <t>Berkshire - Steel Rail</t>
  </si>
  <si>
    <t>PARK AVE DELI + MARKET</t>
  </si>
  <si>
    <t>Southern - Tiramasu</t>
  </si>
  <si>
    <t>Southern - Warlock</t>
  </si>
  <si>
    <t>AR SMOKE BEER &amp; CIGAR</t>
  </si>
  <si>
    <t>BEER &amp; WINE NATION - LONDONDERRY</t>
  </si>
  <si>
    <t>Stoneface - DDH Mozz</t>
  </si>
  <si>
    <t>LUNA BISTRO</t>
  </si>
  <si>
    <t>VFW #1617 - DERRY</t>
  </si>
  <si>
    <t>True North - Bog Moon</t>
  </si>
  <si>
    <t>603 Brew - Mighty Oak</t>
  </si>
  <si>
    <t>HOMETOWN IRVING</t>
  </si>
  <si>
    <t>Equilibrium - Coastline Chromatics</t>
  </si>
  <si>
    <t>Berkshire - Marzen</t>
  </si>
  <si>
    <t>Woodland - NA Beer</t>
  </si>
  <si>
    <t>Concord Craft - Oktoberfest</t>
  </si>
  <si>
    <t>Stoneface - Oktoberfest</t>
  </si>
  <si>
    <t>Cutwater Variety</t>
  </si>
  <si>
    <t>Concord Craft - Apple Crisp</t>
  </si>
  <si>
    <t>Revitalyte</t>
  </si>
  <si>
    <t>HIDDEN VALLEY BAR &amp; GRILL</t>
  </si>
  <si>
    <t>FAMILY DOLLAR #8262 - WINCHESTER</t>
  </si>
  <si>
    <t>RIVER CASINO &amp; SPORTS BAR (THE)</t>
  </si>
  <si>
    <t>SUNSHUI ASIAN CUISINE</t>
  </si>
  <si>
    <t>LONGHORN STEAK #5278 - AMHERST</t>
  </si>
  <si>
    <t>Mighty Squirrel - Gourdgeous Pumpkin</t>
  </si>
  <si>
    <t>SPENCERS PLACE</t>
  </si>
  <si>
    <t>DINNER TABLE REST</t>
  </si>
  <si>
    <t>New Belgium - VR 1985 Mango</t>
  </si>
  <si>
    <t>HANNAFORD #8436 - BEDFORD - KILTON RD</t>
  </si>
  <si>
    <t>DAY OF THE DEAD MEXICAN TAQUERIA</t>
  </si>
  <si>
    <t>Victory - Golden Monkey</t>
  </si>
  <si>
    <t>MAIN ST GYRO</t>
  </si>
  <si>
    <t>Sparkling Ice Energy</t>
  </si>
  <si>
    <t>Ayinger</t>
  </si>
  <si>
    <t>HOWIE GLYNN - WINDHAM - COBBETS RD.</t>
  </si>
  <si>
    <t>BENDER'S BAR AND GRILL</t>
  </si>
  <si>
    <t>Woodland - Festbier</t>
  </si>
  <si>
    <t>Austin Street - Fox Street</t>
  </si>
  <si>
    <t>LOYAL ORDER OF MOOSE - NEWPORT</t>
  </si>
  <si>
    <t>True North - Down By The Bay</t>
  </si>
  <si>
    <t>CLAREMONT OPERA HOUSE</t>
  </si>
  <si>
    <t>110 GRILL - W. LEB</t>
  </si>
  <si>
    <t>Maine Beer Co - Fall</t>
  </si>
  <si>
    <t>Wormtown - Be Smooth</t>
  </si>
  <si>
    <t>JR'S CONVENIENCE</t>
  </si>
  <si>
    <t>HANNAFORD #8163 - KEENE</t>
  </si>
  <si>
    <t>Athletic - Geralts Gold</t>
  </si>
  <si>
    <t>CUMBERLAND FM #5409 - DERRY</t>
  </si>
  <si>
    <t>SULLY'S SUPERETTE</t>
  </si>
  <si>
    <t>Frost - Research DIPA</t>
  </si>
  <si>
    <t>Wormtown - Fresh Patch_2</t>
  </si>
  <si>
    <t>von Trapp - Stowe Style</t>
  </si>
  <si>
    <t>Banded - Zealot</t>
  </si>
  <si>
    <t>Kentucky - BBA Imp Milk Stout</t>
  </si>
  <si>
    <t>Widowmaker - Fear</t>
  </si>
  <si>
    <t>Frost - Research IPA</t>
  </si>
  <si>
    <t>Citizen Cider - Peach Crush</t>
  </si>
  <si>
    <t>Other Half - We're Happy to Juice You</t>
  </si>
  <si>
    <t>Stoneface - Dwaynes World</t>
  </si>
  <si>
    <t>Heineken Silver</t>
  </si>
  <si>
    <t>CIRCLE K #7240 - GRANTHAM</t>
  </si>
  <si>
    <t>Equilibrium - Space Station Dream Lab</t>
  </si>
  <si>
    <t>Cutwater Tequila Paloma</t>
  </si>
  <si>
    <t>14th Star - Tribute</t>
  </si>
  <si>
    <t>THE OVERLOOK GOLF CLUB</t>
  </si>
  <si>
    <t>Equilibrium - POG Bubbles</t>
  </si>
  <si>
    <t>Ghost Energy</t>
  </si>
  <si>
    <t>Downeast - Overboard</t>
  </si>
  <si>
    <t>COPPER KETTLE</t>
  </si>
  <si>
    <t>Cutwater Vodka Mule</t>
  </si>
  <si>
    <t>MAIN STREET MARKETPLACE</t>
  </si>
  <si>
    <t>krogers</t>
  </si>
  <si>
    <t>Exhibit A - Panda Punch</t>
  </si>
  <si>
    <t>Lagunitas - Hoppy Refresher</t>
  </si>
  <si>
    <t>Mighty Squirrel - Dbl Cloud Candy</t>
  </si>
  <si>
    <t>von Trapp - Pine 1769</t>
  </si>
  <si>
    <t>SHAW'S #0686 - WINDHAM</t>
  </si>
  <si>
    <t>603 Brew - Sparkle Bomb</t>
  </si>
  <si>
    <t>HUDSON SPEEDWAY (THE)</t>
  </si>
  <si>
    <t>HILLTOP CAFE</t>
  </si>
  <si>
    <t>Citizen Cider - Dirty Mayor</t>
  </si>
  <si>
    <t>Athletic - Oktoberfest</t>
  </si>
  <si>
    <t>Henniker - Ambr App</t>
  </si>
  <si>
    <t>102 SMOKE SHOP &amp; MARKET</t>
  </si>
  <si>
    <t>Lagunitas - Daytime</t>
  </si>
  <si>
    <t>WAL-MART #2057 - RINDGE</t>
  </si>
  <si>
    <t>Austin Street - DDH Patina</t>
  </si>
  <si>
    <t>WHOLE FOODS MARKET - NASHUA - BAR</t>
  </si>
  <si>
    <t>CUMBERLAND FARMS #5450 -NASHUA - AMHERST ST</t>
  </si>
  <si>
    <t>BBCO - Elaborate</t>
  </si>
  <si>
    <t>THE FRIENDLY TOAST - NASHUA</t>
  </si>
  <si>
    <t>CIRCLE K #7234 - DERRY - 28 BYPASS</t>
  </si>
  <si>
    <t>Woodland - Ruby Slippers</t>
  </si>
  <si>
    <t>Jack's Abby - Radler</t>
  </si>
  <si>
    <t>PROCTORS GENERAL STORE</t>
  </si>
  <si>
    <t>Kentucky - Bourbon Barrel Tart Cherry Wheat</t>
  </si>
  <si>
    <t>BLUE BEAR INN</t>
  </si>
  <si>
    <t>Wormtown - Beach Fix</t>
  </si>
  <si>
    <t>ENERGY NORTH #2219 - SALEM - N.BROADWAY</t>
  </si>
  <si>
    <t>BUDGET GAS &amp; FOOD MART</t>
  </si>
  <si>
    <t>GRILL 603</t>
  </si>
  <si>
    <t>Austin Street - Anniversary</t>
  </si>
  <si>
    <t>Mighty Squirrel - Mango Lassi</t>
  </si>
  <si>
    <t>Banded - Greenwarden</t>
  </si>
  <si>
    <t>Equilibrium - Element Carbon</t>
  </si>
  <si>
    <t>Maine Beer Co - Whaleboat</t>
  </si>
  <si>
    <t>Arizona Hard Lemon T</t>
  </si>
  <si>
    <t>The Beast - Mean Green</t>
  </si>
  <si>
    <t>BUXTONS PIZZA</t>
  </si>
  <si>
    <t>SHATTUCK GOLF AND DUBLIN ROAD TAPROOM</t>
  </si>
  <si>
    <t>rdouzanis</t>
  </si>
  <si>
    <t>BOLOCO</t>
  </si>
  <si>
    <t>MICKEYS 603</t>
  </si>
  <si>
    <t>HARLOWS DELI &amp; CAFE</t>
  </si>
  <si>
    <t>Citizen Cider - Raspberry Crush</t>
  </si>
  <si>
    <t>MI JALISCO - MILFORD</t>
  </si>
  <si>
    <t>603 Brew - As You Wish</t>
  </si>
  <si>
    <t>Kentucky - Vanilla Cream</t>
  </si>
  <si>
    <t>JADE DRAGON-MILFORD</t>
  </si>
  <si>
    <t>Stoneface - Town Car</t>
  </si>
  <si>
    <t>Busch Light Peach</t>
  </si>
  <si>
    <t>Henniker - Trail Buddy</t>
  </si>
  <si>
    <t>FRANKIES DINER/ STONECUTTERS PUB</t>
  </si>
  <si>
    <t>Cutwater Mojito</t>
  </si>
  <si>
    <t>Sales Rep</t>
  </si>
  <si>
    <t>Time Requested</t>
  </si>
  <si>
    <t>Large Tap Marker</t>
  </si>
  <si>
    <t>Small Tap Marker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</si>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</sst>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41E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vertical="center"/>
    </xf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  <xf numFmtId="49" fontId="1" fillId="2" borderId="0" xfId="1" applyNumberFormat="1" applyAlignment="1">
      <alignment horizontal="left" vertical="center"/>
    </xf>
    <xf numFmtId="49" fontId="1" fillId="2" borderId="0" xfId="1" applyNumberFormat="1" applyAlignment="1">
      <alignment horizontal="right" vertical="center"/>
    </xf>
    <xf numFmtId="164" fontId="0" fillId="0" borderId="0" xfId="0" applyNumberFormat="1" applyAlignment="1">
      <alignment horizontal="right"/>
    </xf>
  </cellXfs>
  <cellStyles count="2">
    <cellStyle name="Header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4"/>
  <sheetViews>
    <sheetView tabSelected="1"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/>
    </sheetView>
  </sheetViews>
  <sheetFormatPr baseColWidth="10" defaultColWidth="8.83203125" defaultRowHeight="15" x14ac:dyDescent="0.2"/>
  <cols>
    <col min="1" max="1" width="21.83203125" bestFit="1" customWidth="1"/>
    <col min="2" max="2" width="35.6640625" bestFit="1" customWidth="1"/>
    <col min="3" max="3" width="19" bestFit="1" customWidth="1"/>
    <col min="4" max="4" width="13.5" bestFit="1" customWidth="1"/>
    <col min="5" max="5" width="50.33203125" bestFit="1" customWidth="1"/>
  </cols>
  <sheetData>
    <row r="1" spans="1:5" x14ac:dyDescent="0.2">
      <c r="A1" s="3" t="s">
        <v>1278</v>
      </c>
      <c r="B1" s="3" t="s">
        <v>59</v>
      </c>
      <c r="C1" s="4" t="s">
        <v>1275</v>
      </c>
      <c r="D1" s="3" t="s">
        <v>1274</v>
      </c>
      <c r="E1" s="3" t="s">
        <v>458</v>
      </c>
    </row>
    <row r="2" spans="1:5" x14ac:dyDescent="0.2">
      <c r="A2" s="1" t="s">
        <v>1</v>
      </c>
      <c r="B2" s="1" t="s">
        <v>60</v>
      </c>
      <c r="C2" s="5">
        <f>DATE(2026, 3, 12) + TIME(13, 42, 8)</f>
        <v>46093.570925925924</v>
      </c>
      <c r="D2" s="1" t="s">
        <v>396</v>
      </c>
      <c r="E2" s="1" t="s">
        <v>140</v>
      </c>
    </row>
    <row r="3" spans="1:5" x14ac:dyDescent="0.2">
      <c r="A3" s="1" t="s">
        <v>1</v>
      </c>
      <c r="B3" s="1" t="s">
        <v>564</v>
      </c>
      <c r="C3" s="5">
        <f>DATE(2026, 3, 12) + TIME(12, 43, 0)</f>
        <v>46093.529861111114</v>
      </c>
      <c r="D3" s="1" t="s">
        <v>320</v>
      </c>
      <c r="E3" s="1" t="s">
        <v>683</v>
      </c>
    </row>
    <row r="4" spans="1:5" x14ac:dyDescent="0.2">
      <c r="A4" s="1" t="s">
        <v>1</v>
      </c>
      <c r="B4" s="1" t="s">
        <v>564</v>
      </c>
      <c r="C4" s="5">
        <f>DATE(2026, 3, 12) + TIME(12, 43, 0)</f>
        <v>46093.529861111114</v>
      </c>
      <c r="D4" s="1" t="s">
        <v>320</v>
      </c>
      <c r="E4" s="1" t="s">
        <v>565</v>
      </c>
    </row>
    <row r="5" spans="1:5" x14ac:dyDescent="0.2">
      <c r="A5" s="1" t="s">
        <v>1</v>
      </c>
      <c r="B5" s="1" t="s">
        <v>60</v>
      </c>
      <c r="C5" s="5">
        <f>DATE(2026, 3, 12) + TIME(12, 43, 0)</f>
        <v>46093.529861111114</v>
      </c>
      <c r="D5" s="1" t="s">
        <v>320</v>
      </c>
      <c r="E5" s="1" t="s">
        <v>2</v>
      </c>
    </row>
    <row r="6" spans="1:5" x14ac:dyDescent="0.2">
      <c r="A6" s="1" t="s">
        <v>1</v>
      </c>
      <c r="B6" s="1" t="s">
        <v>60</v>
      </c>
      <c r="C6" s="5">
        <f>DATE(2026, 3, 12) + TIME(12, 39, 1)</f>
        <v>46093.527094907404</v>
      </c>
      <c r="D6" s="1" t="s">
        <v>566</v>
      </c>
      <c r="E6" s="1" t="s">
        <v>865</v>
      </c>
    </row>
    <row r="7" spans="1:5" x14ac:dyDescent="0.2">
      <c r="A7" s="1" t="s">
        <v>1</v>
      </c>
      <c r="B7" s="1" t="s">
        <v>60</v>
      </c>
      <c r="C7" s="5">
        <f>DATE(2026, 3, 12) + TIME(8, 26, 32)</f>
        <v>46093.351759259262</v>
      </c>
      <c r="D7" s="1" t="s">
        <v>5</v>
      </c>
      <c r="E7" s="1" t="s">
        <v>567</v>
      </c>
    </row>
    <row r="8" spans="1:5" x14ac:dyDescent="0.2">
      <c r="A8" s="1" t="s">
        <v>1</v>
      </c>
      <c r="B8" s="1" t="s">
        <v>60</v>
      </c>
      <c r="C8" s="5">
        <f>DATE(2026, 3, 11) + TIME(16, 24, 59)</f>
        <v>46092.684016203704</v>
      </c>
      <c r="D8" s="1" t="s">
        <v>269</v>
      </c>
      <c r="E8" s="1" t="s">
        <v>273</v>
      </c>
    </row>
    <row r="9" spans="1:5" x14ac:dyDescent="0.2">
      <c r="A9" s="1" t="s">
        <v>1</v>
      </c>
      <c r="B9" s="1" t="s">
        <v>866</v>
      </c>
      <c r="C9" s="5">
        <f>DATE(2026, 3, 11) + TIME(14, 11, 58)</f>
        <v>46092.591643518521</v>
      </c>
      <c r="D9" s="1" t="s">
        <v>506</v>
      </c>
      <c r="E9" s="1" t="s">
        <v>6</v>
      </c>
    </row>
    <row r="10" spans="1:5" x14ac:dyDescent="0.2">
      <c r="A10" s="1" t="s">
        <v>1</v>
      </c>
      <c r="B10" s="1" t="s">
        <v>866</v>
      </c>
      <c r="C10" s="5">
        <f>DATE(2026, 3, 11) + TIME(14, 5, 20)</f>
        <v>46092.587037037039</v>
      </c>
      <c r="D10" s="1" t="s">
        <v>396</v>
      </c>
      <c r="E10" s="1" t="s">
        <v>749</v>
      </c>
    </row>
    <row r="11" spans="1:5" x14ac:dyDescent="0.2">
      <c r="A11" s="1" t="s">
        <v>1</v>
      </c>
      <c r="B11" s="1" t="s">
        <v>866</v>
      </c>
      <c r="C11" s="5">
        <f>DATE(2026, 3, 10) + TIME(14, 27, 39)</f>
        <v>46091.602534722224</v>
      </c>
      <c r="D11" s="1" t="s">
        <v>396</v>
      </c>
      <c r="E11" s="1" t="s">
        <v>142</v>
      </c>
    </row>
    <row r="12" spans="1:5" x14ac:dyDescent="0.2">
      <c r="A12" s="1" t="s">
        <v>1</v>
      </c>
      <c r="B12" s="1" t="s">
        <v>866</v>
      </c>
      <c r="C12" s="5">
        <f>DATE(2026, 3, 10) + TIME(14, 8, 38)</f>
        <v>46091.589328703703</v>
      </c>
      <c r="D12" s="1" t="s">
        <v>869</v>
      </c>
      <c r="E12" s="1" t="s">
        <v>275</v>
      </c>
    </row>
    <row r="13" spans="1:5" x14ac:dyDescent="0.2">
      <c r="A13" s="1" t="s">
        <v>1</v>
      </c>
      <c r="B13" s="1" t="s">
        <v>323</v>
      </c>
      <c r="C13" s="5">
        <f>DATE(2026, 3, 10) + TIME(14, 3, 6)</f>
        <v>46091.585486111115</v>
      </c>
      <c r="D13" s="1" t="s">
        <v>269</v>
      </c>
      <c r="E13" s="1" t="s">
        <v>12</v>
      </c>
    </row>
    <row r="14" spans="1:5" x14ac:dyDescent="0.2">
      <c r="A14" s="1" t="s">
        <v>1</v>
      </c>
      <c r="B14" s="1" t="s">
        <v>60</v>
      </c>
      <c r="C14" s="5">
        <f>DATE(2026, 3, 10) + TIME(11, 15, 44)</f>
        <v>46091.469259259262</v>
      </c>
      <c r="D14" s="1" t="s">
        <v>396</v>
      </c>
      <c r="E14" s="1" t="s">
        <v>276</v>
      </c>
    </row>
    <row r="15" spans="1:5" x14ac:dyDescent="0.2">
      <c r="A15" s="1" t="s">
        <v>1</v>
      </c>
      <c r="B15" s="1" t="s">
        <v>564</v>
      </c>
      <c r="C15" s="5">
        <f>DATE(2026, 3, 9) + TIME(15, 34, 24)</f>
        <v>46090.648888888885</v>
      </c>
      <c r="D15" s="1" t="s">
        <v>320</v>
      </c>
      <c r="E15" s="1" t="s">
        <v>687</v>
      </c>
    </row>
    <row r="16" spans="1:5" x14ac:dyDescent="0.2">
      <c r="A16" s="1" t="s">
        <v>1</v>
      </c>
      <c r="B16" s="1" t="s">
        <v>60</v>
      </c>
      <c r="C16" s="5">
        <f>DATE(2026, 3, 9) + TIME(14, 24, 26)</f>
        <v>46090.600300925929</v>
      </c>
      <c r="D16" s="1" t="s">
        <v>144</v>
      </c>
      <c r="E16" s="1" t="s">
        <v>806</v>
      </c>
    </row>
    <row r="17" spans="1:5" x14ac:dyDescent="0.2">
      <c r="A17" s="1" t="s">
        <v>1</v>
      </c>
      <c r="B17" s="1" t="s">
        <v>60</v>
      </c>
      <c r="C17" s="5">
        <f>DATE(2026, 3, 9) + TIME(14, 4, 54)</f>
        <v>46090.586736111109</v>
      </c>
      <c r="D17" s="1" t="s">
        <v>566</v>
      </c>
      <c r="E17" s="1" t="s">
        <v>865</v>
      </c>
    </row>
    <row r="18" spans="1:5" x14ac:dyDescent="0.2">
      <c r="A18" s="1" t="s">
        <v>1</v>
      </c>
      <c r="B18" s="1" t="s">
        <v>866</v>
      </c>
      <c r="C18" s="5">
        <f>DATE(2026, 3, 9) + TIME(13, 17, 51)</f>
        <v>46090.554062499999</v>
      </c>
      <c r="D18" s="1" t="s">
        <v>320</v>
      </c>
      <c r="E18" s="1" t="s">
        <v>214</v>
      </c>
    </row>
    <row r="19" spans="1:5" x14ac:dyDescent="0.2">
      <c r="A19" s="1" t="s">
        <v>1</v>
      </c>
      <c r="B19" s="1" t="s">
        <v>60</v>
      </c>
      <c r="C19" s="5">
        <f>DATE(2026, 3, 9) + TIME(9, 49, 37)</f>
        <v>46090.409456018519</v>
      </c>
      <c r="D19" s="1" t="s">
        <v>320</v>
      </c>
      <c r="E19" s="1" t="s">
        <v>683</v>
      </c>
    </row>
    <row r="20" spans="1:5" x14ac:dyDescent="0.2">
      <c r="A20" s="1" t="s">
        <v>1</v>
      </c>
      <c r="B20" s="1" t="s">
        <v>60</v>
      </c>
      <c r="C20" s="5">
        <f>DATE(2026, 3, 9) + TIME(4, 15, 10)</f>
        <v>46090.177199074074</v>
      </c>
      <c r="D20" s="1" t="s">
        <v>3</v>
      </c>
      <c r="E20" s="1" t="s">
        <v>401</v>
      </c>
    </row>
    <row r="21" spans="1:5" x14ac:dyDescent="0.2">
      <c r="A21" s="1" t="s">
        <v>1</v>
      </c>
      <c r="B21" s="1" t="s">
        <v>60</v>
      </c>
      <c r="C21" s="5">
        <f>DATE(2026, 3, 5) + TIME(13, 51, 48)</f>
        <v>46086.577638888892</v>
      </c>
      <c r="D21" s="1" t="s">
        <v>921</v>
      </c>
      <c r="E21" s="1" t="s">
        <v>691</v>
      </c>
    </row>
    <row r="22" spans="1:5" x14ac:dyDescent="0.2">
      <c r="A22" s="1" t="s">
        <v>1</v>
      </c>
      <c r="B22" s="1" t="s">
        <v>60</v>
      </c>
      <c r="C22" s="5">
        <f>DATE(2026, 3, 5) + TIME(11, 34, 3)</f>
        <v>46086.481979166667</v>
      </c>
      <c r="D22" s="1" t="s">
        <v>269</v>
      </c>
      <c r="E22" s="1" t="s">
        <v>461</v>
      </c>
    </row>
    <row r="23" spans="1:5" x14ac:dyDescent="0.2">
      <c r="A23" s="1" t="s">
        <v>1</v>
      </c>
      <c r="B23" s="1" t="s">
        <v>60</v>
      </c>
      <c r="C23" s="5">
        <f>DATE(2026, 3, 4) + TIME(13, 55, 43)</f>
        <v>46085.580358796295</v>
      </c>
      <c r="D23" s="1" t="s">
        <v>5</v>
      </c>
      <c r="E23" s="1" t="s">
        <v>757</v>
      </c>
    </row>
    <row r="24" spans="1:5" x14ac:dyDescent="0.2">
      <c r="A24" s="1" t="s">
        <v>1</v>
      </c>
      <c r="B24" s="1" t="s">
        <v>60</v>
      </c>
      <c r="C24" s="5">
        <f>DATE(2026, 3, 4) + TIME(13, 12, 30)</f>
        <v>46085.550347222219</v>
      </c>
      <c r="D24" s="1" t="s">
        <v>566</v>
      </c>
      <c r="E24" s="1" t="s">
        <v>865</v>
      </c>
    </row>
    <row r="25" spans="1:5" x14ac:dyDescent="0.2">
      <c r="A25" s="1" t="s">
        <v>1</v>
      </c>
      <c r="B25" s="1" t="s">
        <v>644</v>
      </c>
      <c r="C25" s="5">
        <f>DATE(2026, 3, 4) + TIME(12, 48, 45)</f>
        <v>46085.533854166664</v>
      </c>
      <c r="D25" s="1" t="s">
        <v>869</v>
      </c>
      <c r="E25" s="1" t="s">
        <v>217</v>
      </c>
    </row>
    <row r="26" spans="1:5" x14ac:dyDescent="0.2">
      <c r="A26" s="1" t="s">
        <v>1</v>
      </c>
      <c r="B26" s="1" t="s">
        <v>866</v>
      </c>
      <c r="C26" s="5">
        <f>DATE(2026, 3, 4) + TIME(11, 43, 50)</f>
        <v>46085.48877314815</v>
      </c>
      <c r="D26" s="1" t="s">
        <v>396</v>
      </c>
      <c r="E26" s="1" t="s">
        <v>749</v>
      </c>
    </row>
    <row r="27" spans="1:5" x14ac:dyDescent="0.2">
      <c r="A27" s="1" t="s">
        <v>1</v>
      </c>
      <c r="B27" s="1" t="s">
        <v>60</v>
      </c>
      <c r="C27" s="5">
        <f>DATE(2026, 3, 4) + TIME(10, 38, 57)</f>
        <v>46085.443715277775</v>
      </c>
      <c r="D27" s="1" t="s">
        <v>921</v>
      </c>
      <c r="E27" s="1" t="s">
        <v>151</v>
      </c>
    </row>
    <row r="28" spans="1:5" x14ac:dyDescent="0.2">
      <c r="A28" s="1" t="s">
        <v>1</v>
      </c>
      <c r="B28" s="1" t="s">
        <v>60</v>
      </c>
      <c r="C28" s="5">
        <f>DATE(2026, 3, 3) + TIME(16, 0, 52)</f>
        <v>46084.667268518519</v>
      </c>
      <c r="D28" s="1" t="s">
        <v>750</v>
      </c>
      <c r="E28" s="1" t="s">
        <v>403</v>
      </c>
    </row>
    <row r="29" spans="1:5" x14ac:dyDescent="0.2">
      <c r="A29" s="1" t="s">
        <v>1</v>
      </c>
      <c r="B29" s="1" t="s">
        <v>60</v>
      </c>
      <c r="C29" s="5">
        <f>DATE(2026, 3, 3) + TIME(14, 56, 18)</f>
        <v>46084.622430555559</v>
      </c>
      <c r="D29" s="1" t="s">
        <v>566</v>
      </c>
      <c r="E29" s="1" t="s">
        <v>924</v>
      </c>
    </row>
    <row r="30" spans="1:5" x14ac:dyDescent="0.2">
      <c r="A30" s="1" t="s">
        <v>1</v>
      </c>
      <c r="B30" s="1" t="s">
        <v>60</v>
      </c>
      <c r="C30" s="5">
        <f>DATE(2026, 3, 3) + TIME(14, 56, 18)</f>
        <v>46084.622430555559</v>
      </c>
      <c r="D30" s="1" t="s">
        <v>566</v>
      </c>
      <c r="E30" s="1" t="s">
        <v>571</v>
      </c>
    </row>
    <row r="31" spans="1:5" x14ac:dyDescent="0.2">
      <c r="A31" s="1" t="s">
        <v>1</v>
      </c>
      <c r="B31" s="1" t="s">
        <v>866</v>
      </c>
      <c r="C31" s="5">
        <f>DATE(2026, 3, 3) + TIME(14, 4, 58)</f>
        <v>46084.586782407408</v>
      </c>
      <c r="D31" s="1" t="s">
        <v>148</v>
      </c>
      <c r="E31" s="1" t="s">
        <v>17</v>
      </c>
    </row>
    <row r="32" spans="1:5" x14ac:dyDescent="0.2">
      <c r="A32" s="1" t="s">
        <v>1</v>
      </c>
      <c r="B32" s="1" t="s">
        <v>866</v>
      </c>
      <c r="C32" s="5">
        <f>DATE(2026, 3, 3) + TIME(8, 8, 36)</f>
        <v>46084.339305555557</v>
      </c>
      <c r="D32" s="1" t="s">
        <v>398</v>
      </c>
      <c r="E32" s="1" t="s">
        <v>143</v>
      </c>
    </row>
    <row r="33" spans="1:5" x14ac:dyDescent="0.2">
      <c r="A33" s="1" t="s">
        <v>1</v>
      </c>
      <c r="B33" s="1" t="s">
        <v>60</v>
      </c>
      <c r="C33" s="5">
        <f>DATE(2026, 3, 2) + TIME(15, 7, 11)</f>
        <v>46083.629988425928</v>
      </c>
      <c r="D33" s="1" t="s">
        <v>754</v>
      </c>
      <c r="E33" s="1" t="s">
        <v>330</v>
      </c>
    </row>
    <row r="34" spans="1:5" x14ac:dyDescent="0.2">
      <c r="A34" s="1" t="s">
        <v>1</v>
      </c>
      <c r="B34" s="1" t="s">
        <v>60</v>
      </c>
      <c r="C34" s="5">
        <f>DATE(2026, 3, 2) + TIME(14, 23, 34)</f>
        <v>46083.599699074075</v>
      </c>
      <c r="D34" s="1" t="s">
        <v>144</v>
      </c>
      <c r="E34" s="1" t="s">
        <v>695</v>
      </c>
    </row>
    <row r="35" spans="1:5" x14ac:dyDescent="0.2">
      <c r="A35" s="1" t="s">
        <v>1</v>
      </c>
      <c r="B35" s="1" t="s">
        <v>60</v>
      </c>
      <c r="C35" s="5">
        <f>DATE(2026, 3, 2) + TIME(14, 2, 45)</f>
        <v>46083.585243055553</v>
      </c>
      <c r="D35" s="1" t="s">
        <v>921</v>
      </c>
      <c r="E35" s="1" t="s">
        <v>573</v>
      </c>
    </row>
    <row r="36" spans="1:5" x14ac:dyDescent="0.2">
      <c r="A36" s="1" t="s">
        <v>1</v>
      </c>
      <c r="B36" s="1" t="s">
        <v>564</v>
      </c>
      <c r="C36" s="5">
        <f>DATE(2026, 3, 2) + TIME(13, 7, 37)</f>
        <v>46083.546956018516</v>
      </c>
      <c r="D36" s="1" t="s">
        <v>64</v>
      </c>
      <c r="E36" s="1" t="s">
        <v>405</v>
      </c>
    </row>
    <row r="37" spans="1:5" x14ac:dyDescent="0.2">
      <c r="A37" s="1" t="s">
        <v>1</v>
      </c>
      <c r="B37" s="1" t="s">
        <v>60</v>
      </c>
      <c r="C37" s="5">
        <f>DATE(2026, 3, 2) + TIME(12, 28, 14)</f>
        <v>46083.519606481481</v>
      </c>
      <c r="D37" s="1" t="s">
        <v>269</v>
      </c>
      <c r="E37" s="1" t="s">
        <v>748</v>
      </c>
    </row>
    <row r="38" spans="1:5" x14ac:dyDescent="0.2">
      <c r="A38" s="1" t="s">
        <v>1</v>
      </c>
      <c r="B38" s="1" t="s">
        <v>60</v>
      </c>
      <c r="C38" s="5">
        <f>DATE(2026, 3, 2) + TIME(12, 16, 23)</f>
        <v>46083.511377314811</v>
      </c>
      <c r="D38" s="1" t="s">
        <v>62</v>
      </c>
      <c r="E38" s="1" t="s">
        <v>812</v>
      </c>
    </row>
    <row r="39" spans="1:5" x14ac:dyDescent="0.2">
      <c r="A39" s="1" t="s">
        <v>1</v>
      </c>
      <c r="B39" s="1" t="s">
        <v>60</v>
      </c>
      <c r="C39" s="5">
        <f>DATE(2026, 3, 2) + TIME(11, 26, 5)</f>
        <v>46083.476446759261</v>
      </c>
      <c r="D39" s="1" t="s">
        <v>3</v>
      </c>
      <c r="E39" s="1" t="s">
        <v>696</v>
      </c>
    </row>
    <row r="40" spans="1:5" x14ac:dyDescent="0.2">
      <c r="A40" s="1" t="s">
        <v>1</v>
      </c>
      <c r="B40" s="1" t="s">
        <v>866</v>
      </c>
      <c r="C40" s="5">
        <f>DATE(2026, 3, 2) + TIME(11, 18, 38)</f>
        <v>46083.471273148149</v>
      </c>
      <c r="D40" s="1" t="s">
        <v>506</v>
      </c>
      <c r="E40" s="1" t="s">
        <v>697</v>
      </c>
    </row>
    <row r="41" spans="1:5" x14ac:dyDescent="0.2">
      <c r="A41" s="1" t="s">
        <v>1</v>
      </c>
      <c r="B41" s="1" t="s">
        <v>60</v>
      </c>
      <c r="C41" s="5">
        <f>DATE(2026, 3, 2) + TIME(11, 13, 49)</f>
        <v>46083.467928240738</v>
      </c>
      <c r="D41" s="1" t="s">
        <v>566</v>
      </c>
      <c r="E41" s="1" t="s">
        <v>865</v>
      </c>
    </row>
    <row r="42" spans="1:5" x14ac:dyDescent="0.2">
      <c r="A42" s="1" t="s">
        <v>1</v>
      </c>
      <c r="B42" s="1" t="s">
        <v>60</v>
      </c>
      <c r="C42" s="5">
        <f>DATE(2026, 3, 2) + TIME(10, 39, 48)</f>
        <v>46083.444305555553</v>
      </c>
      <c r="D42" s="1" t="s">
        <v>65</v>
      </c>
      <c r="E42" s="1" t="s">
        <v>219</v>
      </c>
    </row>
    <row r="43" spans="1:5" x14ac:dyDescent="0.2">
      <c r="A43" s="1" t="s">
        <v>1</v>
      </c>
      <c r="B43" s="1" t="s">
        <v>60</v>
      </c>
      <c r="C43" s="5">
        <f>DATE(2026, 2, 26) + TIME(15, 9, 4)</f>
        <v>46079.631296296298</v>
      </c>
      <c r="D43" s="1" t="s">
        <v>459</v>
      </c>
      <c r="E43" s="1" t="s">
        <v>574</v>
      </c>
    </row>
    <row r="44" spans="1:5" x14ac:dyDescent="0.2">
      <c r="A44" s="1" t="s">
        <v>1</v>
      </c>
      <c r="B44" s="1" t="s">
        <v>866</v>
      </c>
      <c r="C44" s="5">
        <f>DATE(2026, 2, 26) + TIME(15, 7, 5)</f>
        <v>46079.629918981482</v>
      </c>
      <c r="D44" s="1" t="s">
        <v>396</v>
      </c>
      <c r="E44" s="1" t="s">
        <v>140</v>
      </c>
    </row>
    <row r="45" spans="1:5" x14ac:dyDescent="0.2">
      <c r="A45" s="1" t="s">
        <v>1</v>
      </c>
      <c r="B45" s="1" t="s">
        <v>60</v>
      </c>
      <c r="C45" s="5">
        <f>DATE(2026, 2, 26) + TIME(13, 50, 45)</f>
        <v>46079.576909722222</v>
      </c>
      <c r="D45" s="1" t="s">
        <v>566</v>
      </c>
      <c r="E45" s="1" t="s">
        <v>865</v>
      </c>
    </row>
    <row r="46" spans="1:5" x14ac:dyDescent="0.2">
      <c r="A46" s="1" t="s">
        <v>1</v>
      </c>
      <c r="B46" s="1" t="s">
        <v>866</v>
      </c>
      <c r="C46" s="5">
        <f>DATE(2026, 2, 26) + TIME(13, 46, 13)</f>
        <v>46079.573761574073</v>
      </c>
      <c r="D46" s="1" t="s">
        <v>638</v>
      </c>
      <c r="E46" s="1" t="s">
        <v>157</v>
      </c>
    </row>
    <row r="47" spans="1:5" x14ac:dyDescent="0.2">
      <c r="A47" s="1" t="s">
        <v>1</v>
      </c>
      <c r="B47" s="1" t="s">
        <v>866</v>
      </c>
      <c r="C47" s="5">
        <f>DATE(2026, 2, 26) + TIME(13, 46, 13)</f>
        <v>46079.573761574073</v>
      </c>
      <c r="D47" s="1" t="s">
        <v>638</v>
      </c>
      <c r="E47" s="1" t="s">
        <v>147</v>
      </c>
    </row>
    <row r="48" spans="1:5" x14ac:dyDescent="0.2">
      <c r="A48" s="1" t="s">
        <v>1</v>
      </c>
      <c r="B48" s="1" t="s">
        <v>866</v>
      </c>
      <c r="C48" s="5">
        <f>DATE(2026, 2, 26) + TIME(13, 46, 13)</f>
        <v>46079.573761574073</v>
      </c>
      <c r="D48" s="1" t="s">
        <v>638</v>
      </c>
      <c r="E48" s="1" t="s">
        <v>397</v>
      </c>
    </row>
    <row r="49" spans="1:5" x14ac:dyDescent="0.2">
      <c r="A49" s="1" t="s">
        <v>1</v>
      </c>
      <c r="B49" s="1" t="s">
        <v>60</v>
      </c>
      <c r="C49" s="5">
        <f>DATE(2026, 2, 25) + TIME(15, 43, 29)</f>
        <v>46078.65519675926</v>
      </c>
      <c r="D49" s="1" t="s">
        <v>269</v>
      </c>
      <c r="E49" s="1" t="s">
        <v>273</v>
      </c>
    </row>
    <row r="50" spans="1:5" x14ac:dyDescent="0.2">
      <c r="A50" s="1" t="s">
        <v>1</v>
      </c>
      <c r="B50" s="1" t="s">
        <v>564</v>
      </c>
      <c r="C50" s="5">
        <f>DATE(2026, 2, 25) + TIME(13, 20, 6)</f>
        <v>46078.555625000001</v>
      </c>
      <c r="D50" s="1" t="s">
        <v>396</v>
      </c>
      <c r="E50" s="1" t="s">
        <v>507</v>
      </c>
    </row>
    <row r="51" spans="1:5" x14ac:dyDescent="0.2">
      <c r="A51" s="1" t="s">
        <v>1</v>
      </c>
      <c r="B51" s="1" t="s">
        <v>60</v>
      </c>
      <c r="C51" s="5">
        <f>DATE(2026, 2, 25) + TIME(12, 52, 58)</f>
        <v>46078.536782407406</v>
      </c>
      <c r="D51" s="1" t="s">
        <v>921</v>
      </c>
      <c r="E51" s="1" t="s">
        <v>159</v>
      </c>
    </row>
    <row r="52" spans="1:5" x14ac:dyDescent="0.2">
      <c r="A52" s="1" t="s">
        <v>1</v>
      </c>
      <c r="B52" s="1" t="s">
        <v>60</v>
      </c>
      <c r="C52" s="5">
        <f>DATE(2026, 2, 25) + TIME(7, 25, 11)</f>
        <v>46078.309155092589</v>
      </c>
      <c r="D52" s="1" t="s">
        <v>638</v>
      </c>
      <c r="E52" s="1" t="s">
        <v>335</v>
      </c>
    </row>
    <row r="53" spans="1:5" x14ac:dyDescent="0.2">
      <c r="A53" s="1" t="s">
        <v>1</v>
      </c>
      <c r="B53" s="1" t="s">
        <v>60</v>
      </c>
      <c r="C53" s="5">
        <f>DATE(2026, 2, 24) + TIME(15, 51, 16)</f>
        <v>46077.660601851851</v>
      </c>
      <c r="D53" s="1" t="s">
        <v>459</v>
      </c>
      <c r="E53" s="1" t="s">
        <v>160</v>
      </c>
    </row>
    <row r="54" spans="1:5" x14ac:dyDescent="0.2">
      <c r="A54" s="1" t="s">
        <v>1</v>
      </c>
      <c r="B54" s="1" t="s">
        <v>60</v>
      </c>
      <c r="C54" s="5">
        <f>DATE(2026, 2, 24) + TIME(15, 30, 3)</f>
        <v>46077.645868055559</v>
      </c>
      <c r="D54" s="1" t="s">
        <v>269</v>
      </c>
      <c r="E54" s="1" t="s">
        <v>12</v>
      </c>
    </row>
    <row r="55" spans="1:5" x14ac:dyDescent="0.2">
      <c r="A55" s="1" t="s">
        <v>1</v>
      </c>
      <c r="B55" s="1" t="s">
        <v>60</v>
      </c>
      <c r="C55" s="5">
        <f>DATE(2026, 2, 24) + TIME(15, 29, 12)</f>
        <v>46077.645277777781</v>
      </c>
      <c r="D55" s="1" t="s">
        <v>269</v>
      </c>
      <c r="E55" s="1" t="s">
        <v>336</v>
      </c>
    </row>
    <row r="56" spans="1:5" x14ac:dyDescent="0.2">
      <c r="A56" s="1" t="s">
        <v>1</v>
      </c>
      <c r="B56" s="1" t="s">
        <v>60</v>
      </c>
      <c r="C56" s="5">
        <f>DATE(2026, 2, 24) + TIME(14, 38, 58)</f>
        <v>46077.610393518517</v>
      </c>
      <c r="D56" s="1" t="s">
        <v>65</v>
      </c>
      <c r="E56" s="1" t="s">
        <v>152</v>
      </c>
    </row>
    <row r="57" spans="1:5" x14ac:dyDescent="0.2">
      <c r="A57" s="1" t="s">
        <v>1</v>
      </c>
      <c r="B57" s="1" t="s">
        <v>866</v>
      </c>
      <c r="C57" s="5">
        <f>DATE(2026, 2, 24) + TIME(13, 58, 57)</f>
        <v>46077.582604166666</v>
      </c>
      <c r="D57" s="1" t="s">
        <v>396</v>
      </c>
      <c r="E57" s="1" t="s">
        <v>142</v>
      </c>
    </row>
    <row r="58" spans="1:5" x14ac:dyDescent="0.2">
      <c r="A58" s="1" t="s">
        <v>1</v>
      </c>
      <c r="B58" s="1" t="s">
        <v>866</v>
      </c>
      <c r="C58" s="5">
        <f>DATE(2026, 2, 24) + TIME(13, 30, 57)</f>
        <v>46077.563159722224</v>
      </c>
      <c r="D58" s="1" t="s">
        <v>398</v>
      </c>
      <c r="E58" s="1" t="s">
        <v>143</v>
      </c>
    </row>
    <row r="59" spans="1:5" x14ac:dyDescent="0.2">
      <c r="A59" s="1" t="s">
        <v>1</v>
      </c>
      <c r="B59" s="1" t="s">
        <v>60</v>
      </c>
      <c r="C59" s="5">
        <f>DATE(2026, 2, 24) + TIME(13, 23, 40)</f>
        <v>46077.55810185185</v>
      </c>
      <c r="D59" s="1" t="s">
        <v>869</v>
      </c>
      <c r="E59" s="1" t="s">
        <v>275</v>
      </c>
    </row>
    <row r="60" spans="1:5" x14ac:dyDescent="0.2">
      <c r="A60" s="1" t="s">
        <v>1</v>
      </c>
      <c r="B60" s="1" t="s">
        <v>60</v>
      </c>
      <c r="C60" s="5">
        <f>DATE(2026, 2, 24) + TIME(13, 10, 1)</f>
        <v>46077.548622685186</v>
      </c>
      <c r="D60" s="1" t="s">
        <v>566</v>
      </c>
      <c r="E60" s="1" t="s">
        <v>814</v>
      </c>
    </row>
    <row r="61" spans="1:5" x14ac:dyDescent="0.2">
      <c r="A61" s="1" t="s">
        <v>1</v>
      </c>
      <c r="B61" s="1" t="s">
        <v>60</v>
      </c>
      <c r="C61" s="5">
        <f>DATE(2026, 2, 24) + TIME(10, 30, 41)</f>
        <v>46077.437974537039</v>
      </c>
      <c r="D61" s="1" t="s">
        <v>216</v>
      </c>
      <c r="E61" s="1" t="s">
        <v>337</v>
      </c>
    </row>
    <row r="62" spans="1:5" x14ac:dyDescent="0.2">
      <c r="A62" s="1" t="s">
        <v>1</v>
      </c>
      <c r="B62" s="1" t="s">
        <v>866</v>
      </c>
      <c r="C62" s="5">
        <f>DATE(2026, 2, 20) + TIME(15, 13, 34)</f>
        <v>46073.634421296294</v>
      </c>
      <c r="D62" s="1" t="s">
        <v>398</v>
      </c>
      <c r="E62" s="1" t="s">
        <v>281</v>
      </c>
    </row>
    <row r="63" spans="1:5" x14ac:dyDescent="0.2">
      <c r="A63" s="1" t="s">
        <v>1</v>
      </c>
      <c r="B63" s="1" t="s">
        <v>927</v>
      </c>
      <c r="C63" s="5">
        <f>DATE(2026, 2, 20) + TIME(15, 13, 34)</f>
        <v>46073.634421296294</v>
      </c>
      <c r="D63" s="1" t="s">
        <v>398</v>
      </c>
      <c r="E63" s="1" t="s">
        <v>514</v>
      </c>
    </row>
    <row r="64" spans="1:5" x14ac:dyDescent="0.2">
      <c r="A64" s="1" t="s">
        <v>1</v>
      </c>
      <c r="B64" s="1" t="s">
        <v>323</v>
      </c>
      <c r="C64" s="5">
        <f>DATE(2026, 2, 19) + TIME(15, 50, 0)</f>
        <v>46072.659722222219</v>
      </c>
      <c r="D64" s="1" t="s">
        <v>269</v>
      </c>
      <c r="E64" s="1" t="s">
        <v>748</v>
      </c>
    </row>
    <row r="65" spans="1:5" x14ac:dyDescent="0.2">
      <c r="A65" s="1" t="s">
        <v>1</v>
      </c>
      <c r="B65" s="1" t="s">
        <v>866</v>
      </c>
      <c r="C65" s="5">
        <f>DATE(2026, 2, 19) + TIME(15, 44, 29)</f>
        <v>46072.655891203707</v>
      </c>
      <c r="D65" s="1" t="s">
        <v>754</v>
      </c>
      <c r="E65" s="1" t="s">
        <v>755</v>
      </c>
    </row>
    <row r="66" spans="1:5" x14ac:dyDescent="0.2">
      <c r="A66" s="1" t="s">
        <v>1</v>
      </c>
      <c r="B66" s="1" t="s">
        <v>60</v>
      </c>
      <c r="C66" s="5">
        <f>DATE(2026, 2, 19) + TIME(14, 9, 47)</f>
        <v>46072.590127314812</v>
      </c>
      <c r="D66" s="1" t="s">
        <v>566</v>
      </c>
      <c r="E66" s="1" t="s">
        <v>865</v>
      </c>
    </row>
    <row r="67" spans="1:5" x14ac:dyDescent="0.2">
      <c r="A67" s="1" t="s">
        <v>1</v>
      </c>
      <c r="B67" s="1" t="s">
        <v>323</v>
      </c>
      <c r="C67" s="5">
        <f>DATE(2026, 2, 19) + TIME(13, 0, 51)</f>
        <v>46072.542256944442</v>
      </c>
      <c r="D67" s="1" t="s">
        <v>269</v>
      </c>
      <c r="E67" s="1" t="s">
        <v>339</v>
      </c>
    </row>
    <row r="68" spans="1:5" x14ac:dyDescent="0.2">
      <c r="A68" s="1" t="s">
        <v>1</v>
      </c>
      <c r="B68" s="1" t="s">
        <v>564</v>
      </c>
      <c r="C68" s="5">
        <f>DATE(2026, 2, 18) + TIME(16, 23, 2)</f>
        <v>46071.682662037034</v>
      </c>
      <c r="D68" s="1" t="s">
        <v>320</v>
      </c>
      <c r="E68" s="1" t="s">
        <v>917</v>
      </c>
    </row>
    <row r="69" spans="1:5" x14ac:dyDescent="0.2">
      <c r="A69" s="1" t="s">
        <v>1</v>
      </c>
      <c r="B69" s="1" t="s">
        <v>866</v>
      </c>
      <c r="C69" s="5">
        <f>DATE(2026, 2, 18) + TIME(15, 51, 0)</f>
        <v>46071.660416666666</v>
      </c>
      <c r="D69" s="1" t="s">
        <v>506</v>
      </c>
      <c r="E69" s="1" t="s">
        <v>702</v>
      </c>
    </row>
    <row r="70" spans="1:5" x14ac:dyDescent="0.2">
      <c r="A70" s="1" t="s">
        <v>1</v>
      </c>
      <c r="B70" s="1" t="s">
        <v>564</v>
      </c>
      <c r="C70" s="5">
        <f>DATE(2026, 2, 18) + TIME(14, 27, 31)</f>
        <v>46071.602442129632</v>
      </c>
      <c r="D70" s="1" t="s">
        <v>320</v>
      </c>
      <c r="E70" s="1" t="s">
        <v>565</v>
      </c>
    </row>
    <row r="71" spans="1:5" x14ac:dyDescent="0.2">
      <c r="A71" s="1" t="s">
        <v>1</v>
      </c>
      <c r="B71" s="1" t="s">
        <v>866</v>
      </c>
      <c r="C71" s="5">
        <f>DATE(2026, 2, 18) + TIME(14, 10, 52)</f>
        <v>46071.590879629628</v>
      </c>
      <c r="D71" s="1" t="s">
        <v>647</v>
      </c>
      <c r="E71" s="1" t="s">
        <v>507</v>
      </c>
    </row>
    <row r="72" spans="1:5" x14ac:dyDescent="0.2">
      <c r="A72" s="1" t="s">
        <v>1</v>
      </c>
      <c r="B72" s="1" t="s">
        <v>323</v>
      </c>
      <c r="C72" s="5">
        <f>DATE(2026, 2, 18) + TIME(12, 11, 58)</f>
        <v>46071.508310185185</v>
      </c>
      <c r="D72" s="1" t="s">
        <v>341</v>
      </c>
      <c r="E72" s="1" t="s">
        <v>816</v>
      </c>
    </row>
    <row r="73" spans="1:5" x14ac:dyDescent="0.2">
      <c r="A73" s="1" t="s">
        <v>1</v>
      </c>
      <c r="B73" s="1" t="s">
        <v>578</v>
      </c>
      <c r="C73" s="5">
        <f>DATE(2026, 2, 18) + TIME(11, 33, 53)</f>
        <v>46071.481863425928</v>
      </c>
      <c r="D73" s="1" t="s">
        <v>921</v>
      </c>
      <c r="E73" s="1" t="s">
        <v>78</v>
      </c>
    </row>
    <row r="74" spans="1:5" x14ac:dyDescent="0.2">
      <c r="A74" s="1" t="s">
        <v>1</v>
      </c>
      <c r="B74" s="1" t="s">
        <v>60</v>
      </c>
      <c r="C74" s="5">
        <f>DATE(2026, 2, 18) + TIME(11, 33, 17)</f>
        <v>46071.481446759259</v>
      </c>
      <c r="D74" s="1" t="s">
        <v>216</v>
      </c>
      <c r="E74" s="1" t="s">
        <v>321</v>
      </c>
    </row>
    <row r="75" spans="1:5" x14ac:dyDescent="0.2">
      <c r="A75" s="1" t="s">
        <v>1</v>
      </c>
      <c r="B75" s="1" t="s">
        <v>866</v>
      </c>
      <c r="C75" s="5">
        <f>DATE(2026, 2, 17) + TIME(15, 7, 18)</f>
        <v>46070.630069444444</v>
      </c>
      <c r="D75" s="1" t="s">
        <v>869</v>
      </c>
      <c r="E75" s="1" t="s">
        <v>275</v>
      </c>
    </row>
    <row r="76" spans="1:5" x14ac:dyDescent="0.2">
      <c r="A76" s="1" t="s">
        <v>1</v>
      </c>
      <c r="B76" s="1" t="s">
        <v>60</v>
      </c>
      <c r="C76" s="5">
        <f>DATE(2026, 2, 17) + TIME(11, 53, 35)</f>
        <v>46070.49554398148</v>
      </c>
      <c r="D76" s="1" t="s">
        <v>216</v>
      </c>
      <c r="E76" s="1" t="s">
        <v>213</v>
      </c>
    </row>
    <row r="77" spans="1:5" x14ac:dyDescent="0.2">
      <c r="A77" s="1" t="s">
        <v>1</v>
      </c>
      <c r="B77" s="1" t="s">
        <v>866</v>
      </c>
      <c r="C77" s="5">
        <f>DATE(2026, 2, 17) + TIME(11, 17, 6)</f>
        <v>46070.470208333332</v>
      </c>
      <c r="D77" s="1" t="s">
        <v>226</v>
      </c>
      <c r="E77" s="1" t="s">
        <v>694</v>
      </c>
    </row>
    <row r="78" spans="1:5" x14ac:dyDescent="0.2">
      <c r="A78" s="1" t="s">
        <v>1</v>
      </c>
      <c r="B78" s="1" t="s">
        <v>60</v>
      </c>
      <c r="C78" s="5">
        <f>DATE(2026, 2, 17) + TIME(10, 45, 27)</f>
        <v>46070.448229166665</v>
      </c>
      <c r="D78" s="1" t="s">
        <v>216</v>
      </c>
      <c r="E78" s="1" t="s">
        <v>337</v>
      </c>
    </row>
    <row r="79" spans="1:5" x14ac:dyDescent="0.2">
      <c r="A79" s="1" t="s">
        <v>1</v>
      </c>
      <c r="B79" s="1" t="s">
        <v>866</v>
      </c>
      <c r="C79" s="5">
        <f>DATE(2026, 2, 17) + TIME(7, 35, 58)</f>
        <v>46070.316643518519</v>
      </c>
      <c r="D79" s="1" t="s">
        <v>398</v>
      </c>
      <c r="E79" s="1" t="s">
        <v>143</v>
      </c>
    </row>
    <row r="80" spans="1:5" x14ac:dyDescent="0.2">
      <c r="A80" s="1" t="s">
        <v>1</v>
      </c>
      <c r="B80" s="1" t="s">
        <v>564</v>
      </c>
      <c r="C80" s="5">
        <f>DATE(2026, 2, 16) + TIME(16, 14, 8)</f>
        <v>46069.676481481481</v>
      </c>
      <c r="D80" s="1" t="s">
        <v>320</v>
      </c>
      <c r="E80" s="1" t="s">
        <v>687</v>
      </c>
    </row>
    <row r="81" spans="1:5" x14ac:dyDescent="0.2">
      <c r="A81" s="1" t="s">
        <v>1</v>
      </c>
      <c r="B81" s="1" t="s">
        <v>927</v>
      </c>
      <c r="C81" s="5">
        <f>DATE(2026, 2, 16) + TIME(14, 25, 36)</f>
        <v>46069.601111111115</v>
      </c>
      <c r="D81" s="1" t="s">
        <v>216</v>
      </c>
      <c r="E81" s="1" t="s">
        <v>519</v>
      </c>
    </row>
    <row r="82" spans="1:5" x14ac:dyDescent="0.2">
      <c r="A82" s="1" t="s">
        <v>1</v>
      </c>
      <c r="B82" s="1" t="s">
        <v>60</v>
      </c>
      <c r="C82" s="5">
        <f>DATE(2026, 2, 16) + TIME(12, 19, 12)</f>
        <v>46069.513333333336</v>
      </c>
      <c r="D82" s="1" t="s">
        <v>62</v>
      </c>
      <c r="E82" s="1" t="s">
        <v>812</v>
      </c>
    </row>
    <row r="83" spans="1:5" x14ac:dyDescent="0.2">
      <c r="A83" s="1" t="s">
        <v>1</v>
      </c>
      <c r="B83" s="1" t="s">
        <v>323</v>
      </c>
      <c r="C83" s="5">
        <f>DATE(2026, 2, 12) + TIME(14, 52, 12)</f>
        <v>46065.619583333333</v>
      </c>
      <c r="D83" s="1" t="s">
        <v>341</v>
      </c>
      <c r="E83" s="1" t="s">
        <v>147</v>
      </c>
    </row>
    <row r="84" spans="1:5" x14ac:dyDescent="0.2">
      <c r="A84" s="1" t="s">
        <v>1</v>
      </c>
      <c r="B84" s="1" t="s">
        <v>60</v>
      </c>
      <c r="C84" s="5">
        <f>DATE(2026, 2, 12) + TIME(14, 34, 12)</f>
        <v>46065.607083333336</v>
      </c>
      <c r="D84" s="1" t="s">
        <v>566</v>
      </c>
      <c r="E84" s="1" t="s">
        <v>865</v>
      </c>
    </row>
    <row r="85" spans="1:5" x14ac:dyDescent="0.2">
      <c r="A85" s="1" t="s">
        <v>1</v>
      </c>
      <c r="B85" s="1" t="s">
        <v>60</v>
      </c>
      <c r="C85" s="5">
        <f>DATE(2026, 2, 12) + TIME(14, 29, 49)</f>
        <v>46065.604039351849</v>
      </c>
      <c r="D85" s="1" t="s">
        <v>64</v>
      </c>
      <c r="E85" s="1" t="s">
        <v>763</v>
      </c>
    </row>
    <row r="86" spans="1:5" x14ac:dyDescent="0.2">
      <c r="A86" s="1" t="s">
        <v>1</v>
      </c>
      <c r="B86" s="1" t="s">
        <v>60</v>
      </c>
      <c r="C86" s="5">
        <f>DATE(2026, 2, 12) + TIME(14, 26, 38)</f>
        <v>46065.6018287037</v>
      </c>
      <c r="D86" s="1" t="s">
        <v>396</v>
      </c>
      <c r="E86" s="1" t="s">
        <v>764</v>
      </c>
    </row>
    <row r="87" spans="1:5" x14ac:dyDescent="0.2">
      <c r="A87" s="1" t="s">
        <v>1</v>
      </c>
      <c r="B87" s="1" t="s">
        <v>60</v>
      </c>
      <c r="C87" s="5">
        <f>DATE(2026, 2, 12) + TIME(13, 54, 48)</f>
        <v>46065.579722222225</v>
      </c>
      <c r="D87" s="1" t="s">
        <v>396</v>
      </c>
      <c r="E87" s="1" t="s">
        <v>140</v>
      </c>
    </row>
    <row r="88" spans="1:5" x14ac:dyDescent="0.2">
      <c r="A88" s="1" t="s">
        <v>1</v>
      </c>
      <c r="B88" s="1" t="s">
        <v>60</v>
      </c>
      <c r="C88" s="5">
        <f>DATE(2026, 2, 12) + TIME(11, 7, 4)</f>
        <v>46065.463240740741</v>
      </c>
      <c r="D88" s="1" t="s">
        <v>921</v>
      </c>
      <c r="E88" s="1" t="s">
        <v>345</v>
      </c>
    </row>
    <row r="89" spans="1:5" x14ac:dyDescent="0.2">
      <c r="A89" s="1" t="s">
        <v>1</v>
      </c>
      <c r="B89" s="1" t="s">
        <v>60</v>
      </c>
      <c r="C89" s="5">
        <f>DATE(2026, 2, 11) + TIME(13, 6, 52)</f>
        <v>46064.546435185184</v>
      </c>
      <c r="D89" s="1" t="s">
        <v>921</v>
      </c>
      <c r="E89" s="1" t="s">
        <v>159</v>
      </c>
    </row>
    <row r="90" spans="1:5" x14ac:dyDescent="0.2">
      <c r="A90" s="1" t="s">
        <v>1</v>
      </c>
      <c r="B90" s="1" t="s">
        <v>60</v>
      </c>
      <c r="C90" s="5">
        <f>DATE(2026, 2, 11) + TIME(12, 50, 25)</f>
        <v>46064.535011574073</v>
      </c>
      <c r="D90" s="1" t="s">
        <v>923</v>
      </c>
      <c r="E90" s="1" t="s">
        <v>462</v>
      </c>
    </row>
    <row r="91" spans="1:5" x14ac:dyDescent="0.2">
      <c r="A91" s="1" t="s">
        <v>1</v>
      </c>
      <c r="B91" s="1" t="s">
        <v>60</v>
      </c>
      <c r="C91" s="5">
        <f>DATE(2026, 2, 10) + TIME(14, 37, 26)</f>
        <v>46063.6093287037</v>
      </c>
      <c r="D91" s="1" t="s">
        <v>566</v>
      </c>
      <c r="E91" s="1" t="s">
        <v>571</v>
      </c>
    </row>
    <row r="92" spans="1:5" x14ac:dyDescent="0.2">
      <c r="A92" s="1" t="s">
        <v>1</v>
      </c>
      <c r="B92" s="1" t="s">
        <v>60</v>
      </c>
      <c r="C92" s="5">
        <f>DATE(2026, 2, 10) + TIME(11, 12, 16)</f>
        <v>46063.466851851852</v>
      </c>
      <c r="D92" s="1" t="s">
        <v>869</v>
      </c>
      <c r="E92" s="1" t="s">
        <v>275</v>
      </c>
    </row>
    <row r="93" spans="1:5" x14ac:dyDescent="0.2">
      <c r="A93" s="1" t="s">
        <v>1</v>
      </c>
      <c r="B93" s="1" t="s">
        <v>866</v>
      </c>
      <c r="C93" s="5">
        <f>DATE(2026, 2, 10) + TIME(7, 8, 6)</f>
        <v>46063.297291666669</v>
      </c>
      <c r="D93" s="1" t="s">
        <v>398</v>
      </c>
      <c r="E93" s="1" t="s">
        <v>143</v>
      </c>
    </row>
    <row r="94" spans="1:5" x14ac:dyDescent="0.2">
      <c r="A94" s="1" t="s">
        <v>1</v>
      </c>
      <c r="B94" s="1" t="s">
        <v>866</v>
      </c>
      <c r="C94" s="5">
        <f>DATE(2026, 2, 9) + TIME(14, 48, 15)</f>
        <v>46062.616840277777</v>
      </c>
      <c r="D94" s="1" t="s">
        <v>226</v>
      </c>
      <c r="E94" s="1" t="s">
        <v>870</v>
      </c>
    </row>
    <row r="95" spans="1:5" x14ac:dyDescent="0.2">
      <c r="A95" s="1" t="s">
        <v>1</v>
      </c>
      <c r="B95" s="1" t="s">
        <v>60</v>
      </c>
      <c r="C95" s="5">
        <f>DATE(2026, 2, 9) + TIME(13, 20, 28)</f>
        <v>46062.555879629632</v>
      </c>
      <c r="D95" s="1" t="s">
        <v>566</v>
      </c>
      <c r="E95" s="1" t="s">
        <v>865</v>
      </c>
    </row>
    <row r="96" spans="1:5" x14ac:dyDescent="0.2">
      <c r="A96" s="1" t="s">
        <v>1</v>
      </c>
      <c r="B96" s="1" t="s">
        <v>60</v>
      </c>
      <c r="C96" s="5">
        <f>DATE(2026, 2, 9) + TIME(12, 42, 18)</f>
        <v>46062.529374999998</v>
      </c>
      <c r="D96" s="1" t="s">
        <v>3</v>
      </c>
      <c r="E96" s="1" t="s">
        <v>168</v>
      </c>
    </row>
    <row r="97" spans="1:5" x14ac:dyDescent="0.2">
      <c r="A97" s="1" t="s">
        <v>1</v>
      </c>
      <c r="B97" s="1" t="s">
        <v>60</v>
      </c>
      <c r="C97" s="5">
        <f>DATE(2026, 2, 9) + TIME(10, 43, 15)</f>
        <v>46062.446701388886</v>
      </c>
      <c r="D97" s="1" t="s">
        <v>921</v>
      </c>
      <c r="E97" s="1" t="s">
        <v>691</v>
      </c>
    </row>
    <row r="98" spans="1:5" x14ac:dyDescent="0.2">
      <c r="A98" s="1" t="s">
        <v>1</v>
      </c>
      <c r="B98" s="1" t="s">
        <v>60</v>
      </c>
      <c r="C98" s="5">
        <f>DATE(2026, 2, 7) + TIME(9, 15, 2)</f>
        <v>46060.385439814818</v>
      </c>
      <c r="D98" s="1" t="s">
        <v>65</v>
      </c>
      <c r="E98" s="1" t="s">
        <v>219</v>
      </c>
    </row>
    <row r="99" spans="1:5" x14ac:dyDescent="0.2">
      <c r="A99" s="1" t="s">
        <v>1</v>
      </c>
      <c r="B99" s="1" t="s">
        <v>60</v>
      </c>
      <c r="C99" s="5">
        <f>DATE(2026, 2, 3) + TIME(14, 42, 12)</f>
        <v>46056.612638888888</v>
      </c>
      <c r="D99" s="1" t="s">
        <v>467</v>
      </c>
      <c r="E99" s="1" t="s">
        <v>571</v>
      </c>
    </row>
    <row r="100" spans="1:5" x14ac:dyDescent="0.2">
      <c r="A100" s="1" t="s">
        <v>1</v>
      </c>
      <c r="B100" s="1" t="s">
        <v>60</v>
      </c>
      <c r="C100" s="5">
        <f>DATE(2026, 2, 3) + TIME(13, 24, 55)</f>
        <v>46056.558969907404</v>
      </c>
      <c r="D100" s="1" t="s">
        <v>65</v>
      </c>
      <c r="E100" s="1" t="s">
        <v>227</v>
      </c>
    </row>
    <row r="101" spans="1:5" x14ac:dyDescent="0.2">
      <c r="A101" s="1" t="s">
        <v>1</v>
      </c>
      <c r="B101" s="1" t="s">
        <v>564</v>
      </c>
      <c r="C101" s="5">
        <f>DATE(2026, 2, 3) + TIME(12, 6, 9)</f>
        <v>46056.504270833335</v>
      </c>
      <c r="D101" s="1" t="s">
        <v>459</v>
      </c>
      <c r="E101" s="1" t="s">
        <v>522</v>
      </c>
    </row>
    <row r="102" spans="1:5" x14ac:dyDescent="0.2">
      <c r="A102" s="1" t="s">
        <v>1</v>
      </c>
      <c r="B102" s="1" t="s">
        <v>866</v>
      </c>
      <c r="C102" s="5">
        <f>DATE(2026, 2, 3) + TIME(9, 26, 5)</f>
        <v>46056.393113425926</v>
      </c>
      <c r="D102" s="1" t="s">
        <v>398</v>
      </c>
      <c r="E102" s="1" t="s">
        <v>143</v>
      </c>
    </row>
    <row r="103" spans="1:5" x14ac:dyDescent="0.2">
      <c r="A103" s="1" t="s">
        <v>1</v>
      </c>
      <c r="B103" s="1" t="s">
        <v>564</v>
      </c>
      <c r="C103" s="5">
        <f>DATE(2026, 2, 2) + TIME(15, 5, 45)</f>
        <v>46055.628993055558</v>
      </c>
      <c r="D103" s="1" t="s">
        <v>754</v>
      </c>
      <c r="E103" s="1" t="s">
        <v>330</v>
      </c>
    </row>
    <row r="104" spans="1:5" x14ac:dyDescent="0.2">
      <c r="A104" s="1" t="s">
        <v>1</v>
      </c>
      <c r="B104" s="1" t="s">
        <v>564</v>
      </c>
      <c r="C104" s="5">
        <f>DATE(2026, 2, 2) + TIME(14, 44, 1)</f>
        <v>46055.613900462966</v>
      </c>
      <c r="D104" s="1" t="s">
        <v>467</v>
      </c>
      <c r="E104" s="1" t="s">
        <v>865</v>
      </c>
    </row>
    <row r="105" spans="1:5" x14ac:dyDescent="0.2">
      <c r="A105" s="1" t="s">
        <v>1</v>
      </c>
      <c r="B105" s="1" t="s">
        <v>60</v>
      </c>
      <c r="C105" s="5">
        <f>DATE(2026, 2, 2) + TIME(14, 38, 45)</f>
        <v>46055.610243055555</v>
      </c>
      <c r="D105" s="1" t="s">
        <v>921</v>
      </c>
      <c r="E105" s="1" t="s">
        <v>573</v>
      </c>
    </row>
    <row r="106" spans="1:5" x14ac:dyDescent="0.2">
      <c r="A106" s="1" t="s">
        <v>1</v>
      </c>
      <c r="B106" s="1" t="s">
        <v>564</v>
      </c>
      <c r="C106" s="5">
        <f>DATE(2026, 2, 2) + TIME(13, 19, 2)</f>
        <v>46055.554884259262</v>
      </c>
      <c r="D106" s="1" t="s">
        <v>506</v>
      </c>
      <c r="E106" s="1" t="s">
        <v>649</v>
      </c>
    </row>
    <row r="107" spans="1:5" x14ac:dyDescent="0.2">
      <c r="A107" s="1" t="s">
        <v>1</v>
      </c>
      <c r="B107" s="1" t="s">
        <v>866</v>
      </c>
      <c r="C107" s="5">
        <f>DATE(2026, 2, 2) + TIME(13, 11, 27)</f>
        <v>46055.549618055556</v>
      </c>
      <c r="D107" s="1" t="s">
        <v>396</v>
      </c>
      <c r="E107" s="1" t="s">
        <v>749</v>
      </c>
    </row>
    <row r="108" spans="1:5" x14ac:dyDescent="0.2">
      <c r="A108" s="1" t="s">
        <v>1</v>
      </c>
      <c r="B108" s="1" t="s">
        <v>60</v>
      </c>
      <c r="C108" s="5">
        <f>DATE(2026, 2, 2) + TIME(12, 41, 47)</f>
        <v>46055.529016203705</v>
      </c>
      <c r="D108" s="1" t="s">
        <v>269</v>
      </c>
      <c r="E108" s="1" t="s">
        <v>748</v>
      </c>
    </row>
    <row r="109" spans="1:5" x14ac:dyDescent="0.2">
      <c r="A109" s="1" t="s">
        <v>1</v>
      </c>
      <c r="B109" s="1" t="s">
        <v>60</v>
      </c>
      <c r="C109" s="5">
        <f>DATE(2026, 2, 2) + TIME(12, 22, 10)</f>
        <v>46055.515393518515</v>
      </c>
      <c r="D109" s="1" t="s">
        <v>3</v>
      </c>
      <c r="E109" s="1" t="s">
        <v>168</v>
      </c>
    </row>
    <row r="110" spans="1:5" x14ac:dyDescent="0.2">
      <c r="A110" s="1" t="s">
        <v>1</v>
      </c>
      <c r="B110" s="1" t="s">
        <v>60</v>
      </c>
      <c r="C110" s="5">
        <f>DATE(2026, 2, 2) + TIME(12, 14, 16)</f>
        <v>46055.50990740741</v>
      </c>
      <c r="D110" s="1" t="s">
        <v>65</v>
      </c>
      <c r="E110" s="1" t="s">
        <v>219</v>
      </c>
    </row>
    <row r="111" spans="1:5" x14ac:dyDescent="0.2">
      <c r="A111" s="1" t="s">
        <v>1</v>
      </c>
      <c r="B111" s="1" t="s">
        <v>60</v>
      </c>
      <c r="C111" s="5">
        <f>DATE(2026, 2, 2) + TIME(11, 51, 12)</f>
        <v>46055.493888888886</v>
      </c>
      <c r="D111" s="1" t="s">
        <v>320</v>
      </c>
      <c r="E111" s="1" t="s">
        <v>683</v>
      </c>
    </row>
    <row r="112" spans="1:5" x14ac:dyDescent="0.2">
      <c r="A112" s="1" t="s">
        <v>1</v>
      </c>
      <c r="B112" s="1" t="s">
        <v>60</v>
      </c>
      <c r="C112" s="5">
        <f>DATE(2026, 2, 2) + TIME(10, 57, 0)</f>
        <v>46055.456250000003</v>
      </c>
      <c r="D112" s="1" t="s">
        <v>640</v>
      </c>
      <c r="E112" s="1" t="s">
        <v>70</v>
      </c>
    </row>
    <row r="113" spans="1:5" x14ac:dyDescent="0.2">
      <c r="A113" s="1" t="s">
        <v>1</v>
      </c>
      <c r="B113" s="1" t="s">
        <v>60</v>
      </c>
      <c r="C113" s="5">
        <f>DATE(2026, 2, 2) + TIME(9, 9, 5)</f>
        <v>46055.381307870368</v>
      </c>
      <c r="D113" s="1" t="s">
        <v>5</v>
      </c>
      <c r="E113" s="1" t="s">
        <v>567</v>
      </c>
    </row>
    <row r="114" spans="1:5" x14ac:dyDescent="0.2">
      <c r="A114" s="1" t="s">
        <v>1</v>
      </c>
      <c r="B114" s="1" t="s">
        <v>564</v>
      </c>
      <c r="C114" s="5">
        <f>DATE(2026, 1, 29) + TIME(16, 3, 40)</f>
        <v>46051.669212962966</v>
      </c>
      <c r="D114" s="1" t="s">
        <v>64</v>
      </c>
      <c r="E114" s="1" t="s">
        <v>763</v>
      </c>
    </row>
    <row r="115" spans="1:5" x14ac:dyDescent="0.2">
      <c r="A115" s="1" t="s">
        <v>1</v>
      </c>
      <c r="B115" s="1" t="s">
        <v>564</v>
      </c>
      <c r="C115" s="5">
        <f>DATE(2026, 1, 29) + TIME(14, 46, 0)</f>
        <v>46051.615277777775</v>
      </c>
      <c r="D115" s="1" t="s">
        <v>638</v>
      </c>
      <c r="E115" s="1" t="s">
        <v>147</v>
      </c>
    </row>
    <row r="116" spans="1:5" x14ac:dyDescent="0.2">
      <c r="A116" s="1" t="s">
        <v>1</v>
      </c>
      <c r="B116" s="1" t="s">
        <v>866</v>
      </c>
      <c r="C116" s="5">
        <f>DATE(2026, 1, 29) + TIME(14, 7, 39)</f>
        <v>46051.588645833333</v>
      </c>
      <c r="D116" s="1" t="s">
        <v>396</v>
      </c>
      <c r="E116" s="1" t="s">
        <v>764</v>
      </c>
    </row>
    <row r="117" spans="1:5" x14ac:dyDescent="0.2">
      <c r="A117" s="1" t="s">
        <v>1</v>
      </c>
      <c r="B117" s="1" t="s">
        <v>564</v>
      </c>
      <c r="C117" s="5">
        <f>DATE(2026, 1, 29) + TIME(12, 47, 41)</f>
        <v>46051.533113425925</v>
      </c>
      <c r="D117" s="1" t="s">
        <v>506</v>
      </c>
      <c r="E117" s="1" t="s">
        <v>867</v>
      </c>
    </row>
    <row r="118" spans="1:5" x14ac:dyDescent="0.2">
      <c r="A118" s="1" t="s">
        <v>1</v>
      </c>
      <c r="B118" s="1" t="s">
        <v>60</v>
      </c>
      <c r="C118" s="5">
        <f>DATE(2026, 1, 29) + TIME(11, 44, 1)</f>
        <v>46051.488900462966</v>
      </c>
      <c r="D118" s="1" t="s">
        <v>566</v>
      </c>
      <c r="E118" s="1" t="s">
        <v>865</v>
      </c>
    </row>
    <row r="119" spans="1:5" x14ac:dyDescent="0.2">
      <c r="A119" s="1" t="s">
        <v>1</v>
      </c>
      <c r="B119" s="1" t="s">
        <v>60</v>
      </c>
      <c r="C119" s="5">
        <f>DATE(2026, 1, 29) + TIME(11, 32, 24)</f>
        <v>46051.480833333335</v>
      </c>
      <c r="D119" s="1" t="s">
        <v>921</v>
      </c>
      <c r="E119" s="1" t="s">
        <v>691</v>
      </c>
    </row>
    <row r="120" spans="1:5" x14ac:dyDescent="0.2">
      <c r="A120" s="1" t="s">
        <v>1</v>
      </c>
      <c r="B120" s="1" t="s">
        <v>60</v>
      </c>
      <c r="C120" s="5">
        <f>DATE(2026, 1, 29) + TIME(11, 15, 11)</f>
        <v>46051.468877314815</v>
      </c>
      <c r="D120" s="1" t="s">
        <v>269</v>
      </c>
      <c r="E120" s="1" t="s">
        <v>748</v>
      </c>
    </row>
    <row r="121" spans="1:5" x14ac:dyDescent="0.2">
      <c r="A121" s="1" t="s">
        <v>1</v>
      </c>
      <c r="B121" s="1" t="s">
        <v>60</v>
      </c>
      <c r="C121" s="5">
        <f>DATE(2026, 1, 29) + TIME(8, 48, 56)</f>
        <v>46051.367314814815</v>
      </c>
      <c r="D121" s="1" t="s">
        <v>5</v>
      </c>
      <c r="E121" s="1" t="s">
        <v>567</v>
      </c>
    </row>
    <row r="122" spans="1:5" x14ac:dyDescent="0.2">
      <c r="A122" s="1" t="s">
        <v>1</v>
      </c>
      <c r="B122" s="1" t="s">
        <v>564</v>
      </c>
      <c r="C122" s="5">
        <f>DATE(2026, 1, 28) + TIME(14, 18, 27)</f>
        <v>46050.596145833333</v>
      </c>
      <c r="D122" s="1" t="s">
        <v>396</v>
      </c>
      <c r="E122" s="1" t="s">
        <v>88</v>
      </c>
    </row>
    <row r="123" spans="1:5" x14ac:dyDescent="0.2">
      <c r="A123" s="1" t="s">
        <v>1</v>
      </c>
      <c r="B123" s="1" t="s">
        <v>60</v>
      </c>
      <c r="C123" s="5">
        <f>DATE(2026, 1, 27) + TIME(14, 32, 36)</f>
        <v>46049.60597222222</v>
      </c>
      <c r="D123" s="1" t="s">
        <v>863</v>
      </c>
      <c r="E123" s="1" t="s">
        <v>170</v>
      </c>
    </row>
    <row r="124" spans="1:5" x14ac:dyDescent="0.2">
      <c r="A124" s="1" t="s">
        <v>1</v>
      </c>
      <c r="B124" s="1" t="s">
        <v>60</v>
      </c>
      <c r="C124" s="5">
        <f>DATE(2026, 1, 27) + TIME(12, 46, 43)</f>
        <v>46049.532442129632</v>
      </c>
      <c r="D124" s="1" t="s">
        <v>216</v>
      </c>
      <c r="E124" s="1" t="s">
        <v>403</v>
      </c>
    </row>
    <row r="125" spans="1:5" x14ac:dyDescent="0.2">
      <c r="A125" s="1" t="s">
        <v>1</v>
      </c>
      <c r="B125" s="1" t="s">
        <v>323</v>
      </c>
      <c r="C125" s="5">
        <f>DATE(2026, 1, 27) + TIME(10, 56, 12)</f>
        <v>46049.455694444441</v>
      </c>
      <c r="D125" s="1" t="s">
        <v>226</v>
      </c>
      <c r="E125" s="1" t="s">
        <v>171</v>
      </c>
    </row>
    <row r="126" spans="1:5" x14ac:dyDescent="0.2">
      <c r="A126" s="1" t="s">
        <v>1</v>
      </c>
      <c r="B126" s="1" t="s">
        <v>323</v>
      </c>
      <c r="C126" s="5">
        <f>DATE(2026, 1, 22) + TIME(15, 50, 20)</f>
        <v>46044.659953703704</v>
      </c>
      <c r="D126" s="1" t="s">
        <v>459</v>
      </c>
      <c r="E126" s="1" t="s">
        <v>881</v>
      </c>
    </row>
    <row r="127" spans="1:5" x14ac:dyDescent="0.2">
      <c r="A127" s="1" t="s">
        <v>1</v>
      </c>
      <c r="B127" s="1" t="s">
        <v>564</v>
      </c>
      <c r="C127" s="5">
        <f>DATE(2026, 1, 22) + TIME(15, 32, 40)</f>
        <v>46044.647685185184</v>
      </c>
      <c r="D127" s="1" t="s">
        <v>320</v>
      </c>
      <c r="E127" s="1" t="s">
        <v>698</v>
      </c>
    </row>
    <row r="128" spans="1:5" x14ac:dyDescent="0.2">
      <c r="A128" s="1" t="s">
        <v>1</v>
      </c>
      <c r="B128" s="1" t="s">
        <v>564</v>
      </c>
      <c r="C128" s="5">
        <f>DATE(2026, 1, 22) + TIME(13, 56, 18)</f>
        <v>46044.580763888887</v>
      </c>
      <c r="D128" s="1" t="s">
        <v>566</v>
      </c>
      <c r="E128" s="1" t="s">
        <v>865</v>
      </c>
    </row>
    <row r="129" spans="1:5" x14ac:dyDescent="0.2">
      <c r="A129" s="1" t="s">
        <v>1</v>
      </c>
      <c r="B129" s="1" t="s">
        <v>866</v>
      </c>
      <c r="C129" s="5">
        <f>DATE(2026, 1, 22) + TIME(13, 16, 38)</f>
        <v>46044.553217592591</v>
      </c>
      <c r="D129" s="1" t="s">
        <v>506</v>
      </c>
      <c r="E129" s="1" t="s">
        <v>510</v>
      </c>
    </row>
    <row r="130" spans="1:5" x14ac:dyDescent="0.2">
      <c r="A130" s="1" t="s">
        <v>1</v>
      </c>
      <c r="B130" s="1" t="s">
        <v>290</v>
      </c>
      <c r="C130" s="5">
        <f>DATE(2026, 1, 22) + TIME(12, 7, 35)</f>
        <v>46044.505266203705</v>
      </c>
      <c r="D130" s="1" t="s">
        <v>148</v>
      </c>
      <c r="E130" s="1" t="s">
        <v>527</v>
      </c>
    </row>
    <row r="131" spans="1:5" x14ac:dyDescent="0.2">
      <c r="A131" s="1" t="s">
        <v>1</v>
      </c>
      <c r="B131" s="1" t="s">
        <v>866</v>
      </c>
      <c r="C131" s="5">
        <f>DATE(2026, 1, 22) + TIME(11, 33, 4)</f>
        <v>46044.481296296297</v>
      </c>
      <c r="D131" s="1" t="s">
        <v>506</v>
      </c>
      <c r="E131" s="1" t="s">
        <v>697</v>
      </c>
    </row>
    <row r="132" spans="1:5" x14ac:dyDescent="0.2">
      <c r="A132" s="1" t="s">
        <v>1</v>
      </c>
      <c r="B132" s="1" t="s">
        <v>564</v>
      </c>
      <c r="C132" s="5">
        <f>DATE(2026, 1, 21) + TIME(17, 26, 43)</f>
        <v>46043.726886574077</v>
      </c>
      <c r="D132" s="1" t="s">
        <v>320</v>
      </c>
      <c r="E132" s="1" t="s">
        <v>90</v>
      </c>
    </row>
    <row r="133" spans="1:5" x14ac:dyDescent="0.2">
      <c r="A133" s="1" t="s">
        <v>1</v>
      </c>
      <c r="B133" s="1" t="s">
        <v>866</v>
      </c>
      <c r="C133" s="5">
        <f>DATE(2026, 1, 21) + TIME(15, 28, 13)</f>
        <v>46043.644594907404</v>
      </c>
      <c r="D133" s="1" t="s">
        <v>506</v>
      </c>
      <c r="E133" s="1" t="s">
        <v>712</v>
      </c>
    </row>
    <row r="134" spans="1:5" x14ac:dyDescent="0.2">
      <c r="A134" s="1" t="s">
        <v>1</v>
      </c>
      <c r="B134" s="1" t="s">
        <v>866</v>
      </c>
      <c r="C134" s="5">
        <f>DATE(2026, 1, 21) + TIME(15, 27, 55)</f>
        <v>46043.644386574073</v>
      </c>
      <c r="D134" s="1" t="s">
        <v>506</v>
      </c>
      <c r="E134" s="1" t="s">
        <v>158</v>
      </c>
    </row>
    <row r="135" spans="1:5" x14ac:dyDescent="0.2">
      <c r="A135" s="1" t="s">
        <v>1</v>
      </c>
      <c r="B135" s="1" t="s">
        <v>564</v>
      </c>
      <c r="C135" s="5">
        <f>DATE(2026, 1, 21) + TIME(15, 14, 43)</f>
        <v>46043.63521990741</v>
      </c>
      <c r="D135" s="1" t="s">
        <v>320</v>
      </c>
      <c r="E135" s="1" t="s">
        <v>2</v>
      </c>
    </row>
    <row r="136" spans="1:5" x14ac:dyDescent="0.2">
      <c r="A136" s="1" t="s">
        <v>1</v>
      </c>
      <c r="B136" s="1" t="s">
        <v>564</v>
      </c>
      <c r="C136" s="5">
        <f>DATE(2026, 1, 21) + TIME(14, 47, 36)</f>
        <v>46043.616388888891</v>
      </c>
      <c r="D136" s="1" t="s">
        <v>396</v>
      </c>
      <c r="E136" s="1" t="s">
        <v>88</v>
      </c>
    </row>
    <row r="137" spans="1:5" x14ac:dyDescent="0.2">
      <c r="A137" s="1" t="s">
        <v>1</v>
      </c>
      <c r="B137" s="1" t="s">
        <v>564</v>
      </c>
      <c r="C137" s="5">
        <f>DATE(2026, 1, 21) + TIME(14, 18, 6)</f>
        <v>46043.595902777779</v>
      </c>
      <c r="D137" s="1" t="s">
        <v>320</v>
      </c>
      <c r="E137" s="1" t="s">
        <v>565</v>
      </c>
    </row>
    <row r="138" spans="1:5" x14ac:dyDescent="0.2">
      <c r="A138" s="1" t="s">
        <v>1</v>
      </c>
      <c r="B138" s="1" t="s">
        <v>564</v>
      </c>
      <c r="C138" s="5">
        <f>DATE(2026, 1, 21) + TIME(13, 10, 29)</f>
        <v>46043.548946759256</v>
      </c>
      <c r="D138" s="1" t="s">
        <v>396</v>
      </c>
      <c r="E138" s="1" t="s">
        <v>507</v>
      </c>
    </row>
    <row r="139" spans="1:5" x14ac:dyDescent="0.2">
      <c r="A139" s="1" t="s">
        <v>1</v>
      </c>
      <c r="B139" s="1" t="s">
        <v>60</v>
      </c>
      <c r="C139" s="5">
        <f>DATE(2026, 1, 21) + TIME(10, 12, 4)</f>
        <v>46043.425046296295</v>
      </c>
      <c r="D139" s="1" t="s">
        <v>921</v>
      </c>
      <c r="E139" s="1" t="s">
        <v>78</v>
      </c>
    </row>
    <row r="140" spans="1:5" x14ac:dyDescent="0.2">
      <c r="A140" s="1" t="s">
        <v>1</v>
      </c>
      <c r="B140" s="1" t="s">
        <v>323</v>
      </c>
      <c r="C140" s="5">
        <f>DATE(2026, 1, 20) + TIME(16, 22, 4)</f>
        <v>46042.681990740741</v>
      </c>
      <c r="D140" s="1" t="s">
        <v>459</v>
      </c>
      <c r="E140" s="1" t="s">
        <v>171</v>
      </c>
    </row>
    <row r="141" spans="1:5" x14ac:dyDescent="0.2">
      <c r="A141" s="1" t="s">
        <v>1</v>
      </c>
      <c r="B141" s="1" t="s">
        <v>866</v>
      </c>
      <c r="C141" s="5">
        <f>DATE(2026, 1, 20) + TIME(14, 29, 53)</f>
        <v>46042.604085648149</v>
      </c>
      <c r="D141" s="1" t="s">
        <v>869</v>
      </c>
      <c r="E141" s="1" t="s">
        <v>275</v>
      </c>
    </row>
    <row r="142" spans="1:5" x14ac:dyDescent="0.2">
      <c r="A142" s="1" t="s">
        <v>1</v>
      </c>
      <c r="B142" s="1" t="s">
        <v>60</v>
      </c>
      <c r="C142" s="5">
        <f>DATE(2026, 1, 20) + TIME(12, 53, 49)</f>
        <v>46042.537372685183</v>
      </c>
      <c r="D142" s="1" t="s">
        <v>216</v>
      </c>
      <c r="E142" s="1" t="s">
        <v>403</v>
      </c>
    </row>
    <row r="143" spans="1:5" x14ac:dyDescent="0.2">
      <c r="A143" s="1" t="s">
        <v>1</v>
      </c>
      <c r="B143" s="1" t="s">
        <v>866</v>
      </c>
      <c r="C143" s="5">
        <f>DATE(2026, 1, 20) + TIME(8, 31, 22)</f>
        <v>46042.355115740742</v>
      </c>
      <c r="D143" s="1" t="s">
        <v>398</v>
      </c>
      <c r="E143" s="1" t="s">
        <v>143</v>
      </c>
    </row>
    <row r="144" spans="1:5" x14ac:dyDescent="0.2">
      <c r="A144" s="1" t="s">
        <v>1</v>
      </c>
      <c r="B144" s="1" t="s">
        <v>60</v>
      </c>
      <c r="C144" s="5">
        <f>DATE(2026, 1, 19) + TIME(12, 33, 54)</f>
        <v>46041.523541666669</v>
      </c>
      <c r="D144" s="1" t="s">
        <v>921</v>
      </c>
      <c r="E144" s="1" t="s">
        <v>345</v>
      </c>
    </row>
    <row r="145" spans="1:5" x14ac:dyDescent="0.2">
      <c r="A145" s="1" t="s">
        <v>1</v>
      </c>
      <c r="B145" s="1" t="s">
        <v>60</v>
      </c>
      <c r="C145" s="5">
        <f>DATE(2026, 1, 19) + TIME(11, 32, 38)</f>
        <v>46041.480995370373</v>
      </c>
      <c r="D145" s="1" t="s">
        <v>638</v>
      </c>
      <c r="E145" s="1" t="s">
        <v>940</v>
      </c>
    </row>
    <row r="146" spans="1:5" x14ac:dyDescent="0.2">
      <c r="A146" s="1" t="s">
        <v>1</v>
      </c>
      <c r="B146" s="1" t="s">
        <v>323</v>
      </c>
      <c r="C146" s="5">
        <f>DATE(2026, 1, 19) + TIME(11, 13, 47)</f>
        <v>46041.467905092592</v>
      </c>
      <c r="D146" s="1" t="s">
        <v>269</v>
      </c>
      <c r="E146" s="1" t="s">
        <v>748</v>
      </c>
    </row>
    <row r="147" spans="1:5" x14ac:dyDescent="0.2">
      <c r="A147" s="1" t="s">
        <v>1</v>
      </c>
      <c r="B147" s="1" t="s">
        <v>866</v>
      </c>
      <c r="C147" s="5">
        <f>DATE(2026, 1, 15) + TIME(15, 54, 19)</f>
        <v>46037.662719907406</v>
      </c>
      <c r="D147" s="1" t="s">
        <v>506</v>
      </c>
      <c r="E147" s="1" t="s">
        <v>808</v>
      </c>
    </row>
    <row r="148" spans="1:5" x14ac:dyDescent="0.2">
      <c r="A148" s="1" t="s">
        <v>1</v>
      </c>
      <c r="B148" s="1" t="s">
        <v>866</v>
      </c>
      <c r="C148" s="5">
        <f>DATE(2026, 1, 15) + TIME(15, 54, 19)</f>
        <v>46037.662719907406</v>
      </c>
      <c r="D148" s="1" t="s">
        <v>506</v>
      </c>
      <c r="E148" s="1" t="s">
        <v>6</v>
      </c>
    </row>
    <row r="149" spans="1:5" x14ac:dyDescent="0.2">
      <c r="A149" s="1" t="s">
        <v>1</v>
      </c>
      <c r="B149" s="1" t="s">
        <v>866</v>
      </c>
      <c r="C149" s="5">
        <f>DATE(2026, 1, 15) + TIME(15, 54, 19)</f>
        <v>46037.662719907406</v>
      </c>
      <c r="D149" s="1" t="s">
        <v>506</v>
      </c>
      <c r="E149" s="1" t="s">
        <v>697</v>
      </c>
    </row>
    <row r="150" spans="1:5" x14ac:dyDescent="0.2">
      <c r="A150" s="1" t="s">
        <v>1</v>
      </c>
      <c r="B150" s="1" t="s">
        <v>60</v>
      </c>
      <c r="C150" s="5">
        <f>DATE(2026, 1, 15) + TIME(15, 34, 10)</f>
        <v>46037.648726851854</v>
      </c>
      <c r="D150" s="1" t="s">
        <v>64</v>
      </c>
      <c r="E150" s="1" t="s">
        <v>763</v>
      </c>
    </row>
    <row r="151" spans="1:5" x14ac:dyDescent="0.2">
      <c r="A151" s="1" t="s">
        <v>1</v>
      </c>
      <c r="B151" s="1" t="s">
        <v>564</v>
      </c>
      <c r="C151" s="5">
        <f>DATE(2026, 1, 15) + TIME(13, 3, 7)</f>
        <v>46037.54383101852</v>
      </c>
      <c r="D151" s="1" t="s">
        <v>320</v>
      </c>
      <c r="E151" s="1" t="s">
        <v>698</v>
      </c>
    </row>
    <row r="152" spans="1:5" x14ac:dyDescent="0.2">
      <c r="A152" s="1" t="s">
        <v>1</v>
      </c>
      <c r="B152" s="1" t="s">
        <v>60</v>
      </c>
      <c r="C152" s="5">
        <f>DATE(2026, 1, 15) + TIME(11, 38, 57)</f>
        <v>46037.485381944447</v>
      </c>
      <c r="D152" s="1" t="s">
        <v>566</v>
      </c>
      <c r="E152" s="1" t="s">
        <v>865</v>
      </c>
    </row>
    <row r="153" spans="1:5" x14ac:dyDescent="0.2">
      <c r="A153" s="1" t="s">
        <v>1</v>
      </c>
      <c r="B153" s="1" t="s">
        <v>564</v>
      </c>
      <c r="C153" s="5">
        <f>DATE(2026, 1, 15) + TIME(9, 3, 49)</f>
        <v>46037.377650462964</v>
      </c>
      <c r="D153" s="1" t="s">
        <v>320</v>
      </c>
      <c r="E153" s="1" t="s">
        <v>683</v>
      </c>
    </row>
    <row r="154" spans="1:5" x14ac:dyDescent="0.2">
      <c r="A154" s="1" t="s">
        <v>1</v>
      </c>
      <c r="B154" s="1" t="s">
        <v>60</v>
      </c>
      <c r="C154" s="5">
        <f>DATE(2026, 1, 14) + TIME(16, 5, 13)</f>
        <v>46036.670289351852</v>
      </c>
      <c r="D154" s="1" t="s">
        <v>216</v>
      </c>
      <c r="E154" s="1" t="s">
        <v>321</v>
      </c>
    </row>
    <row r="155" spans="1:5" x14ac:dyDescent="0.2">
      <c r="A155" s="1" t="s">
        <v>1</v>
      </c>
      <c r="B155" s="1" t="s">
        <v>60</v>
      </c>
      <c r="C155" s="5">
        <f>DATE(2026, 1, 14) + TIME(16, 4, 24)</f>
        <v>46036.669722222221</v>
      </c>
      <c r="D155" s="1" t="s">
        <v>320</v>
      </c>
      <c r="E155" s="1" t="s">
        <v>90</v>
      </c>
    </row>
    <row r="156" spans="1:5" x14ac:dyDescent="0.2">
      <c r="A156" s="1" t="s">
        <v>1</v>
      </c>
      <c r="B156" s="1" t="s">
        <v>564</v>
      </c>
      <c r="C156" s="5">
        <f>DATE(2026, 1, 14) + TIME(15, 23, 48)</f>
        <v>46036.641527777778</v>
      </c>
      <c r="D156" s="1" t="s">
        <v>396</v>
      </c>
      <c r="E156" s="1" t="s">
        <v>749</v>
      </c>
    </row>
    <row r="157" spans="1:5" x14ac:dyDescent="0.2">
      <c r="A157" s="1" t="s">
        <v>1</v>
      </c>
      <c r="B157" s="1" t="s">
        <v>60</v>
      </c>
      <c r="C157" s="5">
        <f>DATE(2026, 1, 14) + TIME(14, 53, 25)</f>
        <v>46036.620428240742</v>
      </c>
      <c r="D157" s="1" t="s">
        <v>923</v>
      </c>
      <c r="E157" s="1" t="s">
        <v>474</v>
      </c>
    </row>
    <row r="158" spans="1:5" x14ac:dyDescent="0.2">
      <c r="A158" s="1" t="s">
        <v>1</v>
      </c>
      <c r="B158" s="1" t="s">
        <v>866</v>
      </c>
      <c r="C158" s="5">
        <f>DATE(2026, 1, 14) + TIME(13, 52, 56)</f>
        <v>46036.578425925924</v>
      </c>
      <c r="D158" s="1" t="s">
        <v>398</v>
      </c>
      <c r="E158" s="1" t="s">
        <v>281</v>
      </c>
    </row>
    <row r="159" spans="1:5" x14ac:dyDescent="0.2">
      <c r="A159" s="1" t="s">
        <v>1</v>
      </c>
      <c r="B159" s="1" t="s">
        <v>866</v>
      </c>
      <c r="C159" s="5">
        <f>DATE(2026, 1, 14) + TIME(13, 52, 56)</f>
        <v>46036.578425925924</v>
      </c>
      <c r="D159" s="1" t="s">
        <v>398</v>
      </c>
      <c r="E159" s="1" t="s">
        <v>942</v>
      </c>
    </row>
    <row r="160" spans="1:5" x14ac:dyDescent="0.2">
      <c r="A160" s="1" t="s">
        <v>1</v>
      </c>
      <c r="B160" s="1" t="s">
        <v>866</v>
      </c>
      <c r="C160" s="5">
        <f>DATE(2026, 1, 14) + TIME(13, 25, 44)</f>
        <v>46036.559537037036</v>
      </c>
      <c r="D160" s="1" t="s">
        <v>506</v>
      </c>
      <c r="E160" s="1" t="s">
        <v>712</v>
      </c>
    </row>
    <row r="161" spans="1:5" x14ac:dyDescent="0.2">
      <c r="A161" s="1" t="s">
        <v>1</v>
      </c>
      <c r="B161" s="1" t="s">
        <v>866</v>
      </c>
      <c r="C161" s="5">
        <f>DATE(2026, 1, 13) + TIME(15, 55, 59)</f>
        <v>46035.663877314815</v>
      </c>
      <c r="D161" s="1" t="s">
        <v>506</v>
      </c>
      <c r="E161" s="1" t="s">
        <v>823</v>
      </c>
    </row>
    <row r="162" spans="1:5" x14ac:dyDescent="0.2">
      <c r="A162" s="1" t="s">
        <v>1</v>
      </c>
      <c r="B162" s="1" t="s">
        <v>60</v>
      </c>
      <c r="C162" s="5">
        <f>DATE(2026, 1, 13) + TIME(15, 16, 48)</f>
        <v>46035.636666666665</v>
      </c>
      <c r="D162" s="1" t="s">
        <v>269</v>
      </c>
      <c r="E162" s="1" t="s">
        <v>336</v>
      </c>
    </row>
    <row r="163" spans="1:5" x14ac:dyDescent="0.2">
      <c r="A163" s="1" t="s">
        <v>1</v>
      </c>
      <c r="B163" s="1" t="s">
        <v>60</v>
      </c>
      <c r="C163" s="5">
        <f>DATE(2026, 1, 13) + TIME(13, 43, 18)</f>
        <v>46035.571736111109</v>
      </c>
      <c r="D163" s="1" t="s">
        <v>869</v>
      </c>
      <c r="E163" s="1" t="s">
        <v>275</v>
      </c>
    </row>
    <row r="164" spans="1:5" x14ac:dyDescent="0.2">
      <c r="A164" s="1" t="s">
        <v>1</v>
      </c>
      <c r="B164" s="1" t="s">
        <v>60</v>
      </c>
      <c r="C164" s="5">
        <f>DATE(2026, 1, 13) + TIME(13, 28, 29)</f>
        <v>46035.56144675926</v>
      </c>
      <c r="D164" s="1" t="s">
        <v>320</v>
      </c>
      <c r="E164" s="1" t="s">
        <v>917</v>
      </c>
    </row>
    <row r="165" spans="1:5" x14ac:dyDescent="0.2">
      <c r="A165" s="1" t="s">
        <v>1</v>
      </c>
      <c r="B165" s="1" t="s">
        <v>60</v>
      </c>
      <c r="C165" s="5">
        <f>DATE(2026, 1, 13) + TIME(12, 58, 29)</f>
        <v>46035.540613425925</v>
      </c>
      <c r="D165" s="1" t="s">
        <v>398</v>
      </c>
      <c r="E165" s="1" t="s">
        <v>143</v>
      </c>
    </row>
    <row r="166" spans="1:5" x14ac:dyDescent="0.2">
      <c r="A166" s="1" t="s">
        <v>1</v>
      </c>
      <c r="B166" s="1" t="s">
        <v>60</v>
      </c>
      <c r="C166" s="5">
        <f>DATE(2026, 1, 12) + TIME(15, 54, 24)</f>
        <v>46034.662777777776</v>
      </c>
      <c r="D166" s="1" t="s">
        <v>576</v>
      </c>
      <c r="E166" s="1" t="s">
        <v>92</v>
      </c>
    </row>
    <row r="167" spans="1:5" x14ac:dyDescent="0.2">
      <c r="A167" s="1" t="s">
        <v>1</v>
      </c>
      <c r="B167" s="1" t="s">
        <v>60</v>
      </c>
      <c r="C167" s="5">
        <f>DATE(2026, 1, 12) + TIME(14, 44, 14)</f>
        <v>46034.614050925928</v>
      </c>
      <c r="D167" s="1" t="s">
        <v>3</v>
      </c>
      <c r="E167" s="1" t="s">
        <v>401</v>
      </c>
    </row>
    <row r="168" spans="1:5" x14ac:dyDescent="0.2">
      <c r="A168" s="1" t="s">
        <v>1</v>
      </c>
      <c r="B168" s="1" t="s">
        <v>866</v>
      </c>
      <c r="C168" s="5">
        <f>DATE(2026, 1, 12) + TIME(13, 26, 47)</f>
        <v>46034.560266203705</v>
      </c>
      <c r="D168" s="1" t="s">
        <v>921</v>
      </c>
      <c r="E168" s="1" t="s">
        <v>691</v>
      </c>
    </row>
    <row r="169" spans="1:5" x14ac:dyDescent="0.2">
      <c r="A169" s="1" t="s">
        <v>1</v>
      </c>
      <c r="B169" s="1" t="s">
        <v>60</v>
      </c>
      <c r="C169" s="5">
        <f>DATE(2026, 1, 12) + TIME(12, 23, 56)</f>
        <v>46034.51662037037</v>
      </c>
      <c r="D169" s="1" t="s">
        <v>640</v>
      </c>
      <c r="E169" s="1" t="s">
        <v>870</v>
      </c>
    </row>
    <row r="170" spans="1:5" x14ac:dyDescent="0.2">
      <c r="A170" s="1" t="s">
        <v>1</v>
      </c>
      <c r="B170" s="1" t="s">
        <v>60</v>
      </c>
      <c r="C170" s="5">
        <f>DATE(2026, 1, 12) + TIME(11, 59, 38)</f>
        <v>46034.499745370369</v>
      </c>
      <c r="D170" s="1" t="s">
        <v>566</v>
      </c>
      <c r="E170" s="1" t="s">
        <v>865</v>
      </c>
    </row>
    <row r="171" spans="1:5" x14ac:dyDescent="0.2">
      <c r="A171" s="1" t="s">
        <v>1</v>
      </c>
      <c r="B171" s="1" t="s">
        <v>564</v>
      </c>
      <c r="C171" s="5">
        <f>DATE(2026, 1, 8) + TIME(15, 4, 24)</f>
        <v>46030.628055555557</v>
      </c>
      <c r="D171" s="1" t="s">
        <v>638</v>
      </c>
      <c r="E171" s="1" t="s">
        <v>147</v>
      </c>
    </row>
    <row r="172" spans="1:5" x14ac:dyDescent="0.2">
      <c r="A172" s="1" t="s">
        <v>1</v>
      </c>
      <c r="B172" s="1" t="s">
        <v>60</v>
      </c>
      <c r="C172" s="5">
        <f>DATE(2026, 1, 8) + TIME(14, 24, 41)</f>
        <v>46030.600474537037</v>
      </c>
      <c r="D172" s="1" t="s">
        <v>563</v>
      </c>
      <c r="E172" s="1" t="s">
        <v>210</v>
      </c>
    </row>
    <row r="173" spans="1:5" x14ac:dyDescent="0.2">
      <c r="A173" s="1" t="s">
        <v>1</v>
      </c>
      <c r="B173" s="1" t="s">
        <v>60</v>
      </c>
      <c r="C173" s="5">
        <f>DATE(2026, 1, 8) + TIME(14, 21, 37)</f>
        <v>46030.598344907405</v>
      </c>
      <c r="D173" s="1" t="s">
        <v>396</v>
      </c>
      <c r="E173" s="1" t="s">
        <v>140</v>
      </c>
    </row>
    <row r="174" spans="1:5" x14ac:dyDescent="0.2">
      <c r="A174" s="1" t="s">
        <v>1</v>
      </c>
      <c r="B174" s="1" t="s">
        <v>60</v>
      </c>
      <c r="C174" s="5">
        <f>DATE(2026, 1, 8) + TIME(11, 15, 18)</f>
        <v>46030.468958333331</v>
      </c>
      <c r="D174" s="1" t="s">
        <v>269</v>
      </c>
      <c r="E174" s="1" t="s">
        <v>748</v>
      </c>
    </row>
    <row r="175" spans="1:5" x14ac:dyDescent="0.2">
      <c r="A175" s="1" t="s">
        <v>1</v>
      </c>
      <c r="B175" s="1" t="s">
        <v>866</v>
      </c>
      <c r="C175" s="5">
        <f>DATE(2026, 1, 7) + TIME(15, 41, 15)</f>
        <v>46029.653645833336</v>
      </c>
      <c r="D175" s="1" t="s">
        <v>398</v>
      </c>
      <c r="E175" s="1" t="s">
        <v>416</v>
      </c>
    </row>
    <row r="176" spans="1:5" x14ac:dyDescent="0.2">
      <c r="A176" s="1" t="s">
        <v>1</v>
      </c>
      <c r="B176" s="1" t="s">
        <v>60</v>
      </c>
      <c r="C176" s="5">
        <f>DATE(2026, 1, 7) + TIME(15, 41, 15)</f>
        <v>46029.653645833336</v>
      </c>
      <c r="D176" s="1" t="s">
        <v>398</v>
      </c>
      <c r="E176" s="1" t="s">
        <v>143</v>
      </c>
    </row>
    <row r="177" spans="1:5" x14ac:dyDescent="0.2">
      <c r="A177" s="1" t="s">
        <v>1</v>
      </c>
      <c r="B177" s="1" t="s">
        <v>60</v>
      </c>
      <c r="C177" s="5">
        <f>DATE(2026, 1, 7) + TIME(14, 3, 26)</f>
        <v>46029.585717592592</v>
      </c>
      <c r="D177" s="1" t="s">
        <v>396</v>
      </c>
      <c r="E177" s="1" t="s">
        <v>749</v>
      </c>
    </row>
    <row r="178" spans="1:5" x14ac:dyDescent="0.2">
      <c r="A178" s="1" t="s">
        <v>1</v>
      </c>
      <c r="B178" s="1" t="s">
        <v>60</v>
      </c>
      <c r="C178" s="5">
        <f>DATE(2026, 1, 7) + TIME(13, 38, 11)</f>
        <v>46029.568182870367</v>
      </c>
      <c r="D178" s="1" t="s">
        <v>396</v>
      </c>
      <c r="E178" s="1" t="s">
        <v>507</v>
      </c>
    </row>
    <row r="179" spans="1:5" x14ac:dyDescent="0.2">
      <c r="A179" s="1" t="s">
        <v>1</v>
      </c>
      <c r="B179" s="1" t="s">
        <v>866</v>
      </c>
      <c r="C179" s="5">
        <f>DATE(2026, 1, 7) + TIME(12, 59, 25)</f>
        <v>46029.541261574072</v>
      </c>
      <c r="D179" s="1" t="s">
        <v>506</v>
      </c>
      <c r="E179" s="1" t="s">
        <v>884</v>
      </c>
    </row>
    <row r="180" spans="1:5" x14ac:dyDescent="0.2">
      <c r="A180" s="1" t="s">
        <v>1</v>
      </c>
      <c r="B180" s="1" t="s">
        <v>866</v>
      </c>
      <c r="C180" s="5">
        <f>DATE(2026, 1, 7) + TIME(11, 52, 23)</f>
        <v>46029.494710648149</v>
      </c>
      <c r="D180" s="1" t="s">
        <v>923</v>
      </c>
      <c r="E180" s="1" t="s">
        <v>474</v>
      </c>
    </row>
    <row r="181" spans="1:5" x14ac:dyDescent="0.2">
      <c r="A181" s="1" t="s">
        <v>1</v>
      </c>
      <c r="B181" s="1" t="s">
        <v>60</v>
      </c>
      <c r="C181" s="5">
        <f>DATE(2026, 1, 7) + TIME(11, 52, 23)</f>
        <v>46029.494710648149</v>
      </c>
      <c r="D181" s="1" t="s">
        <v>923</v>
      </c>
      <c r="E181" s="1" t="s">
        <v>474</v>
      </c>
    </row>
    <row r="182" spans="1:5" x14ac:dyDescent="0.2">
      <c r="A182" s="1" t="s">
        <v>1</v>
      </c>
      <c r="B182" s="1" t="s">
        <v>323</v>
      </c>
      <c r="C182" s="5">
        <f>DATE(2026, 1, 6) + TIME(15, 15, 54)</f>
        <v>46028.636041666665</v>
      </c>
      <c r="D182" s="1" t="s">
        <v>459</v>
      </c>
      <c r="E182" s="1" t="s">
        <v>171</v>
      </c>
    </row>
    <row r="183" spans="1:5" x14ac:dyDescent="0.2">
      <c r="A183" s="1" t="s">
        <v>1</v>
      </c>
      <c r="B183" s="1" t="s">
        <v>866</v>
      </c>
      <c r="C183" s="5">
        <f>DATE(2026, 1, 6) + TIME(12, 33, 37)</f>
        <v>46028.523344907408</v>
      </c>
      <c r="D183" s="1" t="s">
        <v>869</v>
      </c>
      <c r="E183" s="1" t="s">
        <v>275</v>
      </c>
    </row>
    <row r="184" spans="1:5" x14ac:dyDescent="0.2">
      <c r="A184" s="1" t="s">
        <v>1</v>
      </c>
      <c r="B184" s="1" t="s">
        <v>60</v>
      </c>
      <c r="C184" s="5">
        <f>DATE(2026, 1, 6) + TIME(12, 29, 23)</f>
        <v>46028.520405092589</v>
      </c>
      <c r="D184" s="1" t="s">
        <v>467</v>
      </c>
      <c r="E184" s="1" t="s">
        <v>814</v>
      </c>
    </row>
    <row r="185" spans="1:5" x14ac:dyDescent="0.2">
      <c r="A185" s="1" t="s">
        <v>1</v>
      </c>
      <c r="B185" s="1" t="s">
        <v>60</v>
      </c>
      <c r="C185" s="5">
        <f>DATE(2026, 1, 6) + TIME(11, 35, 56)</f>
        <v>46028.483287037037</v>
      </c>
      <c r="D185" s="1" t="s">
        <v>216</v>
      </c>
      <c r="E185" s="1" t="s">
        <v>213</v>
      </c>
    </row>
    <row r="186" spans="1:5" x14ac:dyDescent="0.2">
      <c r="A186" s="1" t="s">
        <v>1</v>
      </c>
      <c r="B186" s="1" t="s">
        <v>60</v>
      </c>
      <c r="C186" s="5">
        <f>DATE(2026, 1, 6) + TIME(7, 35, 27)</f>
        <v>46028.316284722219</v>
      </c>
      <c r="D186" s="1" t="s">
        <v>398</v>
      </c>
      <c r="E186" s="1" t="s">
        <v>143</v>
      </c>
    </row>
    <row r="187" spans="1:5" x14ac:dyDescent="0.2">
      <c r="A187" s="1" t="s">
        <v>1</v>
      </c>
      <c r="B187" s="1" t="s">
        <v>60</v>
      </c>
      <c r="C187" s="5">
        <f>DATE(2026, 1, 5) + TIME(14, 17, 58)</f>
        <v>46027.595810185187</v>
      </c>
      <c r="D187" s="1" t="s">
        <v>396</v>
      </c>
      <c r="E187" s="1" t="s">
        <v>749</v>
      </c>
    </row>
    <row r="188" spans="1:5" x14ac:dyDescent="0.2">
      <c r="A188" s="1" t="s">
        <v>1</v>
      </c>
      <c r="B188" s="1" t="s">
        <v>60</v>
      </c>
      <c r="C188" s="5">
        <f>DATE(2026, 1, 5) + TIME(14, 16, 19)</f>
        <v>46027.594664351855</v>
      </c>
      <c r="D188" s="1" t="s">
        <v>320</v>
      </c>
      <c r="E188" s="1" t="s">
        <v>214</v>
      </c>
    </row>
    <row r="189" spans="1:5" x14ac:dyDescent="0.2">
      <c r="A189" s="1" t="s">
        <v>1</v>
      </c>
      <c r="B189" s="1" t="s">
        <v>60</v>
      </c>
      <c r="C189" s="5">
        <f>DATE(2026, 1, 5) + TIME(13, 46, 46)</f>
        <v>46027.574143518519</v>
      </c>
      <c r="D189" s="1" t="s">
        <v>64</v>
      </c>
      <c r="E189" s="1" t="s">
        <v>405</v>
      </c>
    </row>
    <row r="190" spans="1:5" x14ac:dyDescent="0.2">
      <c r="A190" s="1" t="s">
        <v>1</v>
      </c>
      <c r="B190" s="1" t="s">
        <v>60</v>
      </c>
      <c r="C190" s="5">
        <f>DATE(2026, 1, 5) + TIME(13, 22, 59)</f>
        <v>46027.557627314818</v>
      </c>
      <c r="D190" s="1" t="s">
        <v>467</v>
      </c>
      <c r="E190" s="1" t="s">
        <v>514</v>
      </c>
    </row>
    <row r="191" spans="1:5" x14ac:dyDescent="0.2">
      <c r="A191" s="1" t="s">
        <v>1</v>
      </c>
      <c r="B191" s="1" t="s">
        <v>60</v>
      </c>
      <c r="C191" s="5">
        <f>DATE(2026, 1, 5) + TIME(13, 2, 34)</f>
        <v>46027.543449074074</v>
      </c>
      <c r="D191" s="1" t="s">
        <v>566</v>
      </c>
      <c r="E191" s="1" t="s">
        <v>865</v>
      </c>
    </row>
    <row r="192" spans="1:5" x14ac:dyDescent="0.2">
      <c r="A192" s="1" t="s">
        <v>1</v>
      </c>
      <c r="B192" s="1" t="s">
        <v>60</v>
      </c>
      <c r="C192" s="5">
        <f>DATE(2026, 1, 5) + TIME(12, 42, 23)</f>
        <v>46027.529432870368</v>
      </c>
      <c r="D192" s="1" t="s">
        <v>269</v>
      </c>
      <c r="E192" s="1" t="s">
        <v>748</v>
      </c>
    </row>
    <row r="193" spans="1:5" x14ac:dyDescent="0.2">
      <c r="A193" s="1" t="s">
        <v>1</v>
      </c>
      <c r="B193" s="1" t="s">
        <v>866</v>
      </c>
      <c r="C193" s="5">
        <f>DATE(2026, 1, 5) + TIME(12, 22, 59)</f>
        <v>46027.515960648147</v>
      </c>
      <c r="D193" s="1" t="s">
        <v>506</v>
      </c>
      <c r="E193" s="1" t="s">
        <v>697</v>
      </c>
    </row>
    <row r="194" spans="1:5" x14ac:dyDescent="0.2">
      <c r="A194" s="1" t="s">
        <v>1</v>
      </c>
      <c r="B194" s="1" t="s">
        <v>60</v>
      </c>
      <c r="C194" s="5">
        <f>DATE(2026, 1, 5) + TIME(11, 59, 49)</f>
        <v>46027.499872685185</v>
      </c>
      <c r="D194" s="1" t="s">
        <v>320</v>
      </c>
      <c r="E194" s="1" t="s">
        <v>683</v>
      </c>
    </row>
    <row r="195" spans="1:5" x14ac:dyDescent="0.2">
      <c r="A195" s="1" t="s">
        <v>1</v>
      </c>
      <c r="B195" s="1" t="s">
        <v>60</v>
      </c>
      <c r="C195" s="5">
        <f>DATE(2026, 1, 5) + TIME(11, 59, 49)</f>
        <v>46027.499872685185</v>
      </c>
      <c r="D195" s="1" t="s">
        <v>320</v>
      </c>
      <c r="E195" s="1" t="s">
        <v>948</v>
      </c>
    </row>
    <row r="196" spans="1:5" x14ac:dyDescent="0.2">
      <c r="A196" s="1" t="s">
        <v>1</v>
      </c>
      <c r="B196" s="1" t="s">
        <v>60</v>
      </c>
      <c r="C196" s="5">
        <f>DATE(2026, 1, 5) + TIME(11, 24, 44)</f>
        <v>46027.47550925926</v>
      </c>
      <c r="D196" s="1" t="s">
        <v>3</v>
      </c>
      <c r="E196" s="1" t="s">
        <v>168</v>
      </c>
    </row>
    <row r="197" spans="1:5" x14ac:dyDescent="0.2">
      <c r="A197" s="1" t="s">
        <v>1</v>
      </c>
      <c r="B197" s="1" t="s">
        <v>60</v>
      </c>
      <c r="C197" s="5">
        <f>DATE(2025, 12, 31) + TIME(13, 29, 39)</f>
        <v>46022.562256944446</v>
      </c>
      <c r="D197" s="1" t="s">
        <v>563</v>
      </c>
      <c r="E197" s="1" t="s">
        <v>210</v>
      </c>
    </row>
    <row r="198" spans="1:5" x14ac:dyDescent="0.2">
      <c r="A198" s="1" t="s">
        <v>1</v>
      </c>
      <c r="B198" s="1" t="s">
        <v>60</v>
      </c>
      <c r="C198" s="5">
        <f>DATE(2025, 12, 31) + TIME(11, 38, 50)</f>
        <v>46022.485300925924</v>
      </c>
      <c r="D198" s="1" t="s">
        <v>566</v>
      </c>
      <c r="E198" s="1" t="s">
        <v>865</v>
      </c>
    </row>
    <row r="199" spans="1:5" x14ac:dyDescent="0.2">
      <c r="A199" s="1" t="s">
        <v>1</v>
      </c>
      <c r="B199" s="1" t="s">
        <v>60</v>
      </c>
      <c r="C199" s="5">
        <f>DATE(2025, 12, 30) + TIME(12, 38, 55)</f>
        <v>46021.527025462965</v>
      </c>
      <c r="D199" s="1" t="s">
        <v>506</v>
      </c>
      <c r="E199" s="1" t="s">
        <v>712</v>
      </c>
    </row>
    <row r="200" spans="1:5" x14ac:dyDescent="0.2">
      <c r="A200" s="1" t="s">
        <v>1</v>
      </c>
      <c r="B200" s="1" t="s">
        <v>866</v>
      </c>
      <c r="C200" s="5">
        <f>DATE(2025, 12, 29) + TIME(13, 37, 39)</f>
        <v>46020.567812499998</v>
      </c>
      <c r="D200" s="1" t="s">
        <v>869</v>
      </c>
      <c r="E200" s="1" t="s">
        <v>275</v>
      </c>
    </row>
    <row r="201" spans="1:5" x14ac:dyDescent="0.2">
      <c r="A201" s="1" t="s">
        <v>1</v>
      </c>
      <c r="B201" s="1" t="s">
        <v>60</v>
      </c>
      <c r="C201" s="5">
        <f>DATE(2025, 12, 28) + TIME(12, 54, 52)</f>
        <v>46019.538101851853</v>
      </c>
      <c r="D201" s="1" t="s">
        <v>5</v>
      </c>
      <c r="E201" s="1" t="s">
        <v>296</v>
      </c>
    </row>
    <row r="202" spans="1:5" x14ac:dyDescent="0.2">
      <c r="A202" s="1" t="s">
        <v>1</v>
      </c>
      <c r="B202" s="1" t="s">
        <v>69</v>
      </c>
      <c r="C202" s="5">
        <f>DATE(2025, 12, 23) + TIME(11, 8, 59)</f>
        <v>46014.464571759258</v>
      </c>
      <c r="D202" s="1" t="s">
        <v>3</v>
      </c>
      <c r="E202" s="1" t="s">
        <v>25</v>
      </c>
    </row>
    <row r="203" spans="1:5" x14ac:dyDescent="0.2">
      <c r="A203" s="1" t="s">
        <v>1</v>
      </c>
      <c r="B203" s="1" t="s">
        <v>564</v>
      </c>
      <c r="C203" s="5">
        <f>DATE(2025, 12, 22) + TIME(14, 36, 35)</f>
        <v>46013.608738425923</v>
      </c>
      <c r="D203" s="1" t="s">
        <v>320</v>
      </c>
      <c r="E203" s="1" t="s">
        <v>214</v>
      </c>
    </row>
    <row r="204" spans="1:5" x14ac:dyDescent="0.2">
      <c r="A204" s="1" t="s">
        <v>1</v>
      </c>
      <c r="B204" s="1" t="s">
        <v>564</v>
      </c>
      <c r="C204" s="5">
        <f>DATE(2025, 12, 22) + TIME(12, 46, 18)</f>
        <v>46013.532152777778</v>
      </c>
      <c r="D204" s="1" t="s">
        <v>320</v>
      </c>
      <c r="E204" s="1" t="s">
        <v>95</v>
      </c>
    </row>
    <row r="205" spans="1:5" x14ac:dyDescent="0.2">
      <c r="A205" s="1" t="s">
        <v>1</v>
      </c>
      <c r="B205" s="1" t="s">
        <v>60</v>
      </c>
      <c r="C205" s="5">
        <f>DATE(2025, 12, 18) + TIME(14, 21, 51)</f>
        <v>46009.598506944443</v>
      </c>
      <c r="D205" s="1" t="s">
        <v>5</v>
      </c>
      <c r="E205" s="1" t="s">
        <v>706</v>
      </c>
    </row>
    <row r="206" spans="1:5" x14ac:dyDescent="0.2">
      <c r="A206" s="1" t="s">
        <v>1</v>
      </c>
      <c r="B206" s="1" t="s">
        <v>60</v>
      </c>
      <c r="C206" s="5">
        <f>DATE(2025, 12, 17) + TIME(11, 1, 32)</f>
        <v>46008.459398148145</v>
      </c>
      <c r="D206" s="1" t="s">
        <v>320</v>
      </c>
      <c r="E206" s="1" t="s">
        <v>872</v>
      </c>
    </row>
    <row r="207" spans="1:5" x14ac:dyDescent="0.2">
      <c r="A207" s="1" t="s">
        <v>1</v>
      </c>
      <c r="B207" s="1" t="s">
        <v>60</v>
      </c>
      <c r="C207" s="5">
        <f>DATE(2025, 12, 16) + TIME(14, 4, 52)</f>
        <v>46007.586712962962</v>
      </c>
      <c r="D207" s="1" t="s">
        <v>566</v>
      </c>
      <c r="E207" s="1" t="s">
        <v>571</v>
      </c>
    </row>
    <row r="208" spans="1:5" x14ac:dyDescent="0.2">
      <c r="A208" s="1" t="s">
        <v>1</v>
      </c>
      <c r="B208" s="1" t="s">
        <v>60</v>
      </c>
      <c r="C208" s="5">
        <f>DATE(2025, 12, 16) + TIME(13, 37, 33)</f>
        <v>46007.567743055559</v>
      </c>
      <c r="D208" s="1" t="s">
        <v>863</v>
      </c>
      <c r="E208" s="1" t="s">
        <v>170</v>
      </c>
    </row>
    <row r="209" spans="1:5" x14ac:dyDescent="0.2">
      <c r="A209" s="1" t="s">
        <v>1</v>
      </c>
      <c r="B209" s="1" t="s">
        <v>866</v>
      </c>
      <c r="C209" s="5">
        <f>DATE(2025, 12, 16) + TIME(12, 3, 24)</f>
        <v>46007.50236111111</v>
      </c>
      <c r="D209" s="1" t="s">
        <v>869</v>
      </c>
      <c r="E209" s="1" t="s">
        <v>275</v>
      </c>
    </row>
    <row r="210" spans="1:5" x14ac:dyDescent="0.2">
      <c r="A210" s="1" t="s">
        <v>1</v>
      </c>
      <c r="B210" s="1" t="s">
        <v>60</v>
      </c>
      <c r="C210" s="5">
        <f>DATE(2025, 12, 15) + TIME(14, 37, 9)</f>
        <v>46006.609131944446</v>
      </c>
      <c r="D210" s="1" t="s">
        <v>921</v>
      </c>
      <c r="E210" s="1" t="s">
        <v>345</v>
      </c>
    </row>
    <row r="211" spans="1:5" x14ac:dyDescent="0.2">
      <c r="A211" s="1" t="s">
        <v>1</v>
      </c>
      <c r="B211" s="1" t="s">
        <v>60</v>
      </c>
      <c r="C211" s="5">
        <f>DATE(2025, 12, 15) + TIME(14, 6, 45)</f>
        <v>46006.588020833333</v>
      </c>
      <c r="D211" s="1" t="s">
        <v>396</v>
      </c>
      <c r="E211" s="1" t="s">
        <v>749</v>
      </c>
    </row>
    <row r="212" spans="1:5" x14ac:dyDescent="0.2">
      <c r="A212" s="1" t="s">
        <v>1</v>
      </c>
      <c r="B212" s="1" t="s">
        <v>60</v>
      </c>
      <c r="C212" s="5">
        <f>DATE(2025, 12, 15) + TIME(13, 45, 46)</f>
        <v>46006.573449074072</v>
      </c>
      <c r="D212" s="1" t="s">
        <v>269</v>
      </c>
      <c r="E212" s="1" t="s">
        <v>273</v>
      </c>
    </row>
    <row r="213" spans="1:5" x14ac:dyDescent="0.2">
      <c r="A213" s="1" t="s">
        <v>1</v>
      </c>
      <c r="B213" s="1" t="s">
        <v>323</v>
      </c>
      <c r="C213" s="5">
        <f>DATE(2025, 12, 15) + TIME(13, 9, 16)</f>
        <v>46006.548101851855</v>
      </c>
      <c r="D213" s="1" t="s">
        <v>754</v>
      </c>
      <c r="E213" s="1" t="s">
        <v>941</v>
      </c>
    </row>
    <row r="214" spans="1:5" x14ac:dyDescent="0.2">
      <c r="A214" s="1" t="s">
        <v>1</v>
      </c>
      <c r="B214" s="1" t="s">
        <v>60</v>
      </c>
      <c r="C214" s="5">
        <f>DATE(2025, 12, 15) + TIME(13, 7, 46)</f>
        <v>46006.547060185185</v>
      </c>
      <c r="D214" s="1" t="s">
        <v>566</v>
      </c>
      <c r="E214" s="1" t="s">
        <v>865</v>
      </c>
    </row>
    <row r="215" spans="1:5" x14ac:dyDescent="0.2">
      <c r="A215" s="1" t="s">
        <v>1</v>
      </c>
      <c r="B215" s="1" t="s">
        <v>323</v>
      </c>
      <c r="C215" s="5">
        <f>DATE(2025, 12, 15) + TIME(12, 15, 40)</f>
        <v>46006.510879629626</v>
      </c>
      <c r="D215" s="1" t="s">
        <v>269</v>
      </c>
      <c r="E215" s="1" t="s">
        <v>748</v>
      </c>
    </row>
    <row r="216" spans="1:5" x14ac:dyDescent="0.2">
      <c r="A216" s="1" t="s">
        <v>1</v>
      </c>
      <c r="B216" s="1" t="s">
        <v>60</v>
      </c>
      <c r="C216" s="5">
        <f>DATE(2025, 12, 15) + TIME(11, 45, 8)</f>
        <v>46006.489675925928</v>
      </c>
      <c r="D216" s="1" t="s">
        <v>3</v>
      </c>
      <c r="E216" s="1" t="s">
        <v>168</v>
      </c>
    </row>
    <row r="217" spans="1:5" x14ac:dyDescent="0.2">
      <c r="A217" s="1" t="s">
        <v>1</v>
      </c>
      <c r="B217" s="1" t="s">
        <v>60</v>
      </c>
      <c r="C217" s="5">
        <f>DATE(2025, 12, 15) + TIME(11, 16, 22)</f>
        <v>46006.469699074078</v>
      </c>
      <c r="D217" s="1" t="s">
        <v>65</v>
      </c>
      <c r="E217" s="1" t="s">
        <v>404</v>
      </c>
    </row>
    <row r="218" spans="1:5" x14ac:dyDescent="0.2">
      <c r="A218" s="1" t="s">
        <v>1</v>
      </c>
      <c r="B218" s="1" t="s">
        <v>60</v>
      </c>
      <c r="C218" s="5">
        <f>DATE(2025, 12, 12) + TIME(14, 23, 8)</f>
        <v>46003.599398148152</v>
      </c>
      <c r="D218" s="1" t="s">
        <v>65</v>
      </c>
      <c r="E218" s="1" t="s">
        <v>404</v>
      </c>
    </row>
    <row r="219" spans="1:5" x14ac:dyDescent="0.2">
      <c r="A219" s="1" t="s">
        <v>1</v>
      </c>
      <c r="B219" s="1" t="s">
        <v>60</v>
      </c>
      <c r="C219" s="5">
        <f>DATE(2025, 12, 11) + TIME(15, 7, 4)</f>
        <v>46002.629907407405</v>
      </c>
      <c r="D219" s="1" t="s">
        <v>64</v>
      </c>
      <c r="E219" s="1" t="s">
        <v>763</v>
      </c>
    </row>
    <row r="220" spans="1:5" x14ac:dyDescent="0.2">
      <c r="A220" s="1" t="s">
        <v>1</v>
      </c>
      <c r="B220" s="1" t="s">
        <v>60</v>
      </c>
      <c r="C220" s="5">
        <f>DATE(2025, 12, 11) + TIME(13, 37, 14)</f>
        <v>46002.567523148151</v>
      </c>
      <c r="D220" s="1" t="s">
        <v>566</v>
      </c>
      <c r="E220" s="1" t="s">
        <v>865</v>
      </c>
    </row>
    <row r="221" spans="1:5" x14ac:dyDescent="0.2">
      <c r="A221" s="1" t="s">
        <v>1</v>
      </c>
      <c r="B221" s="1" t="s">
        <v>323</v>
      </c>
      <c r="C221" s="5">
        <f>DATE(2025, 12, 10) + TIME(16, 0, 29)</f>
        <v>46001.667002314818</v>
      </c>
      <c r="D221" s="1" t="s">
        <v>398</v>
      </c>
      <c r="E221" s="1" t="s">
        <v>775</v>
      </c>
    </row>
    <row r="222" spans="1:5" x14ac:dyDescent="0.2">
      <c r="A222" s="1" t="s">
        <v>1</v>
      </c>
      <c r="B222" s="1" t="s">
        <v>60</v>
      </c>
      <c r="C222" s="5">
        <f>DATE(2025, 12, 10) + TIME(14, 27, 7)</f>
        <v>46001.602164351854</v>
      </c>
      <c r="D222" s="1" t="s">
        <v>506</v>
      </c>
      <c r="E222" s="1" t="s">
        <v>6</v>
      </c>
    </row>
    <row r="223" spans="1:5" x14ac:dyDescent="0.2">
      <c r="A223" s="1" t="s">
        <v>1</v>
      </c>
      <c r="B223" s="1" t="s">
        <v>651</v>
      </c>
      <c r="C223" s="5">
        <f>DATE(2025, 12, 10) + TIME(13, 18, 44)</f>
        <v>46001.554675925923</v>
      </c>
      <c r="D223" s="1" t="s">
        <v>576</v>
      </c>
      <c r="E223" s="1" t="s">
        <v>595</v>
      </c>
    </row>
    <row r="224" spans="1:5" x14ac:dyDescent="0.2">
      <c r="A224" s="1" t="s">
        <v>1</v>
      </c>
      <c r="B224" s="1" t="s">
        <v>60</v>
      </c>
      <c r="C224" s="5">
        <f>DATE(2025, 12, 10) + TIME(13, 18, 43)</f>
        <v>46001.554664351854</v>
      </c>
      <c r="D224" s="1" t="s">
        <v>396</v>
      </c>
      <c r="E224" s="1" t="s">
        <v>749</v>
      </c>
    </row>
    <row r="225" spans="1:5" x14ac:dyDescent="0.2">
      <c r="A225" s="1" t="s">
        <v>1</v>
      </c>
      <c r="B225" s="1" t="s">
        <v>60</v>
      </c>
      <c r="C225" s="5">
        <f>DATE(2025, 12, 10) + TIME(12, 12, 13)</f>
        <v>46001.508483796293</v>
      </c>
      <c r="D225" s="1" t="s">
        <v>638</v>
      </c>
      <c r="E225" s="1" t="s">
        <v>286</v>
      </c>
    </row>
    <row r="226" spans="1:5" x14ac:dyDescent="0.2">
      <c r="A226" s="1" t="s">
        <v>1</v>
      </c>
      <c r="B226" s="1" t="s">
        <v>60</v>
      </c>
      <c r="C226" s="5">
        <f>DATE(2025, 12, 9) + TIME(14, 28, 36)</f>
        <v>46000.603194444448</v>
      </c>
      <c r="D226" s="1" t="s">
        <v>398</v>
      </c>
      <c r="E226" s="1" t="s">
        <v>581</v>
      </c>
    </row>
    <row r="227" spans="1:5" x14ac:dyDescent="0.2">
      <c r="A227" s="1" t="s">
        <v>1</v>
      </c>
      <c r="B227" s="1" t="s">
        <v>323</v>
      </c>
      <c r="C227" s="5">
        <f>DATE(2025, 12, 9) + TIME(14, 26, 29)</f>
        <v>46000.601724537039</v>
      </c>
      <c r="D227" s="1" t="s">
        <v>576</v>
      </c>
      <c r="E227" s="1" t="s">
        <v>832</v>
      </c>
    </row>
    <row r="228" spans="1:5" x14ac:dyDescent="0.2">
      <c r="A228" s="1" t="s">
        <v>1</v>
      </c>
      <c r="B228" s="1" t="s">
        <v>60</v>
      </c>
      <c r="C228" s="5">
        <f>DATE(2025, 12, 9) + TIME(14, 3, 35)</f>
        <v>46000.585821759261</v>
      </c>
      <c r="D228" s="1" t="s">
        <v>65</v>
      </c>
      <c r="E228" s="1" t="s">
        <v>227</v>
      </c>
    </row>
    <row r="229" spans="1:5" x14ac:dyDescent="0.2">
      <c r="A229" s="1" t="s">
        <v>1</v>
      </c>
      <c r="B229" s="1" t="s">
        <v>866</v>
      </c>
      <c r="C229" s="5">
        <f>DATE(2025, 12, 9) + TIME(13, 23, 28)</f>
        <v>46000.557962962965</v>
      </c>
      <c r="D229" s="1" t="s">
        <v>576</v>
      </c>
      <c r="E229" s="1" t="s">
        <v>830</v>
      </c>
    </row>
    <row r="230" spans="1:5" x14ac:dyDescent="0.2">
      <c r="A230" s="1" t="s">
        <v>1</v>
      </c>
      <c r="B230" s="1" t="s">
        <v>60</v>
      </c>
      <c r="C230" s="5">
        <f>DATE(2025, 12, 9) + TIME(12, 36, 14)</f>
        <v>46000.52516203704</v>
      </c>
      <c r="D230" s="1" t="s">
        <v>320</v>
      </c>
      <c r="E230" s="1" t="s">
        <v>687</v>
      </c>
    </row>
    <row r="231" spans="1:5" x14ac:dyDescent="0.2">
      <c r="A231" s="1" t="s">
        <v>1</v>
      </c>
      <c r="B231" s="1" t="s">
        <v>60</v>
      </c>
      <c r="C231" s="5">
        <f>DATE(2025, 12, 9) + TIME(8, 12, 55)</f>
        <v>46000.342303240737</v>
      </c>
      <c r="D231" s="1" t="s">
        <v>398</v>
      </c>
      <c r="E231" s="1" t="s">
        <v>143</v>
      </c>
    </row>
    <row r="232" spans="1:5" x14ac:dyDescent="0.2">
      <c r="A232" s="1" t="s">
        <v>1</v>
      </c>
      <c r="B232" s="1" t="s">
        <v>866</v>
      </c>
      <c r="C232" s="5">
        <f>DATE(2025, 12, 8) + TIME(17, 14, 54)</f>
        <v>45999.718680555554</v>
      </c>
      <c r="D232" s="1" t="s">
        <v>869</v>
      </c>
      <c r="E232" s="1" t="s">
        <v>275</v>
      </c>
    </row>
    <row r="233" spans="1:5" x14ac:dyDescent="0.2">
      <c r="A233" s="1" t="s">
        <v>1</v>
      </c>
      <c r="B233" s="1" t="s">
        <v>60</v>
      </c>
      <c r="C233" s="5">
        <f>DATE(2025, 12, 8) + TIME(14, 24, 28)</f>
        <v>45999.600324074076</v>
      </c>
      <c r="D233" s="1" t="s">
        <v>396</v>
      </c>
      <c r="E233" s="1" t="s">
        <v>749</v>
      </c>
    </row>
    <row r="234" spans="1:5" x14ac:dyDescent="0.2">
      <c r="A234" s="1" t="s">
        <v>1</v>
      </c>
      <c r="B234" s="1" t="s">
        <v>60</v>
      </c>
      <c r="C234" s="5">
        <f>DATE(2025, 12, 8) + TIME(13, 11, 11)</f>
        <v>45999.549432870372</v>
      </c>
      <c r="D234" s="1" t="s">
        <v>506</v>
      </c>
      <c r="E234" s="1" t="s">
        <v>649</v>
      </c>
    </row>
    <row r="235" spans="1:5" x14ac:dyDescent="0.2">
      <c r="A235" s="1" t="s">
        <v>1</v>
      </c>
      <c r="B235" s="1" t="s">
        <v>60</v>
      </c>
      <c r="C235" s="5">
        <f>DATE(2025, 12, 8) + TIME(11, 40, 55)</f>
        <v>45999.486747685187</v>
      </c>
      <c r="D235" s="1" t="s">
        <v>3</v>
      </c>
      <c r="E235" s="1" t="s">
        <v>168</v>
      </c>
    </row>
    <row r="236" spans="1:5" x14ac:dyDescent="0.2">
      <c r="A236" s="1" t="s">
        <v>1</v>
      </c>
      <c r="B236" s="1" t="s">
        <v>323</v>
      </c>
      <c r="C236" s="5">
        <f>DATE(2025, 12, 8) + TIME(10, 13, 5)</f>
        <v>45999.425752314812</v>
      </c>
      <c r="D236" s="1" t="s">
        <v>921</v>
      </c>
      <c r="E236" s="1" t="s">
        <v>691</v>
      </c>
    </row>
    <row r="237" spans="1:5" x14ac:dyDescent="0.2">
      <c r="A237" s="1" t="s">
        <v>1</v>
      </c>
      <c r="B237" s="1" t="s">
        <v>60</v>
      </c>
      <c r="C237" s="5">
        <f>DATE(2025, 12, 8) + TIME(9, 16, 18)</f>
        <v>45999.386319444442</v>
      </c>
      <c r="D237" s="1" t="s">
        <v>566</v>
      </c>
      <c r="E237" s="1" t="s">
        <v>865</v>
      </c>
    </row>
    <row r="238" spans="1:5" x14ac:dyDescent="0.2">
      <c r="A238" s="1" t="s">
        <v>1</v>
      </c>
      <c r="B238" s="1" t="s">
        <v>60</v>
      </c>
      <c r="C238" s="5">
        <f>DATE(2025, 12, 5) + TIME(15, 51, 54)</f>
        <v>45996.661041666666</v>
      </c>
      <c r="D238" s="1" t="s">
        <v>638</v>
      </c>
      <c r="E238" s="1" t="s">
        <v>887</v>
      </c>
    </row>
    <row r="239" spans="1:5" x14ac:dyDescent="0.2">
      <c r="A239" s="1" t="s">
        <v>1</v>
      </c>
      <c r="B239" s="1" t="s">
        <v>60</v>
      </c>
      <c r="C239" s="5">
        <f>DATE(2025, 12, 4) + TIME(14, 29, 29)</f>
        <v>45995.603807870371</v>
      </c>
      <c r="D239" s="1" t="s">
        <v>64</v>
      </c>
      <c r="E239" s="1" t="s">
        <v>763</v>
      </c>
    </row>
    <row r="240" spans="1:5" x14ac:dyDescent="0.2">
      <c r="A240" s="1" t="s">
        <v>1</v>
      </c>
      <c r="B240" s="1" t="s">
        <v>60</v>
      </c>
      <c r="C240" s="5">
        <f>DATE(2025, 12, 4) + TIME(13, 48, 37)</f>
        <v>45995.575428240743</v>
      </c>
      <c r="D240" s="1" t="s">
        <v>566</v>
      </c>
      <c r="E240" s="1" t="s">
        <v>865</v>
      </c>
    </row>
    <row r="241" spans="1:5" x14ac:dyDescent="0.2">
      <c r="A241" s="1" t="s">
        <v>1</v>
      </c>
      <c r="B241" s="1" t="s">
        <v>60</v>
      </c>
      <c r="C241" s="5">
        <f>DATE(2025, 12, 4) + TIME(10, 57, 28)</f>
        <v>45995.456574074073</v>
      </c>
      <c r="D241" s="1" t="s">
        <v>5</v>
      </c>
      <c r="E241" s="1" t="s">
        <v>567</v>
      </c>
    </row>
    <row r="242" spans="1:5" x14ac:dyDescent="0.2">
      <c r="A242" s="1" t="s">
        <v>1</v>
      </c>
      <c r="B242" s="1" t="s">
        <v>60</v>
      </c>
      <c r="C242" s="5">
        <f>DATE(2025, 12, 4) + TIME(10, 36, 1)</f>
        <v>45995.441678240742</v>
      </c>
      <c r="D242" s="1" t="s">
        <v>269</v>
      </c>
      <c r="E242" s="1" t="s">
        <v>748</v>
      </c>
    </row>
    <row r="243" spans="1:5" x14ac:dyDescent="0.2">
      <c r="A243" s="1" t="s">
        <v>1</v>
      </c>
      <c r="B243" s="1" t="s">
        <v>60</v>
      </c>
      <c r="C243" s="5">
        <f>DATE(2025, 12, 3) + TIME(15, 37, 24)</f>
        <v>45994.650972222225</v>
      </c>
      <c r="D243" s="1" t="s">
        <v>320</v>
      </c>
      <c r="E243" s="1" t="s">
        <v>565</v>
      </c>
    </row>
    <row r="244" spans="1:5" x14ac:dyDescent="0.2">
      <c r="A244" s="1" t="s">
        <v>1</v>
      </c>
      <c r="B244" s="1" t="s">
        <v>60</v>
      </c>
      <c r="C244" s="5">
        <f>DATE(2025, 12, 3) + TIME(13, 30, 12)</f>
        <v>45994.562638888892</v>
      </c>
      <c r="D244" s="1" t="s">
        <v>638</v>
      </c>
      <c r="E244" s="1" t="s">
        <v>535</v>
      </c>
    </row>
    <row r="245" spans="1:5" x14ac:dyDescent="0.2">
      <c r="A245" s="1" t="s">
        <v>1</v>
      </c>
      <c r="B245" s="1" t="s">
        <v>60</v>
      </c>
      <c r="C245" s="5">
        <f>DATE(2025, 12, 3) + TIME(13, 13, 32)</f>
        <v>45994.551064814812</v>
      </c>
      <c r="D245" s="1" t="s">
        <v>5</v>
      </c>
      <c r="E245" s="1" t="s">
        <v>360</v>
      </c>
    </row>
    <row r="246" spans="1:5" x14ac:dyDescent="0.2">
      <c r="A246" s="1" t="s">
        <v>1</v>
      </c>
      <c r="B246" s="1" t="s">
        <v>866</v>
      </c>
      <c r="C246" s="5">
        <f>DATE(2025, 12, 3) + TIME(6, 7, 26)</f>
        <v>45994.255162037036</v>
      </c>
      <c r="D246" s="1" t="s">
        <v>506</v>
      </c>
      <c r="E246" s="1" t="s">
        <v>298</v>
      </c>
    </row>
    <row r="247" spans="1:5" x14ac:dyDescent="0.2">
      <c r="A247" s="1" t="s">
        <v>1</v>
      </c>
      <c r="B247" s="1" t="s">
        <v>60</v>
      </c>
      <c r="C247" s="5">
        <f>DATE(2025, 12, 2) + TIME(14, 2, 5)</f>
        <v>45993.584780092591</v>
      </c>
      <c r="D247" s="1" t="s">
        <v>566</v>
      </c>
      <c r="E247" s="1" t="s">
        <v>571</v>
      </c>
    </row>
    <row r="248" spans="1:5" x14ac:dyDescent="0.2">
      <c r="A248" s="1" t="s">
        <v>1</v>
      </c>
      <c r="B248" s="1" t="s">
        <v>564</v>
      </c>
      <c r="C248" s="5">
        <f>DATE(2025, 12, 2) + TIME(12, 59, 26)</f>
        <v>45993.541273148148</v>
      </c>
      <c r="D248" s="1" t="s">
        <v>320</v>
      </c>
      <c r="E248" s="1" t="s">
        <v>95</v>
      </c>
    </row>
    <row r="249" spans="1:5" x14ac:dyDescent="0.2">
      <c r="A249" s="1" t="s">
        <v>1</v>
      </c>
      <c r="B249" s="1" t="s">
        <v>60</v>
      </c>
      <c r="C249" s="5">
        <f>DATE(2025, 12, 2) + TIME(12, 34, 52)</f>
        <v>45993.524212962962</v>
      </c>
      <c r="D249" s="1" t="s">
        <v>921</v>
      </c>
      <c r="E249" s="1" t="s">
        <v>292</v>
      </c>
    </row>
    <row r="250" spans="1:5" x14ac:dyDescent="0.2">
      <c r="A250" s="1" t="s">
        <v>1</v>
      </c>
      <c r="B250" s="1" t="s">
        <v>60</v>
      </c>
      <c r="C250" s="5">
        <f>DATE(2025, 12, 1) + TIME(16, 8, 13)</f>
        <v>45992.672372685185</v>
      </c>
      <c r="D250" s="1" t="s">
        <v>921</v>
      </c>
      <c r="E250" s="1" t="s">
        <v>691</v>
      </c>
    </row>
    <row r="251" spans="1:5" x14ac:dyDescent="0.2">
      <c r="A251" s="1" t="s">
        <v>1</v>
      </c>
      <c r="B251" s="1" t="s">
        <v>60</v>
      </c>
      <c r="C251" s="5">
        <f>DATE(2025, 12, 1) + TIME(16, 8, 13)</f>
        <v>45992.672372685185</v>
      </c>
      <c r="D251" s="1" t="s">
        <v>921</v>
      </c>
      <c r="E251" s="1" t="s">
        <v>573</v>
      </c>
    </row>
    <row r="252" spans="1:5" x14ac:dyDescent="0.2">
      <c r="A252" s="1" t="s">
        <v>1</v>
      </c>
      <c r="B252" s="1" t="s">
        <v>60</v>
      </c>
      <c r="C252" s="5">
        <f>DATE(2025, 12, 1) + TIME(15, 49, 52)</f>
        <v>45992.659629629627</v>
      </c>
      <c r="D252" s="1" t="s">
        <v>563</v>
      </c>
      <c r="E252" s="1" t="s">
        <v>145</v>
      </c>
    </row>
    <row r="253" spans="1:5" x14ac:dyDescent="0.2">
      <c r="A253" s="1" t="s">
        <v>1</v>
      </c>
      <c r="B253" s="1" t="s">
        <v>60</v>
      </c>
      <c r="C253" s="5">
        <f>DATE(2025, 12, 1) + TIME(12, 52, 47)</f>
        <v>45992.53665509259</v>
      </c>
      <c r="D253" s="1" t="s">
        <v>5</v>
      </c>
      <c r="E253" s="1" t="s">
        <v>180</v>
      </c>
    </row>
    <row r="254" spans="1:5" x14ac:dyDescent="0.2">
      <c r="A254" s="1" t="s">
        <v>1</v>
      </c>
      <c r="B254" s="1" t="s">
        <v>60</v>
      </c>
      <c r="C254" s="5">
        <f>DATE(2025, 12, 1) + TIME(11, 59, 56)</f>
        <v>45992.4999537037</v>
      </c>
      <c r="D254" s="1" t="s">
        <v>506</v>
      </c>
      <c r="E254" s="1" t="s">
        <v>808</v>
      </c>
    </row>
    <row r="255" spans="1:5" x14ac:dyDescent="0.2">
      <c r="A255" s="1" t="s">
        <v>1</v>
      </c>
      <c r="B255" s="1" t="s">
        <v>866</v>
      </c>
      <c r="C255" s="5">
        <f>DATE(2025, 12, 1) + TIME(11, 43, 41)</f>
        <v>45992.488668981481</v>
      </c>
      <c r="D255" s="1" t="s">
        <v>506</v>
      </c>
      <c r="E255" s="1" t="s">
        <v>697</v>
      </c>
    </row>
    <row r="256" spans="1:5" x14ac:dyDescent="0.2">
      <c r="A256" s="1" t="s">
        <v>1</v>
      </c>
      <c r="B256" s="1" t="s">
        <v>60</v>
      </c>
      <c r="C256" s="5">
        <f>DATE(2025, 12, 1) + TIME(11, 29, 58)</f>
        <v>45992.479143518518</v>
      </c>
      <c r="D256" s="1" t="s">
        <v>65</v>
      </c>
      <c r="E256" s="1" t="s">
        <v>219</v>
      </c>
    </row>
    <row r="257" spans="1:5" x14ac:dyDescent="0.2">
      <c r="A257" s="1" t="s">
        <v>1</v>
      </c>
      <c r="B257" s="1" t="s">
        <v>60</v>
      </c>
      <c r="C257" s="5">
        <f>DATE(2025, 12, 1) + TIME(11, 29, 49)</f>
        <v>45992.479039351849</v>
      </c>
      <c r="D257" s="1" t="s">
        <v>566</v>
      </c>
      <c r="E257" s="1" t="s">
        <v>865</v>
      </c>
    </row>
    <row r="258" spans="1:5" x14ac:dyDescent="0.2">
      <c r="A258" s="1" t="s">
        <v>1</v>
      </c>
      <c r="B258" s="1" t="s">
        <v>564</v>
      </c>
      <c r="C258" s="5">
        <f>DATE(2025, 12, 1) + TIME(11, 28, 21)</f>
        <v>45992.478020833332</v>
      </c>
      <c r="D258" s="1" t="s">
        <v>320</v>
      </c>
      <c r="E258" s="1" t="s">
        <v>948</v>
      </c>
    </row>
    <row r="259" spans="1:5" x14ac:dyDescent="0.2">
      <c r="A259" s="1" t="s">
        <v>1</v>
      </c>
      <c r="B259" s="1" t="s">
        <v>323</v>
      </c>
      <c r="C259" s="5">
        <f>DATE(2025, 12, 1) + TIME(11, 13, 32)</f>
        <v>45992.467731481483</v>
      </c>
      <c r="D259" s="1" t="s">
        <v>269</v>
      </c>
      <c r="E259" s="1" t="s">
        <v>748</v>
      </c>
    </row>
    <row r="260" spans="1:5" x14ac:dyDescent="0.2">
      <c r="A260" s="1" t="s">
        <v>1</v>
      </c>
      <c r="B260" s="1" t="s">
        <v>564</v>
      </c>
      <c r="C260" s="5">
        <f>DATE(2025, 12, 1) + TIME(9, 37, 58)</f>
        <v>45992.401365740741</v>
      </c>
      <c r="D260" s="1" t="s">
        <v>320</v>
      </c>
      <c r="E260" s="1" t="s">
        <v>683</v>
      </c>
    </row>
    <row r="261" spans="1:5" x14ac:dyDescent="0.2">
      <c r="A261" s="1" t="s">
        <v>1</v>
      </c>
      <c r="B261" s="1" t="s">
        <v>60</v>
      </c>
      <c r="C261" s="5">
        <f>DATE(2025, 11, 26) + TIME(15, 41, 5)</f>
        <v>45987.65353009259</v>
      </c>
      <c r="D261" s="1" t="s">
        <v>566</v>
      </c>
      <c r="E261" s="1" t="s">
        <v>865</v>
      </c>
    </row>
    <row r="262" spans="1:5" x14ac:dyDescent="0.2">
      <c r="A262" s="1" t="s">
        <v>1</v>
      </c>
      <c r="B262" s="1" t="s">
        <v>866</v>
      </c>
      <c r="C262" s="5">
        <f>DATE(2025, 11, 26) + TIME(15, 21, 8)</f>
        <v>45987.639675925922</v>
      </c>
      <c r="D262" s="1" t="s">
        <v>396</v>
      </c>
      <c r="E262" s="1" t="s">
        <v>764</v>
      </c>
    </row>
    <row r="263" spans="1:5" x14ac:dyDescent="0.2">
      <c r="A263" s="1" t="s">
        <v>1</v>
      </c>
      <c r="B263" s="1" t="s">
        <v>60</v>
      </c>
      <c r="C263" s="5">
        <f>DATE(2025, 11, 26) + TIME(15, 11, 34)</f>
        <v>45987.633032407408</v>
      </c>
      <c r="D263" s="1" t="s">
        <v>638</v>
      </c>
      <c r="E263" s="1" t="s">
        <v>362</v>
      </c>
    </row>
    <row r="264" spans="1:5" x14ac:dyDescent="0.2">
      <c r="A264" s="1" t="s">
        <v>1</v>
      </c>
      <c r="B264" s="1" t="s">
        <v>866</v>
      </c>
      <c r="C264" s="5">
        <f>DATE(2025, 11, 26) + TIME(12, 2, 59)</f>
        <v>45987.502071759256</v>
      </c>
      <c r="D264" s="1" t="s">
        <v>506</v>
      </c>
      <c r="E264" s="1" t="s">
        <v>697</v>
      </c>
    </row>
    <row r="265" spans="1:5" x14ac:dyDescent="0.2">
      <c r="A265" s="1" t="s">
        <v>1</v>
      </c>
      <c r="B265" s="1" t="s">
        <v>866</v>
      </c>
      <c r="C265" s="5">
        <f>DATE(2025, 11, 25) + TIME(12, 58, 53)</f>
        <v>45986.540891203702</v>
      </c>
      <c r="D265" s="1" t="s">
        <v>506</v>
      </c>
      <c r="E265" s="1" t="s">
        <v>702</v>
      </c>
    </row>
    <row r="266" spans="1:5" x14ac:dyDescent="0.2">
      <c r="A266" s="1" t="s">
        <v>1</v>
      </c>
      <c r="B266" s="1" t="s">
        <v>866</v>
      </c>
      <c r="C266" s="5">
        <f>DATE(2025, 11, 25) + TIME(12, 34, 41)</f>
        <v>45986.524085648147</v>
      </c>
      <c r="D266" s="1" t="s">
        <v>396</v>
      </c>
      <c r="E266" s="1" t="s">
        <v>88</v>
      </c>
    </row>
    <row r="267" spans="1:5" x14ac:dyDescent="0.2">
      <c r="A267" s="1" t="s">
        <v>1</v>
      </c>
      <c r="B267" s="1" t="s">
        <v>60</v>
      </c>
      <c r="C267" s="5">
        <f>DATE(2025, 11, 25) + TIME(12, 24, 58)</f>
        <v>45986.517337962963</v>
      </c>
      <c r="D267" s="1" t="s">
        <v>396</v>
      </c>
      <c r="E267" s="1" t="s">
        <v>749</v>
      </c>
    </row>
    <row r="268" spans="1:5" x14ac:dyDescent="0.2">
      <c r="A268" s="1" t="s">
        <v>1</v>
      </c>
      <c r="B268" s="1" t="s">
        <v>60</v>
      </c>
      <c r="C268" s="5">
        <f>DATE(2025, 11, 25) + TIME(12, 10, 46)</f>
        <v>45986.507476851853</v>
      </c>
      <c r="D268" s="1" t="s">
        <v>923</v>
      </c>
      <c r="E268" s="1" t="s">
        <v>474</v>
      </c>
    </row>
    <row r="269" spans="1:5" x14ac:dyDescent="0.2">
      <c r="A269" s="1" t="s">
        <v>1</v>
      </c>
      <c r="B269" s="1" t="s">
        <v>69</v>
      </c>
      <c r="C269" s="5">
        <f>DATE(2025, 11, 25) + TIME(12, 6, 10)</f>
        <v>45986.504282407404</v>
      </c>
      <c r="D269" s="1" t="s">
        <v>923</v>
      </c>
      <c r="E269" s="1" t="s">
        <v>474</v>
      </c>
    </row>
    <row r="270" spans="1:5" x14ac:dyDescent="0.2">
      <c r="A270" s="1" t="s">
        <v>1</v>
      </c>
      <c r="B270" s="1" t="s">
        <v>60</v>
      </c>
      <c r="C270" s="5">
        <f>DATE(2025, 11, 25) + TIME(12, 6, 10)</f>
        <v>45986.504282407404</v>
      </c>
      <c r="D270" s="1" t="s">
        <v>923</v>
      </c>
      <c r="E270" s="1" t="s">
        <v>474</v>
      </c>
    </row>
    <row r="271" spans="1:5" x14ac:dyDescent="0.2">
      <c r="A271" s="1" t="s">
        <v>1</v>
      </c>
      <c r="B271" s="1" t="s">
        <v>866</v>
      </c>
      <c r="C271" s="5">
        <f>DATE(2025, 11, 25) + TIME(12, 6, 10)</f>
        <v>45986.504282407404</v>
      </c>
      <c r="D271" s="1" t="s">
        <v>923</v>
      </c>
      <c r="E271" s="1" t="s">
        <v>474</v>
      </c>
    </row>
    <row r="272" spans="1:5" x14ac:dyDescent="0.2">
      <c r="A272" s="1" t="s">
        <v>1</v>
      </c>
      <c r="B272" s="1" t="s">
        <v>866</v>
      </c>
      <c r="C272" s="5">
        <f>DATE(2025, 11, 24) + TIME(16, 30, 2)</f>
        <v>45985.687523148146</v>
      </c>
      <c r="D272" s="1" t="s">
        <v>320</v>
      </c>
      <c r="E272" s="1" t="s">
        <v>687</v>
      </c>
    </row>
    <row r="273" spans="1:5" x14ac:dyDescent="0.2">
      <c r="A273" s="1" t="s">
        <v>1</v>
      </c>
      <c r="B273" s="1" t="s">
        <v>60</v>
      </c>
      <c r="C273" s="5">
        <f>DATE(2025, 11, 24) + TIME(13, 56, 10)</f>
        <v>45985.580671296295</v>
      </c>
      <c r="D273" s="1" t="s">
        <v>566</v>
      </c>
      <c r="E273" s="1" t="s">
        <v>571</v>
      </c>
    </row>
    <row r="274" spans="1:5" x14ac:dyDescent="0.2">
      <c r="A274" s="1" t="s">
        <v>1</v>
      </c>
      <c r="B274" s="1" t="s">
        <v>60</v>
      </c>
      <c r="C274" s="5">
        <f>DATE(2025, 11, 24) + TIME(12, 31, 6)</f>
        <v>45985.521597222221</v>
      </c>
      <c r="D274" s="1" t="s">
        <v>506</v>
      </c>
      <c r="E274" s="1" t="s">
        <v>101</v>
      </c>
    </row>
    <row r="275" spans="1:5" x14ac:dyDescent="0.2">
      <c r="A275" s="1" t="s">
        <v>1</v>
      </c>
      <c r="B275" s="1" t="s">
        <v>69</v>
      </c>
      <c r="C275" s="5">
        <f>DATE(2025, 11, 24) + TIME(12, 2, 30)</f>
        <v>45985.501736111109</v>
      </c>
      <c r="D275" s="1" t="s">
        <v>216</v>
      </c>
      <c r="E275" s="1" t="s">
        <v>403</v>
      </c>
    </row>
    <row r="276" spans="1:5" x14ac:dyDescent="0.2">
      <c r="A276" s="1" t="s">
        <v>1</v>
      </c>
      <c r="B276" s="1" t="s">
        <v>60</v>
      </c>
      <c r="C276" s="5">
        <f>DATE(2025, 11, 24) + TIME(7, 36, 41)</f>
        <v>45985.317141203705</v>
      </c>
      <c r="D276" s="1" t="s">
        <v>398</v>
      </c>
      <c r="E276" s="1" t="s">
        <v>143</v>
      </c>
    </row>
    <row r="277" spans="1:5" x14ac:dyDescent="0.2">
      <c r="A277" s="1" t="s">
        <v>1</v>
      </c>
      <c r="B277" s="1" t="s">
        <v>866</v>
      </c>
      <c r="C277" s="5">
        <f>DATE(2025, 11, 23) + TIME(13, 20, 0)</f>
        <v>45984.555555555555</v>
      </c>
      <c r="D277" s="1" t="s">
        <v>506</v>
      </c>
      <c r="E277" s="1" t="s">
        <v>649</v>
      </c>
    </row>
    <row r="278" spans="1:5" x14ac:dyDescent="0.2">
      <c r="A278" s="1" t="s">
        <v>1</v>
      </c>
      <c r="B278" s="1" t="s">
        <v>60</v>
      </c>
      <c r="C278" s="5">
        <f>DATE(2025, 11, 22) + TIME(10, 10, 59)</f>
        <v>45983.424293981479</v>
      </c>
      <c r="D278" s="1" t="s">
        <v>65</v>
      </c>
      <c r="E278" s="1" t="s">
        <v>404</v>
      </c>
    </row>
    <row r="279" spans="1:5" x14ac:dyDescent="0.2">
      <c r="A279" s="1" t="s">
        <v>1</v>
      </c>
      <c r="B279" s="1" t="s">
        <v>60</v>
      </c>
      <c r="C279" s="5">
        <f>DATE(2025, 11, 21) + TIME(9, 52, 53)</f>
        <v>45982.411724537036</v>
      </c>
      <c r="D279" s="1" t="s">
        <v>398</v>
      </c>
      <c r="E279" s="1" t="s">
        <v>324</v>
      </c>
    </row>
    <row r="280" spans="1:5" x14ac:dyDescent="0.2">
      <c r="A280" s="1" t="s">
        <v>1</v>
      </c>
      <c r="B280" s="1" t="s">
        <v>60</v>
      </c>
      <c r="C280" s="5">
        <f>DATE(2025, 11, 20) + TIME(14, 25, 20)</f>
        <v>45981.600925925923</v>
      </c>
      <c r="D280" s="1" t="s">
        <v>269</v>
      </c>
      <c r="E280" s="1" t="s">
        <v>883</v>
      </c>
    </row>
    <row r="281" spans="1:5" x14ac:dyDescent="0.2">
      <c r="A281" s="1" t="s">
        <v>1</v>
      </c>
      <c r="B281" s="1" t="s">
        <v>60</v>
      </c>
      <c r="C281" s="5">
        <f>DATE(2025, 11, 20) + TIME(11, 14, 23)</f>
        <v>45981.468321759261</v>
      </c>
      <c r="D281" s="1" t="s">
        <v>566</v>
      </c>
      <c r="E281" s="1" t="s">
        <v>865</v>
      </c>
    </row>
    <row r="282" spans="1:5" x14ac:dyDescent="0.2">
      <c r="A282" s="1" t="s">
        <v>1</v>
      </c>
      <c r="B282" s="1" t="s">
        <v>60</v>
      </c>
      <c r="C282" s="5">
        <f>DATE(2025, 11, 19) + TIME(14, 43, 59)</f>
        <v>45980.613877314812</v>
      </c>
      <c r="D282" s="1" t="s">
        <v>396</v>
      </c>
      <c r="E282" s="1" t="s">
        <v>749</v>
      </c>
    </row>
    <row r="283" spans="1:5" x14ac:dyDescent="0.2">
      <c r="A283" s="1" t="s">
        <v>1</v>
      </c>
      <c r="B283" s="1" t="s">
        <v>60</v>
      </c>
      <c r="C283" s="5">
        <f>DATE(2025, 11, 19) + TIME(11, 22, 37)</f>
        <v>45980.474039351851</v>
      </c>
      <c r="D283" s="1" t="s">
        <v>921</v>
      </c>
      <c r="E283" s="1" t="s">
        <v>185</v>
      </c>
    </row>
    <row r="284" spans="1:5" x14ac:dyDescent="0.2">
      <c r="A284" s="1" t="s">
        <v>1</v>
      </c>
      <c r="B284" s="1" t="s">
        <v>60</v>
      </c>
      <c r="C284" s="5">
        <f>DATE(2025, 11, 18) + TIME(14, 9, 55)</f>
        <v>45979.590219907404</v>
      </c>
      <c r="D284" s="1" t="s">
        <v>396</v>
      </c>
      <c r="E284" s="1" t="s">
        <v>142</v>
      </c>
    </row>
    <row r="285" spans="1:5" x14ac:dyDescent="0.2">
      <c r="A285" s="1" t="s">
        <v>1</v>
      </c>
      <c r="B285" s="1" t="s">
        <v>866</v>
      </c>
      <c r="C285" s="5">
        <f>DATE(2025, 11, 18) + TIME(12, 52, 28)</f>
        <v>45979.536435185182</v>
      </c>
      <c r="D285" s="1" t="s">
        <v>869</v>
      </c>
      <c r="E285" s="1" t="s">
        <v>832</v>
      </c>
    </row>
    <row r="286" spans="1:5" x14ac:dyDescent="0.2">
      <c r="A286" s="1" t="s">
        <v>1</v>
      </c>
      <c r="B286" s="1" t="s">
        <v>60</v>
      </c>
      <c r="C286" s="5">
        <f>DATE(2025, 11, 18) + TIME(10, 11, 32)</f>
        <v>45979.424675925926</v>
      </c>
      <c r="D286" s="1" t="s">
        <v>65</v>
      </c>
      <c r="E286" s="1" t="s">
        <v>758</v>
      </c>
    </row>
    <row r="287" spans="1:5" x14ac:dyDescent="0.2">
      <c r="A287" s="1" t="s">
        <v>1</v>
      </c>
      <c r="B287" s="1" t="s">
        <v>60</v>
      </c>
      <c r="C287" s="5">
        <f>DATE(2025, 11, 17) + TIME(16, 12, 25)</f>
        <v>45978.67528935185</v>
      </c>
      <c r="D287" s="1" t="s">
        <v>638</v>
      </c>
      <c r="E287" s="1" t="s">
        <v>188</v>
      </c>
    </row>
    <row r="288" spans="1:5" x14ac:dyDescent="0.2">
      <c r="A288" s="1" t="s">
        <v>1</v>
      </c>
      <c r="B288" s="1" t="s">
        <v>60</v>
      </c>
      <c r="C288" s="5">
        <f>DATE(2025, 11, 17) + TIME(15, 44, 16)</f>
        <v>45978.655740740738</v>
      </c>
      <c r="D288" s="1" t="s">
        <v>754</v>
      </c>
      <c r="E288" s="1" t="s">
        <v>330</v>
      </c>
    </row>
    <row r="289" spans="1:5" x14ac:dyDescent="0.2">
      <c r="A289" s="1" t="s">
        <v>1</v>
      </c>
      <c r="B289" s="1" t="s">
        <v>866</v>
      </c>
      <c r="C289" s="5">
        <f>DATE(2025, 11, 17) + TIME(15, 38, 15)</f>
        <v>45978.651562500003</v>
      </c>
      <c r="D289" s="1" t="s">
        <v>398</v>
      </c>
      <c r="E289" s="1" t="s">
        <v>514</v>
      </c>
    </row>
    <row r="290" spans="1:5" x14ac:dyDescent="0.2">
      <c r="A290" s="1" t="s">
        <v>1</v>
      </c>
      <c r="B290" s="1" t="s">
        <v>60</v>
      </c>
      <c r="C290" s="5">
        <f>DATE(2025, 11, 17) + TIME(15, 36, 38)</f>
        <v>45978.650439814817</v>
      </c>
      <c r="D290" s="1" t="s">
        <v>506</v>
      </c>
      <c r="E290" s="1" t="s">
        <v>510</v>
      </c>
    </row>
    <row r="291" spans="1:5" x14ac:dyDescent="0.2">
      <c r="A291" s="1" t="s">
        <v>1</v>
      </c>
      <c r="B291" s="1" t="s">
        <v>60</v>
      </c>
      <c r="C291" s="5">
        <f>DATE(2025, 11, 17) + TIME(14, 39, 9)</f>
        <v>45978.610520833332</v>
      </c>
      <c r="D291" s="1" t="s">
        <v>396</v>
      </c>
      <c r="E291" s="1" t="s">
        <v>102</v>
      </c>
    </row>
    <row r="292" spans="1:5" x14ac:dyDescent="0.2">
      <c r="A292" s="1" t="s">
        <v>1</v>
      </c>
      <c r="B292" s="1" t="s">
        <v>60</v>
      </c>
      <c r="C292" s="5">
        <f>DATE(2025, 11, 17) + TIME(12, 5, 26)</f>
        <v>45978.50377314815</v>
      </c>
      <c r="D292" s="1" t="s">
        <v>566</v>
      </c>
      <c r="E292" s="1" t="s">
        <v>865</v>
      </c>
    </row>
    <row r="293" spans="1:5" x14ac:dyDescent="0.2">
      <c r="A293" s="1" t="s">
        <v>1</v>
      </c>
      <c r="B293" s="1" t="s">
        <v>60</v>
      </c>
      <c r="C293" s="5">
        <f>DATE(2025, 11, 17) + TIME(11, 41, 59)</f>
        <v>45978.487488425926</v>
      </c>
      <c r="D293" s="1" t="s">
        <v>506</v>
      </c>
      <c r="E293" s="1" t="s">
        <v>659</v>
      </c>
    </row>
    <row r="294" spans="1:5" x14ac:dyDescent="0.2">
      <c r="A294" s="1" t="s">
        <v>1</v>
      </c>
      <c r="B294" s="1" t="s">
        <v>60</v>
      </c>
      <c r="C294" s="5">
        <f>DATE(2025, 11, 17) + TIME(11, 30, 22)</f>
        <v>45978.479421296295</v>
      </c>
      <c r="D294" s="1" t="s">
        <v>269</v>
      </c>
      <c r="E294" s="1" t="s">
        <v>748</v>
      </c>
    </row>
    <row r="295" spans="1:5" x14ac:dyDescent="0.2">
      <c r="A295" s="1" t="s">
        <v>1</v>
      </c>
      <c r="B295" s="1" t="s">
        <v>60</v>
      </c>
      <c r="C295" s="5">
        <f>DATE(2025, 11, 17) + TIME(10, 58, 25)</f>
        <v>45978.457233796296</v>
      </c>
      <c r="D295" s="1" t="s">
        <v>3</v>
      </c>
      <c r="E295" s="1" t="s">
        <v>168</v>
      </c>
    </row>
    <row r="296" spans="1:5" x14ac:dyDescent="0.2">
      <c r="A296" s="1" t="s">
        <v>1</v>
      </c>
      <c r="B296" s="1" t="s">
        <v>60</v>
      </c>
      <c r="C296" s="5">
        <f>DATE(2025, 11, 17) + TIME(10, 56, 51)</f>
        <v>45978.456145833334</v>
      </c>
      <c r="D296" s="1" t="s">
        <v>921</v>
      </c>
      <c r="E296" s="1" t="s">
        <v>691</v>
      </c>
    </row>
    <row r="297" spans="1:5" x14ac:dyDescent="0.2">
      <c r="A297" s="1" t="s">
        <v>1</v>
      </c>
      <c r="B297" s="1" t="s">
        <v>60</v>
      </c>
      <c r="C297" s="5">
        <f>DATE(2025, 11, 13) + TIME(15, 9, 31)</f>
        <v>45974.631608796299</v>
      </c>
      <c r="D297" s="1" t="s">
        <v>64</v>
      </c>
      <c r="E297" s="1" t="s">
        <v>763</v>
      </c>
    </row>
    <row r="298" spans="1:5" x14ac:dyDescent="0.2">
      <c r="A298" s="1" t="s">
        <v>1</v>
      </c>
      <c r="B298" s="1" t="s">
        <v>866</v>
      </c>
      <c r="C298" s="5">
        <f>DATE(2025, 11, 13) + TIME(14, 52, 3)</f>
        <v>45974.619479166664</v>
      </c>
      <c r="D298" s="1" t="s">
        <v>320</v>
      </c>
      <c r="E298" s="1" t="s">
        <v>698</v>
      </c>
    </row>
    <row r="299" spans="1:5" x14ac:dyDescent="0.2">
      <c r="A299" s="1" t="s">
        <v>1</v>
      </c>
      <c r="B299" s="1" t="s">
        <v>60</v>
      </c>
      <c r="C299" s="5">
        <f>DATE(2025, 11, 13) + TIME(13, 58, 52)</f>
        <v>45974.582546296297</v>
      </c>
      <c r="D299" s="1" t="s">
        <v>566</v>
      </c>
      <c r="E299" s="1" t="s">
        <v>865</v>
      </c>
    </row>
    <row r="300" spans="1:5" x14ac:dyDescent="0.2">
      <c r="A300" s="1" t="s">
        <v>1</v>
      </c>
      <c r="B300" s="1" t="s">
        <v>539</v>
      </c>
      <c r="C300" s="5">
        <f>DATE(2025, 11, 13) + TIME(13, 1, 20)</f>
        <v>45974.542592592596</v>
      </c>
      <c r="D300" s="1" t="s">
        <v>269</v>
      </c>
      <c r="E300" s="1" t="s">
        <v>339</v>
      </c>
    </row>
    <row r="301" spans="1:5" x14ac:dyDescent="0.2">
      <c r="A301" s="1" t="s">
        <v>1</v>
      </c>
      <c r="B301" s="1" t="s">
        <v>60</v>
      </c>
      <c r="C301" s="5">
        <f>DATE(2025, 11, 13) + TIME(12, 51, 54)</f>
        <v>45974.536041666666</v>
      </c>
      <c r="D301" s="1" t="s">
        <v>5</v>
      </c>
      <c r="E301" s="1" t="s">
        <v>540</v>
      </c>
    </row>
    <row r="302" spans="1:5" x14ac:dyDescent="0.2">
      <c r="A302" s="1" t="s">
        <v>1</v>
      </c>
      <c r="B302" s="1" t="s">
        <v>644</v>
      </c>
      <c r="C302" s="5">
        <f>DATE(2025, 11, 12) + TIME(14, 21, 41)</f>
        <v>45973.598391203705</v>
      </c>
      <c r="D302" s="1" t="s">
        <v>396</v>
      </c>
      <c r="E302" s="1" t="s">
        <v>88</v>
      </c>
    </row>
    <row r="303" spans="1:5" x14ac:dyDescent="0.2">
      <c r="A303" s="1" t="s">
        <v>1</v>
      </c>
      <c r="B303" s="1" t="s">
        <v>60</v>
      </c>
      <c r="C303" s="5">
        <f>DATE(2025, 11, 12) + TIME(12, 22, 42)</f>
        <v>45973.515763888892</v>
      </c>
      <c r="D303" s="1" t="s">
        <v>65</v>
      </c>
      <c r="E303" s="1" t="s">
        <v>432</v>
      </c>
    </row>
    <row r="304" spans="1:5" x14ac:dyDescent="0.2">
      <c r="A304" s="1" t="s">
        <v>1</v>
      </c>
      <c r="B304" s="1" t="s">
        <v>866</v>
      </c>
      <c r="C304" s="5">
        <f>DATE(2025, 11, 11) + TIME(14, 46, 50)</f>
        <v>45972.615856481483</v>
      </c>
      <c r="D304" s="1" t="s">
        <v>869</v>
      </c>
      <c r="E304" s="1" t="s">
        <v>275</v>
      </c>
    </row>
    <row r="305" spans="1:5" x14ac:dyDescent="0.2">
      <c r="A305" s="1" t="s">
        <v>1</v>
      </c>
      <c r="B305" s="1" t="s">
        <v>60</v>
      </c>
      <c r="C305" s="5">
        <f>DATE(2025, 11, 11) + TIME(13, 38, 17)</f>
        <v>45972.568252314813</v>
      </c>
      <c r="D305" s="1" t="s">
        <v>148</v>
      </c>
      <c r="E305" s="1" t="s">
        <v>83</v>
      </c>
    </row>
    <row r="306" spans="1:5" x14ac:dyDescent="0.2">
      <c r="A306" s="1" t="s">
        <v>1</v>
      </c>
      <c r="B306" s="1" t="s">
        <v>866</v>
      </c>
      <c r="C306" s="5">
        <f>DATE(2025, 11, 5) + TIME(16, 24, 35)</f>
        <v>45966.683738425927</v>
      </c>
      <c r="D306" s="1" t="s">
        <v>320</v>
      </c>
      <c r="E306" s="1" t="s">
        <v>90</v>
      </c>
    </row>
    <row r="307" spans="1:5" x14ac:dyDescent="0.2">
      <c r="A307" s="1" t="s">
        <v>1</v>
      </c>
      <c r="B307" s="1" t="s">
        <v>60</v>
      </c>
      <c r="C307" s="5">
        <f>DATE(2025, 11, 4) + TIME(15, 9, 46)</f>
        <v>45965.631782407407</v>
      </c>
      <c r="D307" s="1" t="s">
        <v>506</v>
      </c>
      <c r="E307" s="1" t="s">
        <v>823</v>
      </c>
    </row>
    <row r="308" spans="1:5" x14ac:dyDescent="0.2">
      <c r="A308" s="1" t="s">
        <v>1</v>
      </c>
      <c r="B308" s="1" t="s">
        <v>60</v>
      </c>
      <c r="C308" s="5">
        <f>DATE(2025, 11, 4) + TIME(14, 56, 6)</f>
        <v>45965.622291666667</v>
      </c>
      <c r="D308" s="1" t="s">
        <v>396</v>
      </c>
      <c r="E308" s="1" t="s">
        <v>142</v>
      </c>
    </row>
    <row r="309" spans="1:5" x14ac:dyDescent="0.2">
      <c r="A309" s="1" t="s">
        <v>1</v>
      </c>
      <c r="B309" s="1" t="s">
        <v>60</v>
      </c>
      <c r="C309" s="5">
        <f>DATE(2025, 11, 4) + TIME(13, 47, 59)</f>
        <v>45965.574988425928</v>
      </c>
      <c r="D309" s="1" t="s">
        <v>65</v>
      </c>
      <c r="E309" s="1" t="s">
        <v>227</v>
      </c>
    </row>
    <row r="310" spans="1:5" x14ac:dyDescent="0.2">
      <c r="A310" s="1" t="s">
        <v>1</v>
      </c>
      <c r="B310" s="1" t="s">
        <v>60</v>
      </c>
      <c r="C310" s="5">
        <f>DATE(2025, 11, 4) + TIME(12, 46, 30)</f>
        <v>45965.53229166667</v>
      </c>
      <c r="D310" s="1" t="s">
        <v>566</v>
      </c>
      <c r="E310" s="1" t="s">
        <v>571</v>
      </c>
    </row>
    <row r="311" spans="1:5" x14ac:dyDescent="0.2">
      <c r="A311" s="1" t="s">
        <v>1</v>
      </c>
      <c r="B311" s="1" t="s">
        <v>60</v>
      </c>
      <c r="C311" s="5">
        <f>DATE(2025, 11, 4) + TIME(11, 57, 44)</f>
        <v>45965.498425925929</v>
      </c>
      <c r="D311" s="1" t="s">
        <v>467</v>
      </c>
      <c r="E311" s="1" t="s">
        <v>143</v>
      </c>
    </row>
    <row r="312" spans="1:5" x14ac:dyDescent="0.2">
      <c r="A312" s="1" t="s">
        <v>1</v>
      </c>
      <c r="B312" s="1" t="s">
        <v>866</v>
      </c>
      <c r="C312" s="5">
        <f>DATE(2025, 11, 4) + TIME(11, 54, 24)</f>
        <v>45965.496111111112</v>
      </c>
      <c r="D312" s="1" t="s">
        <v>869</v>
      </c>
      <c r="E312" s="1" t="s">
        <v>275</v>
      </c>
    </row>
    <row r="313" spans="1:5" x14ac:dyDescent="0.2">
      <c r="A313" s="1" t="s">
        <v>1</v>
      </c>
      <c r="B313" s="1" t="s">
        <v>866</v>
      </c>
      <c r="C313" s="5">
        <f>DATE(2025, 11, 4) + TIME(11, 43, 23)</f>
        <v>45965.48846064815</v>
      </c>
      <c r="D313" s="1" t="s">
        <v>226</v>
      </c>
      <c r="E313" s="1" t="s">
        <v>522</v>
      </c>
    </row>
    <row r="314" spans="1:5" x14ac:dyDescent="0.2">
      <c r="A314" s="1" t="s">
        <v>1</v>
      </c>
      <c r="B314" s="1" t="s">
        <v>60</v>
      </c>
      <c r="C314" s="5">
        <f>DATE(2025, 11, 3) + TIME(16, 25, 47)</f>
        <v>45964.684571759259</v>
      </c>
      <c r="D314" s="1" t="s">
        <v>216</v>
      </c>
      <c r="E314" s="1" t="s">
        <v>519</v>
      </c>
    </row>
    <row r="315" spans="1:5" x14ac:dyDescent="0.2">
      <c r="A315" s="1" t="s">
        <v>1</v>
      </c>
      <c r="B315" s="1" t="s">
        <v>60</v>
      </c>
      <c r="C315" s="5">
        <f>DATE(2025, 11, 3) + TIME(15, 35, 45)</f>
        <v>45964.649826388886</v>
      </c>
      <c r="D315" s="1" t="s">
        <v>3</v>
      </c>
      <c r="E315" s="1" t="s">
        <v>168</v>
      </c>
    </row>
    <row r="316" spans="1:5" x14ac:dyDescent="0.2">
      <c r="A316" s="1" t="s">
        <v>1</v>
      </c>
      <c r="B316" s="1" t="s">
        <v>60</v>
      </c>
      <c r="C316" s="5">
        <f>DATE(2025, 11, 3) + TIME(14, 38, 22)</f>
        <v>45964.609976851854</v>
      </c>
      <c r="D316" s="1" t="s">
        <v>647</v>
      </c>
      <c r="E316" s="1" t="s">
        <v>567</v>
      </c>
    </row>
    <row r="317" spans="1:5" x14ac:dyDescent="0.2">
      <c r="A317" s="1" t="s">
        <v>1</v>
      </c>
      <c r="B317" s="1" t="s">
        <v>60</v>
      </c>
      <c r="C317" s="5">
        <f>DATE(2025, 11, 3) + TIME(13, 55, 5)</f>
        <v>45964.579918981479</v>
      </c>
      <c r="D317" s="1" t="s">
        <v>396</v>
      </c>
      <c r="E317" s="1" t="s">
        <v>749</v>
      </c>
    </row>
    <row r="318" spans="1:5" x14ac:dyDescent="0.2">
      <c r="A318" s="1" t="s">
        <v>1</v>
      </c>
      <c r="B318" s="1" t="s">
        <v>60</v>
      </c>
      <c r="C318" s="5">
        <f>DATE(2025, 11, 3) + TIME(13, 37, 44)</f>
        <v>45964.567870370367</v>
      </c>
      <c r="D318" s="1" t="s">
        <v>566</v>
      </c>
      <c r="E318" s="1" t="s">
        <v>865</v>
      </c>
    </row>
    <row r="319" spans="1:5" x14ac:dyDescent="0.2">
      <c r="A319" s="1" t="s">
        <v>1</v>
      </c>
      <c r="B319" s="1" t="s">
        <v>60</v>
      </c>
      <c r="C319" s="5">
        <f>DATE(2025, 11, 3) + TIME(11, 23, 44)</f>
        <v>45964.474814814814</v>
      </c>
      <c r="D319" s="1" t="s">
        <v>506</v>
      </c>
      <c r="E319" s="1" t="s">
        <v>697</v>
      </c>
    </row>
    <row r="320" spans="1:5" x14ac:dyDescent="0.2">
      <c r="A320" s="1" t="s">
        <v>1</v>
      </c>
      <c r="B320" s="1" t="s">
        <v>564</v>
      </c>
      <c r="C320" s="5">
        <f>DATE(2025, 10, 30) + TIME(15, 30, 3)</f>
        <v>45960.645868055559</v>
      </c>
      <c r="D320" s="1" t="s">
        <v>754</v>
      </c>
      <c r="E320" s="1" t="s">
        <v>755</v>
      </c>
    </row>
    <row r="321" spans="1:5" x14ac:dyDescent="0.2">
      <c r="A321" s="1" t="s">
        <v>1</v>
      </c>
      <c r="B321" s="1" t="s">
        <v>60</v>
      </c>
      <c r="C321" s="5">
        <f>DATE(2025, 10, 30) + TIME(14, 20, 20)</f>
        <v>45960.597453703704</v>
      </c>
      <c r="D321" s="1" t="s">
        <v>566</v>
      </c>
      <c r="E321" s="1" t="s">
        <v>865</v>
      </c>
    </row>
    <row r="322" spans="1:5" x14ac:dyDescent="0.2">
      <c r="A322" s="1" t="s">
        <v>1</v>
      </c>
      <c r="B322" s="1" t="s">
        <v>60</v>
      </c>
      <c r="C322" s="5">
        <f>DATE(2025, 10, 30) + TIME(13, 56, 0)</f>
        <v>45960.580555555556</v>
      </c>
      <c r="D322" s="1" t="s">
        <v>396</v>
      </c>
      <c r="E322" s="1" t="s">
        <v>140</v>
      </c>
    </row>
    <row r="323" spans="1:5" x14ac:dyDescent="0.2">
      <c r="A323" s="1" t="s">
        <v>1</v>
      </c>
      <c r="B323" s="1" t="s">
        <v>290</v>
      </c>
      <c r="C323" s="5">
        <f>DATE(2025, 10, 30) + TIME(12, 9, 33)</f>
        <v>45960.506631944445</v>
      </c>
      <c r="D323" s="1" t="s">
        <v>148</v>
      </c>
      <c r="E323" s="1" t="s">
        <v>527</v>
      </c>
    </row>
    <row r="324" spans="1:5" x14ac:dyDescent="0.2">
      <c r="A324" s="1" t="s">
        <v>1</v>
      </c>
      <c r="B324" s="1" t="s">
        <v>866</v>
      </c>
      <c r="C324" s="5">
        <f>DATE(2025, 10, 30) + TIME(11, 49, 15)</f>
        <v>45960.492534722223</v>
      </c>
      <c r="D324" s="1" t="s">
        <v>921</v>
      </c>
      <c r="E324" s="1" t="s">
        <v>106</v>
      </c>
    </row>
    <row r="325" spans="1:5" x14ac:dyDescent="0.2">
      <c r="A325" s="1" t="s">
        <v>1</v>
      </c>
      <c r="B325" s="1" t="s">
        <v>866</v>
      </c>
      <c r="C325" s="5">
        <f>DATE(2025, 10, 30) + TIME(11, 25, 36)</f>
        <v>45960.476111111115</v>
      </c>
      <c r="D325" s="1" t="s">
        <v>506</v>
      </c>
      <c r="E325" s="1" t="s">
        <v>6</v>
      </c>
    </row>
    <row r="326" spans="1:5" x14ac:dyDescent="0.2">
      <c r="A326" s="1" t="s">
        <v>1</v>
      </c>
      <c r="B326" s="1" t="s">
        <v>866</v>
      </c>
      <c r="C326" s="5">
        <f>DATE(2025, 10, 30) + TIME(10, 57, 30)</f>
        <v>45960.456597222219</v>
      </c>
      <c r="D326" s="1" t="s">
        <v>226</v>
      </c>
      <c r="E326" s="1" t="s">
        <v>574</v>
      </c>
    </row>
    <row r="327" spans="1:5" x14ac:dyDescent="0.2">
      <c r="A327" s="1" t="s">
        <v>1</v>
      </c>
      <c r="B327" s="1" t="s">
        <v>866</v>
      </c>
      <c r="C327" s="5">
        <f>DATE(2025, 10, 29) + TIME(13, 8, 54)</f>
        <v>45959.547847222224</v>
      </c>
      <c r="D327" s="1" t="s">
        <v>506</v>
      </c>
      <c r="E327" s="1" t="s">
        <v>702</v>
      </c>
    </row>
    <row r="328" spans="1:5" x14ac:dyDescent="0.2">
      <c r="A328" s="1" t="s">
        <v>1</v>
      </c>
      <c r="B328" s="1" t="s">
        <v>60</v>
      </c>
      <c r="C328" s="5">
        <f>DATE(2025, 10, 28) + TIME(14, 15, 23)</f>
        <v>45958.5940162037</v>
      </c>
      <c r="D328" s="1" t="s">
        <v>3</v>
      </c>
      <c r="E328" s="1" t="s">
        <v>571</v>
      </c>
    </row>
    <row r="329" spans="1:5" x14ac:dyDescent="0.2">
      <c r="A329" s="1" t="s">
        <v>1</v>
      </c>
      <c r="B329" s="1" t="s">
        <v>866</v>
      </c>
      <c r="C329" s="5">
        <f>DATE(2025, 10, 28) + TIME(14, 9, 29)</f>
        <v>45958.589918981481</v>
      </c>
      <c r="D329" s="1" t="s">
        <v>869</v>
      </c>
      <c r="E329" s="1" t="s">
        <v>275</v>
      </c>
    </row>
    <row r="330" spans="1:5" x14ac:dyDescent="0.2">
      <c r="A330" s="1" t="s">
        <v>1</v>
      </c>
      <c r="B330" s="1" t="s">
        <v>60</v>
      </c>
      <c r="C330" s="5">
        <f>DATE(2025, 10, 28) + TIME(14, 5, 21)</f>
        <v>45958.587048611109</v>
      </c>
      <c r="D330" s="1" t="s">
        <v>566</v>
      </c>
      <c r="E330" s="1" t="s">
        <v>814</v>
      </c>
    </row>
    <row r="331" spans="1:5" x14ac:dyDescent="0.2">
      <c r="A331" s="1" t="s">
        <v>1</v>
      </c>
      <c r="B331" s="1" t="s">
        <v>60</v>
      </c>
      <c r="C331" s="5">
        <f>DATE(2025, 10, 28) + TIME(13, 58, 59)</f>
        <v>45958.582627314812</v>
      </c>
      <c r="D331" s="1" t="s">
        <v>467</v>
      </c>
      <c r="E331" s="1" t="s">
        <v>581</v>
      </c>
    </row>
    <row r="332" spans="1:5" x14ac:dyDescent="0.2">
      <c r="A332" s="1" t="s">
        <v>1</v>
      </c>
      <c r="B332" s="1" t="s">
        <v>866</v>
      </c>
      <c r="C332" s="5">
        <f>DATE(2025, 10, 28) + TIME(13, 4, 34)</f>
        <v>45958.54483796296</v>
      </c>
      <c r="D332" s="1" t="s">
        <v>396</v>
      </c>
      <c r="E332" s="1" t="s">
        <v>276</v>
      </c>
    </row>
    <row r="333" spans="1:5" x14ac:dyDescent="0.2">
      <c r="A333" s="1" t="s">
        <v>1</v>
      </c>
      <c r="B333" s="1" t="s">
        <v>60</v>
      </c>
      <c r="C333" s="5">
        <f>DATE(2025, 10, 28) + TIME(9, 42, 48)</f>
        <v>45958.404722222222</v>
      </c>
      <c r="D333" s="1" t="s">
        <v>216</v>
      </c>
      <c r="E333" s="1" t="s">
        <v>101</v>
      </c>
    </row>
    <row r="334" spans="1:5" x14ac:dyDescent="0.2">
      <c r="A334" s="1" t="s">
        <v>1</v>
      </c>
      <c r="B334" s="1" t="s">
        <v>60</v>
      </c>
      <c r="C334" s="5">
        <f>DATE(2025, 10, 27) + TIME(17, 32, 59)</f>
        <v>45957.731238425928</v>
      </c>
      <c r="D334" s="1" t="s">
        <v>467</v>
      </c>
      <c r="E334" s="1" t="s">
        <v>143</v>
      </c>
    </row>
    <row r="335" spans="1:5" x14ac:dyDescent="0.2">
      <c r="A335" s="1" t="s">
        <v>1</v>
      </c>
      <c r="B335" s="1" t="s">
        <v>60</v>
      </c>
      <c r="C335" s="5">
        <f>DATE(2025, 10, 27) + TIME(15, 23, 46)</f>
        <v>45957.641504629632</v>
      </c>
      <c r="D335" s="1" t="s">
        <v>64</v>
      </c>
      <c r="E335" s="1" t="s">
        <v>812</v>
      </c>
    </row>
    <row r="336" spans="1:5" x14ac:dyDescent="0.2">
      <c r="A336" s="1" t="s">
        <v>1</v>
      </c>
      <c r="B336" s="1" t="s">
        <v>564</v>
      </c>
      <c r="C336" s="5">
        <f>DATE(2025, 10, 27) + TIME(13, 4, 19)</f>
        <v>45957.544664351852</v>
      </c>
      <c r="D336" s="1" t="s">
        <v>754</v>
      </c>
      <c r="E336" s="1" t="s">
        <v>245</v>
      </c>
    </row>
    <row r="337" spans="1:5" x14ac:dyDescent="0.2">
      <c r="A337" s="1" t="s">
        <v>1</v>
      </c>
      <c r="B337" s="1" t="s">
        <v>60</v>
      </c>
      <c r="C337" s="5">
        <f>DATE(2025, 10, 27) + TIME(12, 47, 8)</f>
        <v>45957.532731481479</v>
      </c>
      <c r="D337" s="1" t="s">
        <v>566</v>
      </c>
      <c r="E337" s="1" t="s">
        <v>865</v>
      </c>
    </row>
    <row r="338" spans="1:5" x14ac:dyDescent="0.2">
      <c r="A338" s="1" t="s">
        <v>1</v>
      </c>
      <c r="B338" s="1" t="s">
        <v>60</v>
      </c>
      <c r="C338" s="5">
        <f>DATE(2025, 10, 27) + TIME(12, 2, 26)</f>
        <v>45957.501689814817</v>
      </c>
      <c r="D338" s="1" t="s">
        <v>269</v>
      </c>
      <c r="E338" s="1" t="s">
        <v>748</v>
      </c>
    </row>
    <row r="339" spans="1:5" x14ac:dyDescent="0.2">
      <c r="A339" s="1" t="s">
        <v>1</v>
      </c>
      <c r="B339" s="1" t="s">
        <v>323</v>
      </c>
      <c r="C339" s="5">
        <f>DATE(2025, 10, 27) + TIME(12, 2, 9)</f>
        <v>45957.501493055555</v>
      </c>
      <c r="D339" s="1" t="s">
        <v>269</v>
      </c>
      <c r="E339" s="1" t="s">
        <v>79</v>
      </c>
    </row>
    <row r="340" spans="1:5" x14ac:dyDescent="0.2">
      <c r="A340" s="1" t="s">
        <v>1</v>
      </c>
      <c r="B340" s="1" t="s">
        <v>60</v>
      </c>
      <c r="C340" s="5">
        <f>DATE(2025, 10, 27) + TIME(11, 17, 49)</f>
        <v>45957.470706018517</v>
      </c>
      <c r="D340" s="1" t="s">
        <v>65</v>
      </c>
      <c r="E340" s="1" t="s">
        <v>219</v>
      </c>
    </row>
    <row r="341" spans="1:5" x14ac:dyDescent="0.2">
      <c r="A341" s="1" t="s">
        <v>1</v>
      </c>
      <c r="B341" s="1" t="s">
        <v>60</v>
      </c>
      <c r="C341" s="5">
        <f>DATE(2025, 10, 27) + TIME(11, 15, 39)</f>
        <v>45957.469201388885</v>
      </c>
      <c r="D341" s="1" t="s">
        <v>3</v>
      </c>
      <c r="E341" s="1" t="s">
        <v>696</v>
      </c>
    </row>
    <row r="342" spans="1:5" x14ac:dyDescent="0.2">
      <c r="A342" s="1" t="s">
        <v>1</v>
      </c>
      <c r="B342" s="1" t="s">
        <v>60</v>
      </c>
      <c r="C342" s="5">
        <f>DATE(2025, 10, 27) + TIME(11, 10, 30)</f>
        <v>45957.465624999997</v>
      </c>
      <c r="D342" s="1" t="s">
        <v>921</v>
      </c>
      <c r="E342" s="1" t="s">
        <v>573</v>
      </c>
    </row>
    <row r="343" spans="1:5" x14ac:dyDescent="0.2">
      <c r="A343" s="1" t="s">
        <v>1</v>
      </c>
      <c r="B343" s="1" t="s">
        <v>60</v>
      </c>
      <c r="C343" s="5">
        <f>DATE(2025, 10, 27) + TIME(10, 57, 29)</f>
        <v>45957.456585648149</v>
      </c>
      <c r="D343" s="1" t="s">
        <v>3</v>
      </c>
      <c r="E343" s="1" t="s">
        <v>168</v>
      </c>
    </row>
    <row r="344" spans="1:5" x14ac:dyDescent="0.2">
      <c r="A344" s="1" t="s">
        <v>1</v>
      </c>
      <c r="B344" s="1" t="s">
        <v>564</v>
      </c>
      <c r="C344" s="5">
        <f>DATE(2025, 10, 24) + TIME(13, 33, 0)</f>
        <v>45954.564583333333</v>
      </c>
      <c r="D344" s="1" t="s">
        <v>398</v>
      </c>
      <c r="E344" s="1" t="s">
        <v>142</v>
      </c>
    </row>
    <row r="345" spans="1:5" x14ac:dyDescent="0.2">
      <c r="A345" s="1" t="s">
        <v>1</v>
      </c>
      <c r="B345" s="1" t="s">
        <v>60</v>
      </c>
      <c r="C345" s="5">
        <f>DATE(2025, 10, 23) + TIME(14, 38, 3)</f>
        <v>45953.609756944446</v>
      </c>
      <c r="D345" s="1" t="s">
        <v>638</v>
      </c>
      <c r="E345" s="1" t="s">
        <v>157</v>
      </c>
    </row>
    <row r="346" spans="1:5" x14ac:dyDescent="0.2">
      <c r="A346" s="1" t="s">
        <v>1</v>
      </c>
      <c r="B346" s="1" t="s">
        <v>60</v>
      </c>
      <c r="C346" s="5">
        <f>DATE(2025, 10, 23) + TIME(14, 27, 41)</f>
        <v>45953.60255787037</v>
      </c>
      <c r="D346" s="1" t="s">
        <v>638</v>
      </c>
      <c r="E346" s="1" t="s">
        <v>157</v>
      </c>
    </row>
    <row r="347" spans="1:5" x14ac:dyDescent="0.2">
      <c r="A347" s="1" t="s">
        <v>1</v>
      </c>
      <c r="B347" s="1" t="s">
        <v>60</v>
      </c>
      <c r="C347" s="5">
        <f>DATE(2025, 10, 23) + TIME(13, 47, 57)</f>
        <v>45953.574965277781</v>
      </c>
      <c r="D347" s="1" t="s">
        <v>566</v>
      </c>
      <c r="E347" s="1" t="s">
        <v>865</v>
      </c>
    </row>
    <row r="348" spans="1:5" x14ac:dyDescent="0.2">
      <c r="A348" s="1" t="s">
        <v>1</v>
      </c>
      <c r="B348" s="1" t="s">
        <v>60</v>
      </c>
      <c r="C348" s="5">
        <f>DATE(2025, 10, 23) + TIME(12, 13, 13)</f>
        <v>45953.50917824074</v>
      </c>
      <c r="D348" s="1" t="s">
        <v>506</v>
      </c>
      <c r="E348" s="1" t="s">
        <v>709</v>
      </c>
    </row>
    <row r="349" spans="1:5" x14ac:dyDescent="0.2">
      <c r="A349" s="1" t="s">
        <v>1</v>
      </c>
      <c r="B349" s="1" t="s">
        <v>60</v>
      </c>
      <c r="C349" s="5">
        <f>DATE(2025, 10, 23) + TIME(12, 5, 44)</f>
        <v>45953.503981481481</v>
      </c>
      <c r="D349" s="1" t="s">
        <v>269</v>
      </c>
      <c r="E349" s="1" t="s">
        <v>748</v>
      </c>
    </row>
    <row r="350" spans="1:5" x14ac:dyDescent="0.2">
      <c r="A350" s="1" t="s">
        <v>1</v>
      </c>
      <c r="B350" s="1" t="s">
        <v>866</v>
      </c>
      <c r="C350" s="5">
        <f>DATE(2025, 10, 23) + TIME(11, 27, 45)</f>
        <v>45953.47760416667</v>
      </c>
      <c r="D350" s="1" t="s">
        <v>506</v>
      </c>
      <c r="E350" s="1" t="s">
        <v>6</v>
      </c>
    </row>
    <row r="351" spans="1:5" x14ac:dyDescent="0.2">
      <c r="A351" s="1" t="s">
        <v>1</v>
      </c>
      <c r="B351" s="1" t="s">
        <v>60</v>
      </c>
      <c r="C351" s="5">
        <f>DATE(2025, 10, 23) + TIME(11, 17, 19)</f>
        <v>45953.470358796294</v>
      </c>
      <c r="D351" s="1" t="s">
        <v>921</v>
      </c>
      <c r="E351" s="1" t="s">
        <v>368</v>
      </c>
    </row>
    <row r="352" spans="1:5" x14ac:dyDescent="0.2">
      <c r="A352" s="1" t="s">
        <v>1</v>
      </c>
      <c r="B352" s="1" t="s">
        <v>60</v>
      </c>
      <c r="C352" s="5">
        <f>DATE(2025, 10, 23) + TIME(11, 14, 36)</f>
        <v>45953.468472222223</v>
      </c>
      <c r="D352" s="1" t="s">
        <v>5</v>
      </c>
      <c r="E352" s="1" t="s">
        <v>763</v>
      </c>
    </row>
    <row r="353" spans="1:5" x14ac:dyDescent="0.2">
      <c r="A353" s="1" t="s">
        <v>1</v>
      </c>
      <c r="B353" s="1" t="s">
        <v>323</v>
      </c>
      <c r="C353" s="5">
        <f>DATE(2025, 10, 23) + TIME(11, 2, 54)</f>
        <v>45953.460347222222</v>
      </c>
      <c r="D353" s="1" t="s">
        <v>459</v>
      </c>
      <c r="E353" s="1" t="s">
        <v>881</v>
      </c>
    </row>
    <row r="354" spans="1:5" x14ac:dyDescent="0.2">
      <c r="A354" s="1" t="s">
        <v>1</v>
      </c>
      <c r="B354" s="1" t="s">
        <v>60</v>
      </c>
      <c r="C354" s="5">
        <f>DATE(2025, 10, 23) + TIME(10, 27, 46)</f>
        <v>45953.435949074075</v>
      </c>
      <c r="D354" s="1" t="s">
        <v>356</v>
      </c>
      <c r="E354" s="1" t="s">
        <v>340</v>
      </c>
    </row>
    <row r="355" spans="1:5" x14ac:dyDescent="0.2">
      <c r="A355" s="1" t="s">
        <v>1</v>
      </c>
      <c r="B355" s="1" t="s">
        <v>60</v>
      </c>
      <c r="C355" s="5">
        <f>DATE(2025, 10, 23) + TIME(9, 9, 28)</f>
        <v>45953.381574074076</v>
      </c>
      <c r="D355" s="1" t="s">
        <v>921</v>
      </c>
      <c r="E355" s="1" t="s">
        <v>345</v>
      </c>
    </row>
    <row r="356" spans="1:5" x14ac:dyDescent="0.2">
      <c r="A356" s="1" t="s">
        <v>1</v>
      </c>
      <c r="B356" s="1" t="s">
        <v>60</v>
      </c>
      <c r="C356" s="5">
        <f>DATE(2025, 10, 23) + TIME(9, 9, 28)</f>
        <v>45953.381574074076</v>
      </c>
      <c r="D356" s="1" t="s">
        <v>921</v>
      </c>
      <c r="E356" s="1" t="s">
        <v>691</v>
      </c>
    </row>
    <row r="357" spans="1:5" x14ac:dyDescent="0.2">
      <c r="A357" s="1" t="s">
        <v>1</v>
      </c>
      <c r="B357" s="1" t="s">
        <v>60</v>
      </c>
      <c r="C357" s="5">
        <f>DATE(2025, 10, 22) + TIME(15, 48, 50)</f>
        <v>45952.658912037034</v>
      </c>
      <c r="D357" s="1" t="s">
        <v>640</v>
      </c>
      <c r="E357" s="1" t="s">
        <v>611</v>
      </c>
    </row>
    <row r="358" spans="1:5" x14ac:dyDescent="0.2">
      <c r="A358" s="1" t="s">
        <v>1</v>
      </c>
      <c r="B358" s="1" t="s">
        <v>60</v>
      </c>
      <c r="C358" s="5">
        <f>DATE(2025, 10, 22) + TIME(14, 58, 17)</f>
        <v>45952.623807870368</v>
      </c>
      <c r="D358" s="1" t="s">
        <v>64</v>
      </c>
      <c r="E358" s="1" t="s">
        <v>213</v>
      </c>
    </row>
    <row r="359" spans="1:5" x14ac:dyDescent="0.2">
      <c r="A359" s="1" t="s">
        <v>1</v>
      </c>
      <c r="B359" s="1" t="s">
        <v>866</v>
      </c>
      <c r="C359" s="5">
        <f>DATE(2025, 10, 22) + TIME(13, 42, 2)</f>
        <v>45952.570856481485</v>
      </c>
      <c r="D359" s="1" t="s">
        <v>506</v>
      </c>
      <c r="E359" s="1" t="s">
        <v>702</v>
      </c>
    </row>
    <row r="360" spans="1:5" x14ac:dyDescent="0.2">
      <c r="A360" s="1" t="s">
        <v>1</v>
      </c>
      <c r="B360" s="1" t="s">
        <v>60</v>
      </c>
      <c r="C360" s="5">
        <f>DATE(2025, 10, 21) + TIME(15, 7, 33)</f>
        <v>45951.630243055559</v>
      </c>
      <c r="D360" s="1" t="s">
        <v>506</v>
      </c>
      <c r="E360" s="1" t="s">
        <v>83</v>
      </c>
    </row>
    <row r="361" spans="1:5" x14ac:dyDescent="0.2">
      <c r="A361" s="1" t="s">
        <v>1</v>
      </c>
      <c r="B361" s="1" t="s">
        <v>60</v>
      </c>
      <c r="C361" s="5">
        <f>DATE(2025, 10, 21) + TIME(13, 52, 43)</f>
        <v>45951.578275462962</v>
      </c>
      <c r="D361" s="1" t="s">
        <v>398</v>
      </c>
      <c r="E361" s="1" t="s">
        <v>142</v>
      </c>
    </row>
    <row r="362" spans="1:5" x14ac:dyDescent="0.2">
      <c r="A362" s="1" t="s">
        <v>1</v>
      </c>
      <c r="B362" s="1" t="s">
        <v>60</v>
      </c>
      <c r="C362" s="5">
        <f>DATE(2025, 10, 21) + TIME(13, 22, 40)</f>
        <v>45951.55740740741</v>
      </c>
      <c r="D362" s="1" t="s">
        <v>148</v>
      </c>
      <c r="E362" s="1" t="s">
        <v>435</v>
      </c>
    </row>
    <row r="363" spans="1:5" x14ac:dyDescent="0.2">
      <c r="A363" s="1" t="s">
        <v>1</v>
      </c>
      <c r="B363" s="1" t="s">
        <v>866</v>
      </c>
      <c r="C363" s="5">
        <f>DATE(2025, 10, 20) + TIME(18, 9, 20)</f>
        <v>45950.756481481483</v>
      </c>
      <c r="D363" s="1" t="s">
        <v>869</v>
      </c>
      <c r="E363" s="1" t="s">
        <v>275</v>
      </c>
    </row>
    <row r="364" spans="1:5" x14ac:dyDescent="0.2">
      <c r="A364" s="1" t="s">
        <v>1</v>
      </c>
      <c r="B364" s="1" t="s">
        <v>60</v>
      </c>
      <c r="C364" s="5">
        <f>DATE(2025, 10, 20) + TIME(16, 16, 14)</f>
        <v>45950.677939814814</v>
      </c>
      <c r="D364" s="1" t="s">
        <v>144</v>
      </c>
      <c r="E364" s="1" t="s">
        <v>695</v>
      </c>
    </row>
    <row r="365" spans="1:5" x14ac:dyDescent="0.2">
      <c r="A365" s="1" t="s">
        <v>1</v>
      </c>
      <c r="B365" s="1" t="s">
        <v>60</v>
      </c>
      <c r="C365" s="5">
        <f>DATE(2025, 10, 20) + TIME(15, 50, 38)</f>
        <v>45950.660162037035</v>
      </c>
      <c r="D365" s="1" t="s">
        <v>64</v>
      </c>
      <c r="E365" s="1" t="s">
        <v>812</v>
      </c>
    </row>
    <row r="366" spans="1:5" x14ac:dyDescent="0.2">
      <c r="A366" s="1" t="s">
        <v>1</v>
      </c>
      <c r="B366" s="1" t="s">
        <v>60</v>
      </c>
      <c r="C366" s="5">
        <f>DATE(2025, 10, 20) + TIME(12, 56, 26)</f>
        <v>45950.539189814815</v>
      </c>
      <c r="D366" s="1" t="s">
        <v>566</v>
      </c>
      <c r="E366" s="1" t="s">
        <v>865</v>
      </c>
    </row>
    <row r="367" spans="1:5" x14ac:dyDescent="0.2">
      <c r="A367" s="1" t="s">
        <v>1</v>
      </c>
      <c r="B367" s="1" t="s">
        <v>323</v>
      </c>
      <c r="C367" s="5">
        <f>DATE(2025, 10, 20) + TIME(11, 54, 39)</f>
        <v>45950.49628472222</v>
      </c>
      <c r="D367" s="1" t="s">
        <v>269</v>
      </c>
      <c r="E367" s="1" t="s">
        <v>748</v>
      </c>
    </row>
    <row r="368" spans="1:5" x14ac:dyDescent="0.2">
      <c r="A368" s="1" t="s">
        <v>1</v>
      </c>
      <c r="B368" s="1" t="s">
        <v>866</v>
      </c>
      <c r="C368" s="5">
        <f>DATE(2025, 10, 17) + TIME(11, 51, 15)</f>
        <v>45947.493923611109</v>
      </c>
      <c r="D368" s="1" t="s">
        <v>779</v>
      </c>
      <c r="E368" s="1" t="s">
        <v>437</v>
      </c>
    </row>
    <row r="369" spans="1:5" x14ac:dyDescent="0.2">
      <c r="A369" s="1" t="s">
        <v>1</v>
      </c>
      <c r="B369" s="1" t="s">
        <v>866</v>
      </c>
      <c r="C369" s="5">
        <f>DATE(2025, 10, 16) + TIME(14, 46, 39)</f>
        <v>45946.615729166668</v>
      </c>
      <c r="D369" s="1" t="s">
        <v>506</v>
      </c>
      <c r="E369" s="1" t="s">
        <v>867</v>
      </c>
    </row>
    <row r="370" spans="1:5" x14ac:dyDescent="0.2">
      <c r="A370" s="1" t="s">
        <v>1</v>
      </c>
      <c r="B370" s="1" t="s">
        <v>60</v>
      </c>
      <c r="C370" s="5">
        <f>DATE(2025, 10, 16) + TIME(12, 51, 36)</f>
        <v>45946.535833333335</v>
      </c>
      <c r="D370" s="1" t="s">
        <v>269</v>
      </c>
      <c r="E370" s="1" t="s">
        <v>339</v>
      </c>
    </row>
    <row r="371" spans="1:5" x14ac:dyDescent="0.2">
      <c r="A371" s="1" t="s">
        <v>1</v>
      </c>
      <c r="B371" s="1" t="s">
        <v>323</v>
      </c>
      <c r="C371" s="5">
        <f>DATE(2025, 10, 16) + TIME(6, 35, 0)</f>
        <v>45946.274305555555</v>
      </c>
      <c r="D371" s="1" t="s">
        <v>923</v>
      </c>
      <c r="E371" s="1" t="s">
        <v>474</v>
      </c>
    </row>
    <row r="372" spans="1:5" x14ac:dyDescent="0.2">
      <c r="A372" s="1" t="s">
        <v>1</v>
      </c>
      <c r="B372" s="1" t="s">
        <v>733</v>
      </c>
      <c r="C372" s="5">
        <f>DATE(2025, 10, 16) + TIME(6, 35, 0)</f>
        <v>45946.274305555555</v>
      </c>
      <c r="D372" s="1" t="s">
        <v>923</v>
      </c>
      <c r="E372" s="1" t="s">
        <v>474</v>
      </c>
    </row>
    <row r="373" spans="1:5" x14ac:dyDescent="0.2">
      <c r="A373" s="1" t="s">
        <v>1</v>
      </c>
      <c r="B373" s="1" t="s">
        <v>60</v>
      </c>
      <c r="C373" s="5">
        <f>DATE(2025, 10, 15) + TIME(14, 22, 58)</f>
        <v>45945.599282407406</v>
      </c>
      <c r="D373" s="1" t="s">
        <v>64</v>
      </c>
      <c r="E373" s="1" t="s">
        <v>213</v>
      </c>
    </row>
    <row r="374" spans="1:5" x14ac:dyDescent="0.2">
      <c r="A374" s="1" t="s">
        <v>1</v>
      </c>
      <c r="B374" s="1" t="s">
        <v>60</v>
      </c>
      <c r="C374" s="5">
        <f>DATE(2025, 10, 14) + TIME(16, 32, 30)</f>
        <v>45944.689236111109</v>
      </c>
      <c r="D374" s="1" t="s">
        <v>64</v>
      </c>
      <c r="E374" s="1" t="s">
        <v>889</v>
      </c>
    </row>
    <row r="375" spans="1:5" x14ac:dyDescent="0.2">
      <c r="A375" s="1" t="s">
        <v>1</v>
      </c>
      <c r="B375" s="1" t="s">
        <v>60</v>
      </c>
      <c r="C375" s="5">
        <f>DATE(2025, 10, 14) + TIME(15, 52, 35)</f>
        <v>45944.661516203705</v>
      </c>
      <c r="D375" s="1" t="s">
        <v>216</v>
      </c>
      <c r="E375" s="1" t="s">
        <v>101</v>
      </c>
    </row>
    <row r="376" spans="1:5" x14ac:dyDescent="0.2">
      <c r="A376" s="1" t="s">
        <v>1</v>
      </c>
      <c r="B376" s="1" t="s">
        <v>60</v>
      </c>
      <c r="C376" s="5">
        <f>DATE(2025, 10, 14) + TIME(15, 9, 26)</f>
        <v>45944.631550925929</v>
      </c>
      <c r="D376" s="1" t="s">
        <v>506</v>
      </c>
      <c r="E376" s="1" t="s">
        <v>83</v>
      </c>
    </row>
    <row r="377" spans="1:5" x14ac:dyDescent="0.2">
      <c r="A377" s="1" t="s">
        <v>1</v>
      </c>
      <c r="B377" s="1" t="s">
        <v>69</v>
      </c>
      <c r="C377" s="5">
        <f>DATE(2025, 10, 14) + TIME(15, 0, 19)</f>
        <v>45944.625219907408</v>
      </c>
      <c r="D377" s="1" t="s">
        <v>869</v>
      </c>
      <c r="E377" s="1" t="s">
        <v>275</v>
      </c>
    </row>
    <row r="378" spans="1:5" x14ac:dyDescent="0.2">
      <c r="A378" s="1" t="s">
        <v>1</v>
      </c>
      <c r="B378" s="1" t="s">
        <v>60</v>
      </c>
      <c r="C378" s="5">
        <f>DATE(2025, 10, 14) + TIME(13, 59, 11)</f>
        <v>45944.582766203705</v>
      </c>
      <c r="D378" s="1" t="s">
        <v>65</v>
      </c>
      <c r="E378" s="1" t="s">
        <v>227</v>
      </c>
    </row>
    <row r="379" spans="1:5" x14ac:dyDescent="0.2">
      <c r="A379" s="1" t="s">
        <v>1</v>
      </c>
      <c r="B379" s="1" t="s">
        <v>866</v>
      </c>
      <c r="C379" s="5">
        <f>DATE(2025, 10, 14) + TIME(13, 35, 56)</f>
        <v>45944.566620370373</v>
      </c>
      <c r="D379" s="1" t="s">
        <v>506</v>
      </c>
      <c r="E379" s="1" t="s">
        <v>712</v>
      </c>
    </row>
    <row r="380" spans="1:5" x14ac:dyDescent="0.2">
      <c r="A380" s="1" t="s">
        <v>1</v>
      </c>
      <c r="B380" s="1" t="s">
        <v>60</v>
      </c>
      <c r="C380" s="5">
        <f>DATE(2025, 10, 13) + TIME(13, 7, 19)</f>
        <v>45943.546747685185</v>
      </c>
      <c r="D380" s="1" t="s">
        <v>144</v>
      </c>
      <c r="E380" s="1" t="s">
        <v>695</v>
      </c>
    </row>
    <row r="381" spans="1:5" x14ac:dyDescent="0.2">
      <c r="A381" s="1" t="s">
        <v>1</v>
      </c>
      <c r="B381" s="1" t="s">
        <v>60</v>
      </c>
      <c r="C381" s="5">
        <f>DATE(2025, 10, 9) + TIME(14, 54, 57)</f>
        <v>45939.621493055558</v>
      </c>
      <c r="D381" s="1" t="s">
        <v>566</v>
      </c>
      <c r="E381" s="1" t="s">
        <v>865</v>
      </c>
    </row>
    <row r="382" spans="1:5" x14ac:dyDescent="0.2">
      <c r="A382" s="1" t="s">
        <v>1</v>
      </c>
      <c r="B382" s="1" t="s">
        <v>60</v>
      </c>
      <c r="C382" s="5">
        <f>DATE(2025, 10, 9) + TIME(11, 58, 19)</f>
        <v>45939.498831018522</v>
      </c>
      <c r="D382" s="1" t="s">
        <v>5</v>
      </c>
      <c r="E382" s="1" t="s">
        <v>763</v>
      </c>
    </row>
    <row r="383" spans="1:5" x14ac:dyDescent="0.2">
      <c r="A383" s="1" t="s">
        <v>1</v>
      </c>
      <c r="B383" s="1" t="s">
        <v>323</v>
      </c>
      <c r="C383" s="5">
        <f>DATE(2025, 10, 9) + TIME(11, 34, 45)</f>
        <v>45939.482465277775</v>
      </c>
      <c r="D383" s="1" t="s">
        <v>269</v>
      </c>
      <c r="E383" s="1" t="s">
        <v>748</v>
      </c>
    </row>
    <row r="384" spans="1:5" x14ac:dyDescent="0.2">
      <c r="A384" s="1" t="s">
        <v>1</v>
      </c>
      <c r="B384" s="1" t="s">
        <v>60</v>
      </c>
      <c r="C384" s="5">
        <f>DATE(2025, 10, 8) + TIME(15, 30, 55)</f>
        <v>45938.646469907406</v>
      </c>
      <c r="D384" s="1" t="s">
        <v>64</v>
      </c>
      <c r="E384" s="1" t="s">
        <v>213</v>
      </c>
    </row>
    <row r="385" spans="1:5" x14ac:dyDescent="0.2">
      <c r="A385" s="1" t="s">
        <v>1</v>
      </c>
      <c r="B385" s="1" t="s">
        <v>927</v>
      </c>
      <c r="C385" s="5">
        <f>DATE(2025, 10, 8) + TIME(14, 45, 49)</f>
        <v>45938.61515046296</v>
      </c>
      <c r="D385" s="1" t="s">
        <v>506</v>
      </c>
      <c r="E385" s="1" t="s">
        <v>370</v>
      </c>
    </row>
    <row r="386" spans="1:5" x14ac:dyDescent="0.2">
      <c r="A386" s="1" t="s">
        <v>1</v>
      </c>
      <c r="B386" s="1" t="s">
        <v>60</v>
      </c>
      <c r="C386" s="5">
        <f>DATE(2025, 10, 8) + TIME(14, 3, 0)</f>
        <v>45938.585416666669</v>
      </c>
      <c r="D386" s="1" t="s">
        <v>923</v>
      </c>
      <c r="E386" s="1" t="s">
        <v>462</v>
      </c>
    </row>
    <row r="387" spans="1:5" x14ac:dyDescent="0.2">
      <c r="A387" s="1" t="s">
        <v>1</v>
      </c>
      <c r="B387" s="1" t="s">
        <v>866</v>
      </c>
      <c r="C387" s="5">
        <f>DATE(2025, 10, 8) + TIME(12, 53, 9)</f>
        <v>45938.536909722221</v>
      </c>
      <c r="D387" s="1" t="s">
        <v>506</v>
      </c>
      <c r="E387" s="1" t="s">
        <v>712</v>
      </c>
    </row>
    <row r="388" spans="1:5" x14ac:dyDescent="0.2">
      <c r="A388" s="1" t="s">
        <v>1</v>
      </c>
      <c r="B388" s="1" t="s">
        <v>60</v>
      </c>
      <c r="C388" s="5">
        <f>DATE(2025, 10, 8) + TIME(9, 38, 44)</f>
        <v>45938.401898148149</v>
      </c>
      <c r="D388" s="1" t="s">
        <v>396</v>
      </c>
      <c r="E388" s="1" t="s">
        <v>749</v>
      </c>
    </row>
    <row r="389" spans="1:5" x14ac:dyDescent="0.2">
      <c r="A389" s="1" t="s">
        <v>1</v>
      </c>
      <c r="B389" s="1" t="s">
        <v>60</v>
      </c>
      <c r="C389" s="5">
        <f>DATE(2025, 10, 7) + TIME(15, 42, 2)</f>
        <v>45937.654189814813</v>
      </c>
      <c r="D389" s="1" t="s">
        <v>398</v>
      </c>
      <c r="E389" s="1" t="s">
        <v>142</v>
      </c>
    </row>
    <row r="390" spans="1:5" x14ac:dyDescent="0.2">
      <c r="A390" s="1" t="s">
        <v>1</v>
      </c>
      <c r="B390" s="1" t="s">
        <v>866</v>
      </c>
      <c r="C390" s="5">
        <f>DATE(2025, 10, 7) + TIME(14, 26, 14)</f>
        <v>45937.601550925923</v>
      </c>
      <c r="D390" s="1" t="s">
        <v>576</v>
      </c>
      <c r="E390" s="1" t="s">
        <v>143</v>
      </c>
    </row>
    <row r="391" spans="1:5" x14ac:dyDescent="0.2">
      <c r="A391" s="1" t="s">
        <v>1</v>
      </c>
      <c r="B391" s="1" t="s">
        <v>60</v>
      </c>
      <c r="C391" s="5">
        <f>DATE(2025, 10, 7) + TIME(14, 26, 14)</f>
        <v>45937.601550925923</v>
      </c>
      <c r="D391" s="1" t="s">
        <v>576</v>
      </c>
      <c r="E391" s="1" t="s">
        <v>143</v>
      </c>
    </row>
    <row r="392" spans="1:5" x14ac:dyDescent="0.2">
      <c r="A392" s="1" t="s">
        <v>1</v>
      </c>
      <c r="B392" s="1" t="s">
        <v>60</v>
      </c>
      <c r="C392" s="5">
        <f>DATE(2025, 10, 7) + TIME(13, 56, 12)</f>
        <v>45937.580694444441</v>
      </c>
      <c r="D392" s="1" t="s">
        <v>467</v>
      </c>
      <c r="E392" s="1" t="s">
        <v>143</v>
      </c>
    </row>
    <row r="393" spans="1:5" x14ac:dyDescent="0.2">
      <c r="A393" s="1" t="s">
        <v>1</v>
      </c>
      <c r="B393" s="1" t="s">
        <v>323</v>
      </c>
      <c r="C393" s="5">
        <f>DATE(2025, 10, 7) + TIME(13, 45, 28)</f>
        <v>45937.573240740741</v>
      </c>
      <c r="D393" s="1" t="s">
        <v>459</v>
      </c>
      <c r="E393" s="1" t="s">
        <v>522</v>
      </c>
    </row>
    <row r="394" spans="1:5" x14ac:dyDescent="0.2">
      <c r="A394" s="1" t="s">
        <v>1</v>
      </c>
      <c r="B394" s="1" t="s">
        <v>60</v>
      </c>
      <c r="C394" s="5">
        <f>DATE(2025, 10, 7) + TIME(13, 43, 37)</f>
        <v>45937.571956018517</v>
      </c>
      <c r="D394" s="1" t="s">
        <v>65</v>
      </c>
      <c r="E394" s="1" t="s">
        <v>227</v>
      </c>
    </row>
    <row r="395" spans="1:5" x14ac:dyDescent="0.2">
      <c r="A395" s="1" t="s">
        <v>1</v>
      </c>
      <c r="B395" s="1" t="s">
        <v>60</v>
      </c>
      <c r="C395" s="5">
        <f>DATE(2025, 10, 7) + TIME(13, 32, 41)</f>
        <v>45937.564363425925</v>
      </c>
      <c r="D395" s="1" t="s">
        <v>750</v>
      </c>
      <c r="E395" s="1" t="s">
        <v>435</v>
      </c>
    </row>
    <row r="396" spans="1:5" x14ac:dyDescent="0.2">
      <c r="A396" s="1" t="s">
        <v>1</v>
      </c>
      <c r="B396" s="1" t="s">
        <v>866</v>
      </c>
      <c r="C396" s="5">
        <f>DATE(2025, 10, 7) + TIME(11, 2, 33)</f>
        <v>45937.460104166668</v>
      </c>
      <c r="D396" s="1" t="s">
        <v>869</v>
      </c>
      <c r="E396" s="1" t="s">
        <v>327</v>
      </c>
    </row>
    <row r="397" spans="1:5" x14ac:dyDescent="0.2">
      <c r="A397" s="1" t="s">
        <v>1</v>
      </c>
      <c r="B397" s="1" t="s">
        <v>60</v>
      </c>
      <c r="C397" s="5">
        <f>DATE(2025, 10, 6) + TIME(15, 41, 13)</f>
        <v>45936.653622685182</v>
      </c>
      <c r="D397" s="1" t="s">
        <v>65</v>
      </c>
      <c r="E397" s="1" t="s">
        <v>960</v>
      </c>
    </row>
    <row r="398" spans="1:5" x14ac:dyDescent="0.2">
      <c r="A398" s="1" t="s">
        <v>1</v>
      </c>
      <c r="B398" s="1" t="s">
        <v>60</v>
      </c>
      <c r="C398" s="5">
        <f>DATE(2025, 10, 6) + TIME(14, 53, 32)</f>
        <v>45936.620509259257</v>
      </c>
      <c r="D398" s="1" t="s">
        <v>566</v>
      </c>
      <c r="E398" s="1" t="s">
        <v>865</v>
      </c>
    </row>
    <row r="399" spans="1:5" x14ac:dyDescent="0.2">
      <c r="A399" s="1" t="s">
        <v>1</v>
      </c>
      <c r="B399" s="1" t="s">
        <v>60</v>
      </c>
      <c r="C399" s="5">
        <f>DATE(2025, 10, 6) + TIME(13, 16, 37)</f>
        <v>45936.553206018521</v>
      </c>
      <c r="D399" s="1" t="s">
        <v>216</v>
      </c>
      <c r="E399" s="1" t="s">
        <v>607</v>
      </c>
    </row>
    <row r="400" spans="1:5" x14ac:dyDescent="0.2">
      <c r="A400" s="1" t="s">
        <v>1</v>
      </c>
      <c r="B400" s="1" t="s">
        <v>60</v>
      </c>
      <c r="C400" s="5">
        <f>DATE(2025, 10, 6) + TIME(11, 49, 55)</f>
        <v>45936.492997685185</v>
      </c>
      <c r="D400" s="1" t="s">
        <v>3</v>
      </c>
      <c r="E400" s="1" t="s">
        <v>168</v>
      </c>
    </row>
    <row r="401" spans="1:5" x14ac:dyDescent="0.2">
      <c r="A401" s="1" t="s">
        <v>1</v>
      </c>
      <c r="B401" s="1" t="s">
        <v>60</v>
      </c>
      <c r="C401" s="5">
        <f>DATE(2025, 10, 6) + TIME(11, 47, 18)</f>
        <v>45936.491180555553</v>
      </c>
      <c r="D401" s="1" t="s">
        <v>396</v>
      </c>
      <c r="E401" s="1" t="s">
        <v>749</v>
      </c>
    </row>
    <row r="402" spans="1:5" x14ac:dyDescent="0.2">
      <c r="A402" s="1" t="s">
        <v>1</v>
      </c>
      <c r="B402" s="1" t="s">
        <v>323</v>
      </c>
      <c r="C402" s="5">
        <f>DATE(2025, 10, 2) + TIME(12, 55, 8)</f>
        <v>45932.538287037038</v>
      </c>
      <c r="D402" s="1" t="s">
        <v>269</v>
      </c>
      <c r="E402" s="1" t="s">
        <v>748</v>
      </c>
    </row>
    <row r="403" spans="1:5" x14ac:dyDescent="0.2">
      <c r="A403" s="1" t="s">
        <v>1</v>
      </c>
      <c r="B403" s="1" t="s">
        <v>60</v>
      </c>
      <c r="C403" s="5">
        <f>DATE(2025, 10, 1) + TIME(15, 44, 37)</f>
        <v>45931.6559837963</v>
      </c>
      <c r="D403" s="1" t="s">
        <v>923</v>
      </c>
      <c r="E403" s="1" t="s">
        <v>462</v>
      </c>
    </row>
    <row r="404" spans="1:5" x14ac:dyDescent="0.2">
      <c r="A404" s="1" t="s">
        <v>1</v>
      </c>
      <c r="B404" s="1" t="s">
        <v>139</v>
      </c>
      <c r="C404" s="5">
        <f>DATE(2025, 10, 1) + TIME(14, 21, 15)</f>
        <v>45931.598090277781</v>
      </c>
      <c r="D404" s="1" t="s">
        <v>341</v>
      </c>
      <c r="E404" s="1" t="s">
        <v>140</v>
      </c>
    </row>
    <row r="405" spans="1:5" x14ac:dyDescent="0.2">
      <c r="A405" s="1" t="s">
        <v>1</v>
      </c>
      <c r="B405" s="1" t="s">
        <v>564</v>
      </c>
      <c r="C405" s="5">
        <f>DATE(2025, 10, 1) + TIME(12, 10, 3)</f>
        <v>45931.506979166668</v>
      </c>
      <c r="D405" s="1" t="s">
        <v>320</v>
      </c>
      <c r="E405" s="1" t="s">
        <v>2</v>
      </c>
    </row>
    <row r="406" spans="1:5" x14ac:dyDescent="0.2">
      <c r="A406" s="1" t="s">
        <v>1</v>
      </c>
      <c r="B406" s="1" t="s">
        <v>60</v>
      </c>
      <c r="C406" s="5">
        <f>DATE(2025, 10, 1) + TIME(11, 39, 42)</f>
        <v>45931.485902777778</v>
      </c>
      <c r="D406" s="1" t="s">
        <v>566</v>
      </c>
      <c r="E406" s="1" t="s">
        <v>865</v>
      </c>
    </row>
    <row r="407" spans="1:5" x14ac:dyDescent="0.2">
      <c r="A407" s="1" t="s">
        <v>1</v>
      </c>
      <c r="B407" s="1" t="s">
        <v>60</v>
      </c>
      <c r="C407" s="5">
        <f>DATE(2025, 9, 30) + TIME(15, 27, 30)</f>
        <v>45930.644097222219</v>
      </c>
      <c r="D407" s="1" t="s">
        <v>459</v>
      </c>
      <c r="E407" s="1" t="s">
        <v>522</v>
      </c>
    </row>
    <row r="408" spans="1:5" x14ac:dyDescent="0.2">
      <c r="A408" s="1" t="s">
        <v>1</v>
      </c>
      <c r="B408" s="1" t="s">
        <v>60</v>
      </c>
      <c r="C408" s="5">
        <f>DATE(2025, 9, 30) + TIME(13, 48, 26)</f>
        <v>45930.575300925928</v>
      </c>
      <c r="D408" s="1" t="s">
        <v>65</v>
      </c>
      <c r="E408" s="1" t="s">
        <v>227</v>
      </c>
    </row>
    <row r="409" spans="1:5" x14ac:dyDescent="0.2">
      <c r="A409" s="1" t="s">
        <v>1</v>
      </c>
      <c r="B409" s="1" t="s">
        <v>60</v>
      </c>
      <c r="C409" s="5">
        <f>DATE(2025, 9, 30) + TIME(13, 2, 6)</f>
        <v>45930.543124999997</v>
      </c>
      <c r="D409" s="1" t="s">
        <v>3</v>
      </c>
      <c r="E409" s="1" t="s">
        <v>571</v>
      </c>
    </row>
    <row r="410" spans="1:5" x14ac:dyDescent="0.2">
      <c r="A410" s="1" t="s">
        <v>1</v>
      </c>
      <c r="B410" s="1" t="s">
        <v>60</v>
      </c>
      <c r="C410" s="5">
        <f>DATE(2025, 9, 30) + TIME(11, 17, 28)</f>
        <v>45930.470462962963</v>
      </c>
      <c r="D410" s="1" t="s">
        <v>869</v>
      </c>
      <c r="E410" s="1" t="s">
        <v>275</v>
      </c>
    </row>
    <row r="411" spans="1:5" x14ac:dyDescent="0.2">
      <c r="A411" s="1" t="s">
        <v>1</v>
      </c>
      <c r="B411" s="1" t="s">
        <v>60</v>
      </c>
      <c r="C411" s="5">
        <f>DATE(2025, 9, 30) + TIME(9, 45, 55)</f>
        <v>45930.406886574077</v>
      </c>
      <c r="D411" s="1" t="s">
        <v>216</v>
      </c>
      <c r="E411" s="1" t="s">
        <v>101</v>
      </c>
    </row>
    <row r="412" spans="1:5" x14ac:dyDescent="0.2">
      <c r="A412" s="1" t="s">
        <v>1</v>
      </c>
      <c r="B412" s="1" t="s">
        <v>60</v>
      </c>
      <c r="C412" s="5">
        <f>DATE(2025, 9, 29) + TIME(12, 32, 32)</f>
        <v>45929.522592592592</v>
      </c>
      <c r="D412" s="1" t="s">
        <v>320</v>
      </c>
      <c r="E412" s="1" t="s">
        <v>948</v>
      </c>
    </row>
    <row r="413" spans="1:5" x14ac:dyDescent="0.2">
      <c r="A413" s="1" t="s">
        <v>1</v>
      </c>
      <c r="B413" s="1" t="s">
        <v>60</v>
      </c>
      <c r="C413" s="5">
        <f>DATE(2025, 9, 29) + TIME(12, 9, 44)</f>
        <v>45929.50675925926</v>
      </c>
      <c r="D413" s="1" t="s">
        <v>3</v>
      </c>
      <c r="E413" s="1" t="s">
        <v>168</v>
      </c>
    </row>
    <row r="414" spans="1:5" x14ac:dyDescent="0.2">
      <c r="A414" s="1" t="s">
        <v>1</v>
      </c>
      <c r="B414" s="1" t="s">
        <v>60</v>
      </c>
      <c r="C414" s="5">
        <f>DATE(2025, 9, 29) + TIME(12, 9, 44)</f>
        <v>45929.50675925926</v>
      </c>
      <c r="D414" s="1" t="s">
        <v>3</v>
      </c>
      <c r="E414" s="1" t="s">
        <v>696</v>
      </c>
    </row>
    <row r="415" spans="1:5" x14ac:dyDescent="0.2">
      <c r="A415" s="1" t="s">
        <v>1</v>
      </c>
      <c r="B415" s="1" t="s">
        <v>60</v>
      </c>
      <c r="C415" s="5">
        <f>DATE(2025, 9, 29) + TIME(12, 1, 25)</f>
        <v>45929.500983796293</v>
      </c>
      <c r="D415" s="1" t="s">
        <v>269</v>
      </c>
      <c r="E415" s="1" t="s">
        <v>748</v>
      </c>
    </row>
    <row r="416" spans="1:5" x14ac:dyDescent="0.2">
      <c r="A416" s="1" t="s">
        <v>1</v>
      </c>
      <c r="B416" s="1" t="s">
        <v>323</v>
      </c>
      <c r="C416" s="5">
        <f>DATE(2025, 9, 29) + TIME(11, 45, 44)</f>
        <v>45929.49009259259</v>
      </c>
      <c r="D416" s="1" t="s">
        <v>341</v>
      </c>
      <c r="E416" s="1" t="s">
        <v>567</v>
      </c>
    </row>
    <row r="417" spans="1:5" x14ac:dyDescent="0.2">
      <c r="A417" s="1" t="s">
        <v>1</v>
      </c>
      <c r="B417" s="1" t="s">
        <v>866</v>
      </c>
      <c r="C417" s="5">
        <f>DATE(2025, 9, 29) + TIME(11, 42, 11)</f>
        <v>45929.487627314818</v>
      </c>
      <c r="D417" s="1" t="s">
        <v>754</v>
      </c>
      <c r="E417" s="1" t="s">
        <v>330</v>
      </c>
    </row>
    <row r="418" spans="1:5" x14ac:dyDescent="0.2">
      <c r="A418" s="1" t="s">
        <v>1</v>
      </c>
      <c r="B418" s="1" t="s">
        <v>60</v>
      </c>
      <c r="C418" s="5">
        <f>DATE(2025, 9, 29) + TIME(11, 22, 22)</f>
        <v>45929.473865740743</v>
      </c>
      <c r="D418" s="1" t="s">
        <v>921</v>
      </c>
      <c r="E418" s="1" t="s">
        <v>573</v>
      </c>
    </row>
    <row r="419" spans="1:5" x14ac:dyDescent="0.2">
      <c r="A419" s="1" t="s">
        <v>1</v>
      </c>
      <c r="B419" s="1" t="s">
        <v>60</v>
      </c>
      <c r="C419" s="5">
        <f>DATE(2025, 9, 25) + TIME(14, 6, 36)</f>
        <v>45925.587916666664</v>
      </c>
      <c r="D419" s="1" t="s">
        <v>638</v>
      </c>
      <c r="E419" s="1" t="s">
        <v>157</v>
      </c>
    </row>
    <row r="420" spans="1:5" x14ac:dyDescent="0.2">
      <c r="A420" s="1" t="s">
        <v>1</v>
      </c>
      <c r="B420" s="1" t="s">
        <v>60</v>
      </c>
      <c r="C420" s="5">
        <f>DATE(2025, 9, 25) + TIME(14, 4, 14)</f>
        <v>45925.586273148147</v>
      </c>
      <c r="D420" s="1" t="s">
        <v>396</v>
      </c>
      <c r="E420" s="1" t="s">
        <v>764</v>
      </c>
    </row>
    <row r="421" spans="1:5" x14ac:dyDescent="0.2">
      <c r="A421" s="1" t="s">
        <v>1</v>
      </c>
      <c r="B421" s="1" t="s">
        <v>60</v>
      </c>
      <c r="C421" s="5">
        <f>DATE(2025, 9, 25) + TIME(12, 43, 56)</f>
        <v>45925.530509259261</v>
      </c>
      <c r="D421" s="1" t="s">
        <v>216</v>
      </c>
      <c r="E421" s="1" t="s">
        <v>372</v>
      </c>
    </row>
    <row r="422" spans="1:5" x14ac:dyDescent="0.2">
      <c r="A422" s="1" t="s">
        <v>1</v>
      </c>
      <c r="B422" s="1" t="s">
        <v>60</v>
      </c>
      <c r="C422" s="5">
        <f>DATE(2025, 9, 25) + TIME(12, 10, 37)</f>
        <v>45925.507372685184</v>
      </c>
      <c r="D422" s="1" t="s">
        <v>921</v>
      </c>
      <c r="E422" s="1" t="s">
        <v>691</v>
      </c>
    </row>
    <row r="423" spans="1:5" x14ac:dyDescent="0.2">
      <c r="A423" s="1" t="s">
        <v>1</v>
      </c>
      <c r="B423" s="1" t="s">
        <v>866</v>
      </c>
      <c r="C423" s="5">
        <f>DATE(2025, 9, 25) + TIME(10, 30, 16)</f>
        <v>45925.437685185185</v>
      </c>
      <c r="D423" s="1" t="s">
        <v>754</v>
      </c>
      <c r="E423" s="1" t="s">
        <v>941</v>
      </c>
    </row>
    <row r="424" spans="1:5" x14ac:dyDescent="0.2">
      <c r="A424" s="1" t="s">
        <v>1</v>
      </c>
      <c r="B424" s="1" t="s">
        <v>60</v>
      </c>
      <c r="C424" s="5">
        <f>DATE(2025, 9, 24) + TIME(15, 55, 2)</f>
        <v>45924.663217592592</v>
      </c>
      <c r="D424" s="1" t="s">
        <v>356</v>
      </c>
      <c r="E424" s="1" t="s">
        <v>474</v>
      </c>
    </row>
    <row r="425" spans="1:5" x14ac:dyDescent="0.2">
      <c r="A425" s="1" t="s">
        <v>1</v>
      </c>
      <c r="B425" s="1" t="s">
        <v>60</v>
      </c>
      <c r="C425" s="5">
        <f>DATE(2025, 9, 24) + TIME(15, 19, 27)</f>
        <v>45924.638506944444</v>
      </c>
      <c r="D425" s="1" t="s">
        <v>65</v>
      </c>
      <c r="E425" s="1" t="s">
        <v>918</v>
      </c>
    </row>
    <row r="426" spans="1:5" x14ac:dyDescent="0.2">
      <c r="A426" s="1" t="s">
        <v>1</v>
      </c>
      <c r="B426" s="1" t="s">
        <v>60</v>
      </c>
      <c r="C426" s="5">
        <f>DATE(2025, 9, 24) + TIME(14, 27, 37)</f>
        <v>45924.602511574078</v>
      </c>
      <c r="D426" s="1" t="s">
        <v>356</v>
      </c>
      <c r="E426" s="1" t="s">
        <v>462</v>
      </c>
    </row>
    <row r="427" spans="1:5" x14ac:dyDescent="0.2">
      <c r="A427" s="1" t="s">
        <v>1</v>
      </c>
      <c r="B427" s="1" t="s">
        <v>60</v>
      </c>
      <c r="C427" s="5">
        <f>DATE(2025, 9, 24) + TIME(12, 45, 58)</f>
        <v>45924.531921296293</v>
      </c>
      <c r="D427" s="1" t="s">
        <v>216</v>
      </c>
      <c r="E427" s="1" t="s">
        <v>321</v>
      </c>
    </row>
    <row r="428" spans="1:5" x14ac:dyDescent="0.2">
      <c r="A428" s="1" t="s">
        <v>1</v>
      </c>
      <c r="B428" s="1" t="s">
        <v>60</v>
      </c>
      <c r="C428" s="5">
        <f>DATE(2025, 9, 24) + TIME(12, 15, 34)</f>
        <v>45924.510810185187</v>
      </c>
      <c r="D428" s="1" t="s">
        <v>396</v>
      </c>
      <c r="E428" s="1" t="s">
        <v>749</v>
      </c>
    </row>
    <row r="429" spans="1:5" x14ac:dyDescent="0.2">
      <c r="A429" s="1" t="s">
        <v>1</v>
      </c>
      <c r="B429" s="1" t="s">
        <v>60</v>
      </c>
      <c r="C429" s="5">
        <f>DATE(2025, 9, 24) + TIME(11, 29, 38)</f>
        <v>45924.478912037041</v>
      </c>
      <c r="D429" s="1" t="s">
        <v>64</v>
      </c>
      <c r="E429" s="1" t="s">
        <v>337</v>
      </c>
    </row>
    <row r="430" spans="1:5" x14ac:dyDescent="0.2">
      <c r="A430" s="1" t="s">
        <v>1</v>
      </c>
      <c r="B430" s="1" t="s">
        <v>60</v>
      </c>
      <c r="C430" s="5">
        <f>DATE(2025, 9, 23) + TIME(13, 47, 15)</f>
        <v>45923.574479166666</v>
      </c>
      <c r="D430" s="1" t="s">
        <v>863</v>
      </c>
      <c r="E430" s="1" t="s">
        <v>170</v>
      </c>
    </row>
    <row r="431" spans="1:5" x14ac:dyDescent="0.2">
      <c r="A431" s="1" t="s">
        <v>1</v>
      </c>
      <c r="B431" s="1" t="s">
        <v>60</v>
      </c>
      <c r="C431" s="5">
        <f>DATE(2025, 9, 23) + TIME(13, 31, 52)</f>
        <v>45923.563796296294</v>
      </c>
      <c r="D431" s="1" t="s">
        <v>65</v>
      </c>
      <c r="E431" s="1" t="s">
        <v>227</v>
      </c>
    </row>
    <row r="432" spans="1:5" x14ac:dyDescent="0.2">
      <c r="A432" s="1" t="s">
        <v>1</v>
      </c>
      <c r="B432" s="1" t="s">
        <v>60</v>
      </c>
      <c r="C432" s="5">
        <f>DATE(2025, 9, 23) + TIME(12, 47, 29)</f>
        <v>45923.53297453704</v>
      </c>
      <c r="D432" s="1" t="s">
        <v>320</v>
      </c>
      <c r="E432" s="1" t="s">
        <v>95</v>
      </c>
    </row>
    <row r="433" spans="1:5" x14ac:dyDescent="0.2">
      <c r="A433" s="1" t="s">
        <v>1</v>
      </c>
      <c r="B433" s="1" t="s">
        <v>60</v>
      </c>
      <c r="C433" s="5">
        <f>DATE(2025, 9, 22) + TIME(14, 58, 25)</f>
        <v>45922.623900462961</v>
      </c>
      <c r="D433" s="1" t="s">
        <v>216</v>
      </c>
      <c r="E433" s="1" t="s">
        <v>607</v>
      </c>
    </row>
    <row r="434" spans="1:5" x14ac:dyDescent="0.2">
      <c r="A434" s="1" t="s">
        <v>1</v>
      </c>
      <c r="B434" s="1" t="s">
        <v>323</v>
      </c>
      <c r="C434" s="5">
        <f>DATE(2025, 9, 22) + TIME(10, 1, 4)</f>
        <v>45922.417407407411</v>
      </c>
      <c r="D434" s="1" t="s">
        <v>566</v>
      </c>
      <c r="E434" s="1" t="s">
        <v>865</v>
      </c>
    </row>
    <row r="435" spans="1:5" x14ac:dyDescent="0.2">
      <c r="A435" s="1" t="s">
        <v>1</v>
      </c>
      <c r="B435" s="1" t="s">
        <v>60</v>
      </c>
      <c r="C435" s="5">
        <f>DATE(2025, 9, 18) + TIME(14, 38, 21)</f>
        <v>45918.609965277778</v>
      </c>
      <c r="D435" s="1" t="s">
        <v>566</v>
      </c>
      <c r="E435" s="1" t="s">
        <v>324</v>
      </c>
    </row>
    <row r="436" spans="1:5" x14ac:dyDescent="0.2">
      <c r="A436" s="1" t="s">
        <v>1</v>
      </c>
      <c r="B436" s="1" t="s">
        <v>323</v>
      </c>
      <c r="C436" s="5">
        <f>DATE(2025, 9, 18) + TIME(14, 37, 30)</f>
        <v>45918.609375</v>
      </c>
      <c r="D436" s="1" t="s">
        <v>754</v>
      </c>
      <c r="E436" s="1" t="s">
        <v>330</v>
      </c>
    </row>
    <row r="437" spans="1:5" x14ac:dyDescent="0.2">
      <c r="A437" s="1" t="s">
        <v>1</v>
      </c>
      <c r="B437" s="1" t="s">
        <v>60</v>
      </c>
      <c r="C437" s="5">
        <f>DATE(2025, 9, 18) + TIME(13, 22, 4)</f>
        <v>45918.556990740741</v>
      </c>
      <c r="D437" s="1" t="s">
        <v>396</v>
      </c>
      <c r="E437" s="1" t="s">
        <v>567</v>
      </c>
    </row>
    <row r="438" spans="1:5" x14ac:dyDescent="0.2">
      <c r="A438" s="1" t="s">
        <v>1</v>
      </c>
      <c r="B438" s="1" t="s">
        <v>60</v>
      </c>
      <c r="C438" s="5">
        <f>DATE(2025, 9, 18) + TIME(13, 21, 26)</f>
        <v>45918.556550925925</v>
      </c>
      <c r="D438" s="1" t="s">
        <v>566</v>
      </c>
      <c r="E438" s="1" t="s">
        <v>865</v>
      </c>
    </row>
    <row r="439" spans="1:5" x14ac:dyDescent="0.2">
      <c r="A439" s="1" t="s">
        <v>1</v>
      </c>
      <c r="B439" s="1" t="s">
        <v>60</v>
      </c>
      <c r="C439" s="5">
        <f>DATE(2025, 9, 18) + TIME(12, 16, 21)</f>
        <v>45918.511354166665</v>
      </c>
      <c r="D439" s="1" t="s">
        <v>921</v>
      </c>
      <c r="E439" s="1" t="s">
        <v>345</v>
      </c>
    </row>
    <row r="440" spans="1:5" x14ac:dyDescent="0.2">
      <c r="A440" s="1" t="s">
        <v>1</v>
      </c>
      <c r="B440" s="1" t="s">
        <v>60</v>
      </c>
      <c r="C440" s="5">
        <f>DATE(2025, 9, 18) + TIME(12, 3, 40)</f>
        <v>45918.502546296295</v>
      </c>
      <c r="D440" s="1" t="s">
        <v>921</v>
      </c>
      <c r="E440" s="1" t="s">
        <v>375</v>
      </c>
    </row>
    <row r="441" spans="1:5" x14ac:dyDescent="0.2">
      <c r="A441" s="1" t="s">
        <v>1</v>
      </c>
      <c r="B441" s="1" t="s">
        <v>60</v>
      </c>
      <c r="C441" s="5">
        <f>DATE(2025, 9, 18) + TIME(6, 5, 39)</f>
        <v>45918.253923611112</v>
      </c>
      <c r="D441" s="1" t="s">
        <v>640</v>
      </c>
      <c r="E441" s="1" t="s">
        <v>838</v>
      </c>
    </row>
    <row r="442" spans="1:5" x14ac:dyDescent="0.2">
      <c r="A442" s="1" t="s">
        <v>1</v>
      </c>
      <c r="B442" s="1" t="s">
        <v>60</v>
      </c>
      <c r="C442" s="5">
        <f>DATE(2025, 9, 17) + TIME(14, 44, 32)</f>
        <v>45917.614259259259</v>
      </c>
      <c r="D442" s="1" t="s">
        <v>64</v>
      </c>
      <c r="E442" s="1" t="s">
        <v>213</v>
      </c>
    </row>
    <row r="443" spans="1:5" x14ac:dyDescent="0.2">
      <c r="A443" s="1" t="s">
        <v>1</v>
      </c>
      <c r="B443" s="1" t="s">
        <v>60</v>
      </c>
      <c r="C443" s="5">
        <f>DATE(2025, 9, 17) + TIME(13, 22, 23)</f>
        <v>45917.557210648149</v>
      </c>
      <c r="D443" s="1" t="s">
        <v>396</v>
      </c>
      <c r="E443" s="1" t="s">
        <v>749</v>
      </c>
    </row>
    <row r="444" spans="1:5" x14ac:dyDescent="0.2">
      <c r="A444" s="1" t="s">
        <v>1</v>
      </c>
      <c r="B444" s="1" t="s">
        <v>60</v>
      </c>
      <c r="C444" s="5">
        <f>DATE(2025, 9, 17) + TIME(13, 20, 58)</f>
        <v>45917.556226851855</v>
      </c>
      <c r="D444" s="1" t="s">
        <v>638</v>
      </c>
      <c r="E444" s="1" t="s">
        <v>962</v>
      </c>
    </row>
    <row r="445" spans="1:5" x14ac:dyDescent="0.2">
      <c r="A445" s="1" t="s">
        <v>1</v>
      </c>
      <c r="B445" s="1" t="s">
        <v>60</v>
      </c>
      <c r="C445" s="5">
        <f>DATE(2025, 9, 17) + TIME(12, 47, 26)</f>
        <v>45917.532939814817</v>
      </c>
      <c r="D445" s="1" t="s">
        <v>65</v>
      </c>
      <c r="E445" s="1" t="s">
        <v>432</v>
      </c>
    </row>
    <row r="446" spans="1:5" x14ac:dyDescent="0.2">
      <c r="A446" s="1" t="s">
        <v>1</v>
      </c>
      <c r="B446" s="1" t="s">
        <v>866</v>
      </c>
      <c r="C446" s="5">
        <f>DATE(2025, 9, 17) + TIME(11, 25, 41)</f>
        <v>45917.476168981484</v>
      </c>
      <c r="D446" s="1" t="s">
        <v>506</v>
      </c>
      <c r="E446" s="1" t="s">
        <v>702</v>
      </c>
    </row>
    <row r="447" spans="1:5" x14ac:dyDescent="0.2">
      <c r="A447" s="1" t="s">
        <v>1</v>
      </c>
      <c r="B447" s="1" t="s">
        <v>866</v>
      </c>
      <c r="C447" s="5">
        <f>DATE(2025, 9, 17) + TIME(9, 46, 33)</f>
        <v>45917.407326388886</v>
      </c>
      <c r="D447" s="1" t="s">
        <v>754</v>
      </c>
      <c r="E447" s="1" t="s">
        <v>760</v>
      </c>
    </row>
    <row r="448" spans="1:5" x14ac:dyDescent="0.2">
      <c r="A448" s="1" t="s">
        <v>1</v>
      </c>
      <c r="B448" s="1" t="s">
        <v>866</v>
      </c>
      <c r="C448" s="5">
        <f>DATE(2025, 9, 16) + TIME(16, 5, 46)</f>
        <v>45916.670671296299</v>
      </c>
      <c r="D448" s="1" t="s">
        <v>506</v>
      </c>
      <c r="E448" s="1" t="s">
        <v>83</v>
      </c>
    </row>
    <row r="449" spans="1:5" x14ac:dyDescent="0.2">
      <c r="A449" s="1" t="s">
        <v>1</v>
      </c>
      <c r="B449" s="1" t="s">
        <v>60</v>
      </c>
      <c r="C449" s="5">
        <f>DATE(2025, 9, 16) + TIME(13, 36, 0)</f>
        <v>45916.566666666666</v>
      </c>
      <c r="D449" s="1" t="s">
        <v>3</v>
      </c>
      <c r="E449" s="1" t="s">
        <v>571</v>
      </c>
    </row>
    <row r="450" spans="1:5" x14ac:dyDescent="0.2">
      <c r="A450" s="1" t="s">
        <v>1</v>
      </c>
      <c r="B450" s="1" t="s">
        <v>60</v>
      </c>
      <c r="C450" s="5">
        <f>DATE(2025, 9, 16) + TIME(11, 34, 47)</f>
        <v>45916.482488425929</v>
      </c>
      <c r="D450" s="1" t="s">
        <v>65</v>
      </c>
      <c r="E450" s="1" t="s">
        <v>111</v>
      </c>
    </row>
    <row r="451" spans="1:5" x14ac:dyDescent="0.2">
      <c r="A451" s="1" t="s">
        <v>1</v>
      </c>
      <c r="B451" s="1" t="s">
        <v>60</v>
      </c>
      <c r="C451" s="5">
        <f>DATE(2025, 9, 16) + TIME(10, 57, 13)</f>
        <v>45916.456400462965</v>
      </c>
      <c r="D451" s="1" t="s">
        <v>869</v>
      </c>
      <c r="E451" s="1" t="s">
        <v>275</v>
      </c>
    </row>
    <row r="452" spans="1:5" x14ac:dyDescent="0.2">
      <c r="A452" s="1" t="s">
        <v>1</v>
      </c>
      <c r="B452" s="1" t="s">
        <v>60</v>
      </c>
      <c r="C452" s="5">
        <f>DATE(2025, 9, 15) + TIME(15, 23, 59)</f>
        <v>45915.641655092593</v>
      </c>
      <c r="D452" s="1" t="s">
        <v>563</v>
      </c>
      <c r="E452" s="1" t="s">
        <v>935</v>
      </c>
    </row>
    <row r="453" spans="1:5" x14ac:dyDescent="0.2">
      <c r="A453" s="1" t="s">
        <v>1</v>
      </c>
      <c r="B453" s="1" t="s">
        <v>60</v>
      </c>
      <c r="C453" s="5">
        <f>DATE(2025, 9, 15) + TIME(15, 9, 3)</f>
        <v>45915.631284722222</v>
      </c>
      <c r="D453" s="1" t="s">
        <v>566</v>
      </c>
      <c r="E453" s="1" t="s">
        <v>865</v>
      </c>
    </row>
    <row r="454" spans="1:5" x14ac:dyDescent="0.2">
      <c r="A454" s="1" t="s">
        <v>1</v>
      </c>
      <c r="B454" s="1" t="s">
        <v>323</v>
      </c>
      <c r="C454" s="5">
        <f>DATE(2025, 9, 15) + TIME(13, 37, 26)</f>
        <v>45915.567662037036</v>
      </c>
      <c r="D454" s="1" t="s">
        <v>269</v>
      </c>
      <c r="E454" s="1" t="s">
        <v>273</v>
      </c>
    </row>
    <row r="455" spans="1:5" x14ac:dyDescent="0.2">
      <c r="A455" s="1" t="s">
        <v>1</v>
      </c>
      <c r="B455" s="1" t="s">
        <v>60</v>
      </c>
      <c r="C455" s="5">
        <f>DATE(2025, 9, 15) + TIME(12, 24, 24)</f>
        <v>45915.516944444447</v>
      </c>
      <c r="D455" s="1" t="s">
        <v>921</v>
      </c>
      <c r="E455" s="1" t="s">
        <v>573</v>
      </c>
    </row>
    <row r="456" spans="1:5" x14ac:dyDescent="0.2">
      <c r="A456" s="1" t="s">
        <v>1</v>
      </c>
      <c r="B456" s="1" t="s">
        <v>60</v>
      </c>
      <c r="C456" s="5">
        <f>DATE(2025, 9, 15) + TIME(12, 15, 1)</f>
        <v>45915.510428240741</v>
      </c>
      <c r="D456" s="1" t="s">
        <v>754</v>
      </c>
      <c r="E456" s="1" t="s">
        <v>245</v>
      </c>
    </row>
    <row r="457" spans="1:5" x14ac:dyDescent="0.2">
      <c r="A457" s="1" t="s">
        <v>1</v>
      </c>
      <c r="B457" s="1" t="s">
        <v>60</v>
      </c>
      <c r="C457" s="5">
        <f>DATE(2025, 9, 15) + TIME(11, 32, 57)</f>
        <v>45915.481215277781</v>
      </c>
      <c r="D457" s="1" t="s">
        <v>3</v>
      </c>
      <c r="E457" s="1" t="s">
        <v>168</v>
      </c>
    </row>
    <row r="458" spans="1:5" x14ac:dyDescent="0.2">
      <c r="A458" s="1" t="s">
        <v>1</v>
      </c>
      <c r="B458" s="1" t="s">
        <v>60</v>
      </c>
      <c r="C458" s="5">
        <f>DATE(2025, 9, 15) + TIME(11, 26, 45)</f>
        <v>45915.476909722223</v>
      </c>
      <c r="D458" s="1" t="s">
        <v>921</v>
      </c>
      <c r="E458" s="1" t="s">
        <v>345</v>
      </c>
    </row>
    <row r="459" spans="1:5" x14ac:dyDescent="0.2">
      <c r="A459" s="1" t="s">
        <v>1</v>
      </c>
      <c r="B459" s="1" t="s">
        <v>564</v>
      </c>
      <c r="C459" s="5">
        <f>DATE(2025, 9, 10) + TIME(14, 39, 22)</f>
        <v>45910.610671296294</v>
      </c>
      <c r="D459" s="1" t="s">
        <v>320</v>
      </c>
      <c r="E459" s="1" t="s">
        <v>565</v>
      </c>
    </row>
    <row r="460" spans="1:5" x14ac:dyDescent="0.2">
      <c r="A460" s="1" t="s">
        <v>1</v>
      </c>
      <c r="B460" s="1" t="s">
        <v>564</v>
      </c>
      <c r="C460" s="5">
        <f>DATE(2025, 9, 10) + TIME(13, 59, 36)</f>
        <v>45910.583055555559</v>
      </c>
      <c r="D460" s="1" t="s">
        <v>320</v>
      </c>
      <c r="E460" s="1" t="s">
        <v>2</v>
      </c>
    </row>
    <row r="461" spans="1:5" x14ac:dyDescent="0.2">
      <c r="A461" s="1" t="s">
        <v>1</v>
      </c>
      <c r="B461" s="1" t="s">
        <v>60</v>
      </c>
      <c r="C461" s="5">
        <f>DATE(2025, 9, 10) + TIME(12, 35, 30)</f>
        <v>45910.524652777778</v>
      </c>
      <c r="D461" s="1" t="s">
        <v>566</v>
      </c>
      <c r="E461" s="1" t="s">
        <v>865</v>
      </c>
    </row>
    <row r="462" spans="1:5" x14ac:dyDescent="0.2">
      <c r="A462" s="1" t="s">
        <v>1</v>
      </c>
      <c r="B462" s="1" t="s">
        <v>60</v>
      </c>
      <c r="C462" s="5">
        <f>DATE(2025, 9, 10) + TIME(11, 47, 56)</f>
        <v>45910.491620370369</v>
      </c>
      <c r="D462" s="1" t="s">
        <v>269</v>
      </c>
      <c r="E462" s="1" t="s">
        <v>461</v>
      </c>
    </row>
    <row r="463" spans="1:5" x14ac:dyDescent="0.2">
      <c r="A463" s="1" t="s">
        <v>1</v>
      </c>
      <c r="B463" s="1" t="s">
        <v>564</v>
      </c>
      <c r="C463" s="5">
        <f>DATE(2025, 9, 10) + TIME(11, 37, 27)</f>
        <v>45910.484340277777</v>
      </c>
      <c r="D463" s="1" t="s">
        <v>320</v>
      </c>
      <c r="E463" s="1" t="s">
        <v>698</v>
      </c>
    </row>
    <row r="464" spans="1:5" x14ac:dyDescent="0.2">
      <c r="A464" s="1" t="s">
        <v>1</v>
      </c>
      <c r="B464" s="1" t="s">
        <v>927</v>
      </c>
      <c r="C464" s="5">
        <f>DATE(2025, 9, 9) + TIME(14, 20, 15)</f>
        <v>45909.597395833334</v>
      </c>
      <c r="D464" s="1" t="s">
        <v>216</v>
      </c>
      <c r="E464" s="1" t="s">
        <v>519</v>
      </c>
    </row>
    <row r="465" spans="1:5" x14ac:dyDescent="0.2">
      <c r="A465" s="1" t="s">
        <v>1</v>
      </c>
      <c r="B465" s="1" t="s">
        <v>60</v>
      </c>
      <c r="C465" s="5">
        <f>DATE(2025, 9, 9) + TIME(12, 56, 56)</f>
        <v>45909.539537037039</v>
      </c>
      <c r="D465" s="1" t="s">
        <v>467</v>
      </c>
      <c r="E465" s="1" t="s">
        <v>143</v>
      </c>
    </row>
    <row r="466" spans="1:5" x14ac:dyDescent="0.2">
      <c r="A466" s="1" t="s">
        <v>1</v>
      </c>
      <c r="B466" s="1" t="s">
        <v>60</v>
      </c>
      <c r="C466" s="5">
        <f>DATE(2025, 9, 9) + TIME(11, 48, 10)</f>
        <v>45909.491782407407</v>
      </c>
      <c r="D466" s="1" t="s">
        <v>216</v>
      </c>
      <c r="E466" s="1" t="s">
        <v>410</v>
      </c>
    </row>
    <row r="467" spans="1:5" x14ac:dyDescent="0.2">
      <c r="A467" s="1" t="s">
        <v>1</v>
      </c>
      <c r="B467" s="1" t="s">
        <v>60</v>
      </c>
      <c r="C467" s="5">
        <f>DATE(2025, 9, 9) + TIME(11, 48, 10)</f>
        <v>45909.491782407407</v>
      </c>
      <c r="D467" s="1" t="s">
        <v>216</v>
      </c>
      <c r="E467" s="1" t="s">
        <v>321</v>
      </c>
    </row>
    <row r="468" spans="1:5" x14ac:dyDescent="0.2">
      <c r="A468" s="1" t="s">
        <v>1</v>
      </c>
      <c r="B468" s="1" t="s">
        <v>60</v>
      </c>
      <c r="C468" s="5">
        <f>DATE(2025, 9, 9) + TIME(11, 20, 50)</f>
        <v>45909.472800925927</v>
      </c>
      <c r="D468" s="1" t="s">
        <v>216</v>
      </c>
      <c r="E468" s="1" t="s">
        <v>321</v>
      </c>
    </row>
    <row r="469" spans="1:5" x14ac:dyDescent="0.2">
      <c r="A469" s="1" t="s">
        <v>1</v>
      </c>
      <c r="B469" s="1" t="s">
        <v>866</v>
      </c>
      <c r="C469" s="5">
        <f>DATE(2025, 9, 9) + TIME(9, 25, 45)</f>
        <v>45909.392881944441</v>
      </c>
      <c r="D469" s="1" t="s">
        <v>869</v>
      </c>
      <c r="E469" s="1" t="s">
        <v>275</v>
      </c>
    </row>
    <row r="470" spans="1:5" x14ac:dyDescent="0.2">
      <c r="A470" s="1" t="s">
        <v>1</v>
      </c>
      <c r="B470" s="1" t="s">
        <v>60</v>
      </c>
      <c r="C470" s="5">
        <f>DATE(2025, 9, 8) + TIME(15, 28, 9)</f>
        <v>45908.644548611112</v>
      </c>
      <c r="D470" s="1" t="s">
        <v>120</v>
      </c>
      <c r="E470" s="1" t="s">
        <v>619</v>
      </c>
    </row>
    <row r="471" spans="1:5" x14ac:dyDescent="0.2">
      <c r="A471" s="1" t="s">
        <v>1</v>
      </c>
      <c r="B471" s="1" t="s">
        <v>60</v>
      </c>
      <c r="C471" s="5">
        <f>DATE(2025, 9, 8) + TIME(15, 17, 41)</f>
        <v>45908.637280092589</v>
      </c>
      <c r="D471" s="1" t="s">
        <v>144</v>
      </c>
      <c r="E471" s="1" t="s">
        <v>695</v>
      </c>
    </row>
    <row r="472" spans="1:5" x14ac:dyDescent="0.2">
      <c r="A472" s="1" t="s">
        <v>1</v>
      </c>
      <c r="B472" s="1" t="s">
        <v>60</v>
      </c>
      <c r="C472" s="5">
        <f>DATE(2025, 9, 8) + TIME(14, 20, 52)</f>
        <v>45908.597824074073</v>
      </c>
      <c r="D472" s="1" t="s">
        <v>921</v>
      </c>
      <c r="E472" s="1" t="s">
        <v>573</v>
      </c>
    </row>
    <row r="473" spans="1:5" x14ac:dyDescent="0.2">
      <c r="A473" s="1" t="s">
        <v>1</v>
      </c>
      <c r="B473" s="1" t="s">
        <v>60</v>
      </c>
      <c r="C473" s="5">
        <f>DATE(2025, 9, 8) + TIME(13, 48, 45)</f>
        <v>45908.575520833336</v>
      </c>
      <c r="D473" s="1" t="s">
        <v>566</v>
      </c>
      <c r="E473" s="1" t="s">
        <v>865</v>
      </c>
    </row>
    <row r="474" spans="1:5" x14ac:dyDescent="0.2">
      <c r="A474" s="1" t="s">
        <v>1</v>
      </c>
      <c r="B474" s="1" t="s">
        <v>60</v>
      </c>
      <c r="C474" s="5">
        <f>DATE(2025, 9, 8) + TIME(12, 27, 52)</f>
        <v>45908.51935185185</v>
      </c>
      <c r="D474" s="1" t="s">
        <v>576</v>
      </c>
      <c r="E474" s="1" t="s">
        <v>812</v>
      </c>
    </row>
    <row r="475" spans="1:5" x14ac:dyDescent="0.2">
      <c r="A475" s="1" t="s">
        <v>1</v>
      </c>
      <c r="B475" s="1" t="s">
        <v>927</v>
      </c>
      <c r="C475" s="5">
        <f>DATE(2025, 9, 8) + TIME(12, 27, 52)</f>
        <v>45908.51935185185</v>
      </c>
      <c r="D475" s="1" t="s">
        <v>576</v>
      </c>
      <c r="E475" s="1" t="s">
        <v>812</v>
      </c>
    </row>
    <row r="476" spans="1:5" x14ac:dyDescent="0.2">
      <c r="A476" s="1" t="s">
        <v>1</v>
      </c>
      <c r="B476" s="1" t="s">
        <v>60</v>
      </c>
      <c r="C476" s="5">
        <f>DATE(2025, 9, 8) + TIME(11, 45, 10)</f>
        <v>45908.489699074074</v>
      </c>
      <c r="D476" s="1" t="s">
        <v>65</v>
      </c>
      <c r="E476" s="1" t="s">
        <v>152</v>
      </c>
    </row>
    <row r="477" spans="1:5" x14ac:dyDescent="0.2">
      <c r="A477" s="1" t="s">
        <v>1</v>
      </c>
      <c r="B477" s="1" t="s">
        <v>60</v>
      </c>
      <c r="C477" s="5">
        <f>DATE(2025, 9, 8) + TIME(10, 7, 55)</f>
        <v>45908.422164351854</v>
      </c>
      <c r="D477" s="1" t="s">
        <v>3</v>
      </c>
      <c r="E477" s="1" t="s">
        <v>168</v>
      </c>
    </row>
    <row r="478" spans="1:5" x14ac:dyDescent="0.2">
      <c r="A478" s="1" t="s">
        <v>1</v>
      </c>
      <c r="B478" s="1" t="s">
        <v>60</v>
      </c>
      <c r="C478" s="5">
        <f>DATE(2025, 9, 7) + TIME(11, 29, 21)</f>
        <v>45907.478715277779</v>
      </c>
      <c r="D478" s="1" t="s">
        <v>64</v>
      </c>
      <c r="E478" s="1" t="s">
        <v>220</v>
      </c>
    </row>
    <row r="479" spans="1:5" x14ac:dyDescent="0.2">
      <c r="A479" s="1" t="s">
        <v>1</v>
      </c>
      <c r="B479" s="1" t="s">
        <v>60</v>
      </c>
      <c r="C479" s="5">
        <f>DATE(2025, 9, 5) + TIME(12, 47, 6)</f>
        <v>45905.532708333332</v>
      </c>
      <c r="D479" s="1" t="s">
        <v>65</v>
      </c>
      <c r="E479" s="1" t="s">
        <v>400</v>
      </c>
    </row>
    <row r="480" spans="1:5" x14ac:dyDescent="0.2">
      <c r="A480" s="1" t="s">
        <v>1</v>
      </c>
      <c r="B480" s="1" t="s">
        <v>60</v>
      </c>
      <c r="C480" s="5">
        <f>DATE(2025, 9, 4) + TIME(16, 0, 42)</f>
        <v>45904.66715277778</v>
      </c>
      <c r="D480" s="1" t="s">
        <v>269</v>
      </c>
      <c r="E480" s="1" t="s">
        <v>461</v>
      </c>
    </row>
    <row r="481" spans="1:5" x14ac:dyDescent="0.2">
      <c r="A481" s="1" t="s">
        <v>1</v>
      </c>
      <c r="B481" s="1" t="s">
        <v>866</v>
      </c>
      <c r="C481" s="5">
        <f>DATE(2025, 9, 4) + TIME(15, 41, 36)</f>
        <v>45904.65388888889</v>
      </c>
      <c r="D481" s="1" t="s">
        <v>269</v>
      </c>
      <c r="E481" s="1" t="s">
        <v>883</v>
      </c>
    </row>
    <row r="482" spans="1:5" x14ac:dyDescent="0.2">
      <c r="A482" s="1" t="s">
        <v>1</v>
      </c>
      <c r="B482" s="1" t="s">
        <v>866</v>
      </c>
      <c r="C482" s="5">
        <f>DATE(2025, 9, 4) + TIME(14, 56, 17)</f>
        <v>45904.622418981482</v>
      </c>
      <c r="D482" s="1" t="s">
        <v>396</v>
      </c>
      <c r="E482" s="1" t="s">
        <v>140</v>
      </c>
    </row>
    <row r="483" spans="1:5" x14ac:dyDescent="0.2">
      <c r="A483" s="1" t="s">
        <v>1</v>
      </c>
      <c r="B483" s="1" t="s">
        <v>60</v>
      </c>
      <c r="C483" s="5">
        <f>DATE(2025, 9, 4) + TIME(13, 55, 37)</f>
        <v>45904.580289351848</v>
      </c>
      <c r="D483" s="1" t="s">
        <v>566</v>
      </c>
      <c r="E483" s="1" t="s">
        <v>865</v>
      </c>
    </row>
    <row r="484" spans="1:5" x14ac:dyDescent="0.2">
      <c r="A484" s="1" t="s">
        <v>1</v>
      </c>
      <c r="B484" s="1" t="s">
        <v>866</v>
      </c>
      <c r="C484" s="5">
        <f>DATE(2025, 9, 4) + TIME(13, 17, 46)</f>
        <v>45904.55400462963</v>
      </c>
      <c r="D484" s="1" t="s">
        <v>506</v>
      </c>
      <c r="E484" s="1" t="s">
        <v>709</v>
      </c>
    </row>
    <row r="485" spans="1:5" x14ac:dyDescent="0.2">
      <c r="A485" s="1" t="s">
        <v>1</v>
      </c>
      <c r="B485" s="1" t="s">
        <v>866</v>
      </c>
      <c r="C485" s="5">
        <f>DATE(2025, 9, 4) + TIME(13, 14, 41)</f>
        <v>45904.551863425928</v>
      </c>
      <c r="D485" s="1" t="s">
        <v>576</v>
      </c>
      <c r="E485" s="1" t="s">
        <v>763</v>
      </c>
    </row>
    <row r="486" spans="1:5" x14ac:dyDescent="0.2">
      <c r="A486" s="1" t="s">
        <v>1</v>
      </c>
      <c r="B486" s="1" t="s">
        <v>60</v>
      </c>
      <c r="C486" s="5">
        <f>DATE(2025, 9, 4) + TIME(13, 1, 36)</f>
        <v>45904.54277777778</v>
      </c>
      <c r="D486" s="1" t="s">
        <v>640</v>
      </c>
      <c r="E486" s="1" t="s">
        <v>520</v>
      </c>
    </row>
    <row r="487" spans="1:5" x14ac:dyDescent="0.2">
      <c r="A487" s="1" t="s">
        <v>1</v>
      </c>
      <c r="B487" s="1" t="s">
        <v>60</v>
      </c>
      <c r="C487" s="5">
        <f>DATE(2025, 9, 4) + TIME(11, 46, 41)</f>
        <v>45904.490752314814</v>
      </c>
      <c r="D487" s="1" t="s">
        <v>216</v>
      </c>
      <c r="E487" s="1" t="s">
        <v>372</v>
      </c>
    </row>
    <row r="488" spans="1:5" x14ac:dyDescent="0.2">
      <c r="A488" s="1" t="s">
        <v>1</v>
      </c>
      <c r="B488" s="1" t="s">
        <v>60</v>
      </c>
      <c r="C488" s="5">
        <f>DATE(2025, 9, 4) + TIME(11, 34, 24)</f>
        <v>45904.482222222221</v>
      </c>
      <c r="D488" s="1" t="s">
        <v>921</v>
      </c>
      <c r="E488" s="1" t="s">
        <v>691</v>
      </c>
    </row>
    <row r="489" spans="1:5" x14ac:dyDescent="0.2">
      <c r="A489" s="1" t="s">
        <v>1</v>
      </c>
      <c r="B489" s="1" t="s">
        <v>60</v>
      </c>
      <c r="C489" s="5">
        <f>DATE(2025, 9, 4) + TIME(11, 34, 7)</f>
        <v>45904.482025462959</v>
      </c>
      <c r="D489" s="1" t="s">
        <v>216</v>
      </c>
      <c r="E489" s="1" t="s">
        <v>466</v>
      </c>
    </row>
    <row r="490" spans="1:5" x14ac:dyDescent="0.2">
      <c r="A490" s="1" t="s">
        <v>1</v>
      </c>
      <c r="B490" s="1" t="s">
        <v>60</v>
      </c>
      <c r="C490" s="5">
        <f>DATE(2025, 9, 4) + TIME(10, 38, 51)</f>
        <v>45904.443645833337</v>
      </c>
      <c r="D490" s="1" t="s">
        <v>459</v>
      </c>
      <c r="E490" s="1" t="s">
        <v>574</v>
      </c>
    </row>
    <row r="491" spans="1:5" x14ac:dyDescent="0.2">
      <c r="A491" s="1" t="s">
        <v>1</v>
      </c>
      <c r="B491" s="1" t="s">
        <v>866</v>
      </c>
      <c r="C491" s="5">
        <f>DATE(2025, 9, 3) + TIME(14, 42, 21)</f>
        <v>45903.612743055557</v>
      </c>
      <c r="D491" s="1" t="s">
        <v>506</v>
      </c>
      <c r="E491" s="1" t="s">
        <v>6</v>
      </c>
    </row>
    <row r="492" spans="1:5" x14ac:dyDescent="0.2">
      <c r="A492" s="1" t="s">
        <v>1</v>
      </c>
      <c r="B492" s="1" t="s">
        <v>866</v>
      </c>
      <c r="C492" s="5">
        <f>DATE(2025, 9, 3) + TIME(14, 29, 23)</f>
        <v>45903.603738425925</v>
      </c>
      <c r="D492" s="1" t="s">
        <v>396</v>
      </c>
      <c r="E492" s="1" t="s">
        <v>256</v>
      </c>
    </row>
    <row r="493" spans="1:5" x14ac:dyDescent="0.2">
      <c r="A493" s="1" t="s">
        <v>1</v>
      </c>
      <c r="B493" s="1" t="s">
        <v>60</v>
      </c>
      <c r="C493" s="5">
        <f>DATE(2025, 9, 3) + TIME(14, 9, 31)</f>
        <v>45903.589942129627</v>
      </c>
      <c r="D493" s="1" t="s">
        <v>320</v>
      </c>
      <c r="E493" s="1" t="s">
        <v>565</v>
      </c>
    </row>
    <row r="494" spans="1:5" x14ac:dyDescent="0.2">
      <c r="A494" s="1" t="s">
        <v>1</v>
      </c>
      <c r="B494" s="1" t="s">
        <v>60</v>
      </c>
      <c r="C494" s="5">
        <f>DATE(2025, 9, 3) + TIME(13, 43, 18)</f>
        <v>45903.571736111109</v>
      </c>
      <c r="D494" s="1" t="s">
        <v>396</v>
      </c>
      <c r="E494" s="1" t="s">
        <v>547</v>
      </c>
    </row>
    <row r="495" spans="1:5" x14ac:dyDescent="0.2">
      <c r="A495" s="1" t="s">
        <v>1</v>
      </c>
      <c r="B495" s="1" t="s">
        <v>60</v>
      </c>
      <c r="C495" s="5">
        <f>DATE(2025, 9, 3) + TIME(12, 33, 18)</f>
        <v>45903.523125</v>
      </c>
      <c r="D495" s="1" t="s">
        <v>396</v>
      </c>
      <c r="E495" s="1" t="s">
        <v>749</v>
      </c>
    </row>
    <row r="496" spans="1:5" x14ac:dyDescent="0.2">
      <c r="A496" s="1" t="s">
        <v>1</v>
      </c>
      <c r="B496" s="1" t="s">
        <v>60</v>
      </c>
      <c r="C496" s="5">
        <f>DATE(2025, 9, 3) + TIME(12, 19, 19)</f>
        <v>45903.513414351852</v>
      </c>
      <c r="D496" s="1" t="s">
        <v>320</v>
      </c>
      <c r="E496" s="1" t="s">
        <v>2</v>
      </c>
    </row>
    <row r="497" spans="1:5" x14ac:dyDescent="0.2">
      <c r="A497" s="1" t="s">
        <v>1</v>
      </c>
      <c r="B497" s="1" t="s">
        <v>60</v>
      </c>
      <c r="C497" s="5">
        <f>DATE(2025, 9, 3) + TIME(11, 31, 4)</f>
        <v>45903.479907407411</v>
      </c>
      <c r="D497" s="1" t="s">
        <v>64</v>
      </c>
      <c r="E497" s="1" t="s">
        <v>403</v>
      </c>
    </row>
    <row r="498" spans="1:5" x14ac:dyDescent="0.2">
      <c r="A498" s="1" t="s">
        <v>1</v>
      </c>
      <c r="B498" s="1" t="s">
        <v>60</v>
      </c>
      <c r="C498" s="5">
        <f>DATE(2025, 9, 3) + TIME(11, 27, 12)</f>
        <v>45903.477222222224</v>
      </c>
      <c r="D498" s="1" t="s">
        <v>216</v>
      </c>
      <c r="E498" s="1" t="s">
        <v>410</v>
      </c>
    </row>
    <row r="499" spans="1:5" x14ac:dyDescent="0.2">
      <c r="A499" s="1" t="s">
        <v>1</v>
      </c>
      <c r="B499" s="1" t="s">
        <v>927</v>
      </c>
      <c r="C499" s="5">
        <f>DATE(2025, 9, 3) + TIME(11, 21, 47)</f>
        <v>45903.473460648151</v>
      </c>
      <c r="D499" s="1" t="s">
        <v>506</v>
      </c>
      <c r="E499" s="1" t="s">
        <v>712</v>
      </c>
    </row>
    <row r="500" spans="1:5" x14ac:dyDescent="0.2">
      <c r="A500" s="1" t="s">
        <v>1</v>
      </c>
      <c r="B500" s="1" t="s">
        <v>60</v>
      </c>
      <c r="C500" s="5">
        <f>DATE(2025, 9, 3) + TIME(11, 20, 35)</f>
        <v>45903.472627314812</v>
      </c>
      <c r="D500" s="1" t="s">
        <v>396</v>
      </c>
      <c r="E500" s="1" t="s">
        <v>507</v>
      </c>
    </row>
    <row r="501" spans="1:5" x14ac:dyDescent="0.2">
      <c r="A501" s="1" t="s">
        <v>1</v>
      </c>
      <c r="B501" s="1" t="s">
        <v>60</v>
      </c>
      <c r="C501" s="5">
        <f>DATE(2025, 9, 2) + TIME(15, 50, 32)</f>
        <v>45902.660092592596</v>
      </c>
      <c r="D501" s="1" t="s">
        <v>216</v>
      </c>
      <c r="E501" s="1" t="s">
        <v>101</v>
      </c>
    </row>
    <row r="502" spans="1:5" x14ac:dyDescent="0.2">
      <c r="A502" s="1" t="s">
        <v>1</v>
      </c>
      <c r="B502" s="1" t="s">
        <v>866</v>
      </c>
      <c r="C502" s="5">
        <f>DATE(2025, 9, 2) + TIME(15, 5, 57)</f>
        <v>45902.629131944443</v>
      </c>
      <c r="D502" s="1" t="s">
        <v>506</v>
      </c>
      <c r="E502" s="1" t="s">
        <v>83</v>
      </c>
    </row>
    <row r="503" spans="1:5" x14ac:dyDescent="0.2">
      <c r="A503" s="1" t="s">
        <v>1</v>
      </c>
      <c r="B503" s="1" t="s">
        <v>60</v>
      </c>
      <c r="C503" s="5">
        <f>DATE(2025, 9, 2) + TIME(12, 23, 35)</f>
        <v>45902.516377314816</v>
      </c>
      <c r="D503" s="1" t="s">
        <v>869</v>
      </c>
      <c r="E503" s="1" t="s">
        <v>275</v>
      </c>
    </row>
    <row r="504" spans="1:5" x14ac:dyDescent="0.2">
      <c r="A504" s="1" t="s">
        <v>1</v>
      </c>
      <c r="B504" s="1" t="s">
        <v>564</v>
      </c>
      <c r="C504" s="5">
        <f>DATE(2025, 9, 2) + TIME(12, 2, 21)</f>
        <v>45902.501631944448</v>
      </c>
      <c r="D504" s="1" t="s">
        <v>320</v>
      </c>
      <c r="E504" s="1" t="s">
        <v>95</v>
      </c>
    </row>
    <row r="505" spans="1:5" x14ac:dyDescent="0.2">
      <c r="A505" s="1" t="s">
        <v>1</v>
      </c>
      <c r="B505" s="1" t="s">
        <v>60</v>
      </c>
      <c r="C505" s="5">
        <f>DATE(2025, 9, 1) + TIME(14, 19, 10)</f>
        <v>45901.596643518518</v>
      </c>
      <c r="D505" s="1" t="s">
        <v>216</v>
      </c>
      <c r="E505" s="1" t="s">
        <v>607</v>
      </c>
    </row>
    <row r="506" spans="1:5" x14ac:dyDescent="0.2">
      <c r="A506" s="1" t="s">
        <v>1</v>
      </c>
      <c r="B506" s="1" t="s">
        <v>60</v>
      </c>
      <c r="C506" s="5">
        <f>DATE(2025, 9, 1) + TIME(13, 45, 34)</f>
        <v>45901.573310185187</v>
      </c>
      <c r="D506" s="1" t="s">
        <v>144</v>
      </c>
      <c r="E506" s="1" t="s">
        <v>695</v>
      </c>
    </row>
    <row r="507" spans="1:5" x14ac:dyDescent="0.2">
      <c r="A507" s="1" t="s">
        <v>1</v>
      </c>
      <c r="B507" s="1" t="s">
        <v>60</v>
      </c>
      <c r="C507" s="5">
        <f>DATE(2025, 9, 1) + TIME(13, 6, 50)</f>
        <v>45901.546412037038</v>
      </c>
      <c r="D507" s="1" t="s">
        <v>921</v>
      </c>
      <c r="E507" s="1" t="s">
        <v>573</v>
      </c>
    </row>
    <row r="508" spans="1:5" x14ac:dyDescent="0.2">
      <c r="A508" s="1" t="s">
        <v>1</v>
      </c>
      <c r="B508" s="1" t="s">
        <v>60</v>
      </c>
      <c r="C508" s="5">
        <f>DATE(2025, 9, 1) + TIME(12, 1, 56)</f>
        <v>45901.501342592594</v>
      </c>
      <c r="D508" s="1" t="s">
        <v>65</v>
      </c>
      <c r="E508" s="1" t="s">
        <v>400</v>
      </c>
    </row>
    <row r="509" spans="1:5" x14ac:dyDescent="0.2">
      <c r="A509" s="1" t="s">
        <v>1</v>
      </c>
      <c r="B509" s="1" t="s">
        <v>60</v>
      </c>
      <c r="C509" s="5">
        <f>DATE(2025, 9, 1) + TIME(10, 45, 14)</f>
        <v>45901.448078703703</v>
      </c>
      <c r="D509" s="1" t="s">
        <v>65</v>
      </c>
      <c r="E509" s="1" t="s">
        <v>219</v>
      </c>
    </row>
    <row r="510" spans="1:5" x14ac:dyDescent="0.2">
      <c r="A510" s="1" t="s">
        <v>1</v>
      </c>
      <c r="B510" s="1" t="s">
        <v>60</v>
      </c>
      <c r="C510" s="5">
        <f>DATE(2025, 8, 28) + TIME(15, 10, 13)</f>
        <v>45897.632094907407</v>
      </c>
      <c r="D510" s="1" t="s">
        <v>638</v>
      </c>
      <c r="E510" s="1" t="s">
        <v>901</v>
      </c>
    </row>
    <row r="511" spans="1:5" x14ac:dyDescent="0.2">
      <c r="A511" s="1" t="s">
        <v>1</v>
      </c>
      <c r="B511" s="1" t="s">
        <v>60</v>
      </c>
      <c r="C511" s="5">
        <f>DATE(2025, 8, 28) + TIME(15, 0, 53)</f>
        <v>45897.625613425924</v>
      </c>
      <c r="D511" s="1" t="s">
        <v>341</v>
      </c>
      <c r="E511" s="1" t="s">
        <v>340</v>
      </c>
    </row>
    <row r="512" spans="1:5" x14ac:dyDescent="0.2">
      <c r="A512" s="1" t="s">
        <v>1</v>
      </c>
      <c r="B512" s="1" t="s">
        <v>60</v>
      </c>
      <c r="C512" s="5">
        <f>DATE(2025, 8, 28) + TIME(14, 45, 44)</f>
        <v>45897.61509259259</v>
      </c>
      <c r="D512" s="1" t="s">
        <v>269</v>
      </c>
      <c r="E512" s="1" t="s">
        <v>299</v>
      </c>
    </row>
    <row r="513" spans="1:5" x14ac:dyDescent="0.2">
      <c r="A513" s="1" t="s">
        <v>1</v>
      </c>
      <c r="B513" s="1" t="s">
        <v>60</v>
      </c>
      <c r="C513" s="5">
        <f>DATE(2025, 8, 28) + TIME(14, 1, 25)</f>
        <v>45897.584317129629</v>
      </c>
      <c r="D513" s="1" t="s">
        <v>638</v>
      </c>
      <c r="E513" s="1" t="s">
        <v>157</v>
      </c>
    </row>
    <row r="514" spans="1:5" x14ac:dyDescent="0.2">
      <c r="A514" s="1" t="s">
        <v>1</v>
      </c>
      <c r="B514" s="1" t="s">
        <v>60</v>
      </c>
      <c r="C514" s="5">
        <f>DATE(2025, 8, 28) + TIME(12, 47, 27)</f>
        <v>45897.532951388886</v>
      </c>
      <c r="D514" s="1" t="s">
        <v>566</v>
      </c>
      <c r="E514" s="1" t="s">
        <v>865</v>
      </c>
    </row>
    <row r="515" spans="1:5" x14ac:dyDescent="0.2">
      <c r="A515" s="1" t="s">
        <v>1</v>
      </c>
      <c r="B515" s="1" t="s">
        <v>60</v>
      </c>
      <c r="C515" s="5">
        <f>DATE(2025, 8, 28) + TIME(12, 43, 29)</f>
        <v>45897.53019675926</v>
      </c>
      <c r="D515" s="1" t="s">
        <v>216</v>
      </c>
      <c r="E515" s="1" t="s">
        <v>372</v>
      </c>
    </row>
    <row r="516" spans="1:5" x14ac:dyDescent="0.2">
      <c r="A516" s="1" t="s">
        <v>1</v>
      </c>
      <c r="B516" s="1" t="s">
        <v>60</v>
      </c>
      <c r="C516" s="5">
        <f>DATE(2025, 8, 27) + TIME(16, 43, 19)</f>
        <v>45896.696747685186</v>
      </c>
      <c r="D516" s="1" t="s">
        <v>216</v>
      </c>
      <c r="E516" s="1" t="s">
        <v>519</v>
      </c>
    </row>
    <row r="517" spans="1:5" x14ac:dyDescent="0.2">
      <c r="A517" s="1" t="s">
        <v>1</v>
      </c>
      <c r="B517" s="1" t="s">
        <v>60</v>
      </c>
      <c r="C517" s="5">
        <f>DATE(2025, 8, 27) + TIME(14, 0, 41)</f>
        <v>45896.583807870367</v>
      </c>
      <c r="D517" s="1" t="s">
        <v>65</v>
      </c>
      <c r="E517" s="1" t="s">
        <v>918</v>
      </c>
    </row>
    <row r="518" spans="1:5" x14ac:dyDescent="0.2">
      <c r="A518" s="1" t="s">
        <v>1</v>
      </c>
      <c r="B518" s="1" t="s">
        <v>60</v>
      </c>
      <c r="C518" s="5">
        <f>DATE(2025, 8, 27) + TIME(14, 0, 19)</f>
        <v>45896.583553240744</v>
      </c>
      <c r="D518" s="1" t="s">
        <v>65</v>
      </c>
      <c r="E518" s="1" t="s">
        <v>432</v>
      </c>
    </row>
    <row r="519" spans="1:5" x14ac:dyDescent="0.2">
      <c r="A519" s="1" t="s">
        <v>1</v>
      </c>
      <c r="B519" s="1" t="s">
        <v>60</v>
      </c>
      <c r="C519" s="5">
        <f>DATE(2025, 8, 27) + TIME(11, 31, 3)</f>
        <v>45896.479895833334</v>
      </c>
      <c r="D519" s="1" t="s">
        <v>64</v>
      </c>
      <c r="E519" s="1" t="s">
        <v>337</v>
      </c>
    </row>
    <row r="520" spans="1:5" x14ac:dyDescent="0.2">
      <c r="A520" s="1" t="s">
        <v>1</v>
      </c>
      <c r="B520" s="1" t="s">
        <v>60</v>
      </c>
      <c r="C520" s="5">
        <f>DATE(2025, 8, 26) + TIME(14, 13, 36)</f>
        <v>45895.592777777776</v>
      </c>
      <c r="D520" s="1" t="s">
        <v>863</v>
      </c>
      <c r="E520" s="1" t="s">
        <v>170</v>
      </c>
    </row>
    <row r="521" spans="1:5" x14ac:dyDescent="0.2">
      <c r="A521" s="1" t="s">
        <v>1</v>
      </c>
      <c r="B521" s="1" t="s">
        <v>60</v>
      </c>
      <c r="C521" s="5">
        <f>DATE(2025, 8, 26) + TIME(13, 51, 44)</f>
        <v>45895.577592592592</v>
      </c>
      <c r="D521" s="1" t="s">
        <v>3</v>
      </c>
      <c r="E521" s="1" t="s">
        <v>571</v>
      </c>
    </row>
    <row r="522" spans="1:5" x14ac:dyDescent="0.2">
      <c r="A522" s="1" t="s">
        <v>1</v>
      </c>
      <c r="B522" s="1" t="s">
        <v>60</v>
      </c>
      <c r="C522" s="5">
        <f>DATE(2025, 8, 26) + TIME(12, 25, 34)</f>
        <v>45895.517754629633</v>
      </c>
      <c r="D522" s="1" t="s">
        <v>750</v>
      </c>
      <c r="E522" s="1" t="s">
        <v>17</v>
      </c>
    </row>
    <row r="523" spans="1:5" x14ac:dyDescent="0.2">
      <c r="A523" s="1" t="s">
        <v>1</v>
      </c>
      <c r="B523" s="1" t="s">
        <v>60</v>
      </c>
      <c r="C523" s="5">
        <f>DATE(2025, 8, 25) + TIME(13, 6, 18)</f>
        <v>45894.546041666668</v>
      </c>
      <c r="D523" s="1" t="s">
        <v>269</v>
      </c>
      <c r="E523" s="1" t="s">
        <v>79</v>
      </c>
    </row>
    <row r="524" spans="1:5" x14ac:dyDescent="0.2">
      <c r="A524" s="1" t="s">
        <v>1</v>
      </c>
      <c r="B524" s="1" t="s">
        <v>323</v>
      </c>
      <c r="C524" s="5">
        <f>DATE(2025, 8, 25) + TIME(12, 55, 1)</f>
        <v>45894.538206018522</v>
      </c>
      <c r="D524" s="1" t="s">
        <v>269</v>
      </c>
      <c r="E524" s="1" t="s">
        <v>748</v>
      </c>
    </row>
    <row r="525" spans="1:5" x14ac:dyDescent="0.2">
      <c r="A525" s="1" t="s">
        <v>1</v>
      </c>
      <c r="B525" s="1" t="s">
        <v>866</v>
      </c>
      <c r="C525" s="5">
        <f>DATE(2025, 8, 25) + TIME(12, 46, 59)</f>
        <v>45894.532627314817</v>
      </c>
      <c r="D525" s="1" t="s">
        <v>506</v>
      </c>
      <c r="E525" s="1" t="s">
        <v>697</v>
      </c>
    </row>
    <row r="526" spans="1:5" x14ac:dyDescent="0.2">
      <c r="A526" s="1" t="s">
        <v>1</v>
      </c>
      <c r="B526" s="1" t="s">
        <v>60</v>
      </c>
      <c r="C526" s="5">
        <f>DATE(2025, 8, 25) + TIME(12, 17, 41)</f>
        <v>45894.512280092589</v>
      </c>
      <c r="D526" s="1" t="s">
        <v>3</v>
      </c>
      <c r="E526" s="1" t="s">
        <v>168</v>
      </c>
    </row>
    <row r="527" spans="1:5" x14ac:dyDescent="0.2">
      <c r="A527" s="1" t="s">
        <v>1</v>
      </c>
      <c r="B527" s="1" t="s">
        <v>60</v>
      </c>
      <c r="C527" s="5">
        <f>DATE(2025, 8, 22) + TIME(10, 56, 11)</f>
        <v>45891.455682870372</v>
      </c>
      <c r="D527" s="1" t="s">
        <v>921</v>
      </c>
      <c r="E527" s="1" t="s">
        <v>739</v>
      </c>
    </row>
    <row r="528" spans="1:5" x14ac:dyDescent="0.2">
      <c r="A528" s="1" t="s">
        <v>1</v>
      </c>
      <c r="B528" s="1" t="s">
        <v>60</v>
      </c>
      <c r="C528" s="5">
        <f>DATE(2025, 8, 21) + TIME(15, 19, 15)</f>
        <v>45890.638368055559</v>
      </c>
      <c r="D528" s="1" t="s">
        <v>638</v>
      </c>
      <c r="E528" s="1" t="s">
        <v>362</v>
      </c>
    </row>
    <row r="529" spans="1:5" x14ac:dyDescent="0.2">
      <c r="A529" s="1" t="s">
        <v>1</v>
      </c>
      <c r="B529" s="1" t="s">
        <v>60</v>
      </c>
      <c r="C529" s="5">
        <f>DATE(2025, 8, 21) + TIME(14, 26, 41)</f>
        <v>45890.601863425924</v>
      </c>
      <c r="D529" s="1" t="s">
        <v>563</v>
      </c>
      <c r="E529" s="1" t="s">
        <v>935</v>
      </c>
    </row>
    <row r="530" spans="1:5" x14ac:dyDescent="0.2">
      <c r="A530" s="1" t="s">
        <v>1</v>
      </c>
      <c r="B530" s="1" t="s">
        <v>60</v>
      </c>
      <c r="C530" s="5">
        <f>DATE(2025, 8, 21) + TIME(13, 54, 49)</f>
        <v>45890.579733796294</v>
      </c>
      <c r="D530" s="1" t="s">
        <v>563</v>
      </c>
      <c r="E530" s="1" t="s">
        <v>351</v>
      </c>
    </row>
    <row r="531" spans="1:5" x14ac:dyDescent="0.2">
      <c r="A531" s="1" t="s">
        <v>1</v>
      </c>
      <c r="B531" s="1" t="s">
        <v>866</v>
      </c>
      <c r="C531" s="5">
        <f>DATE(2025, 8, 21) + TIME(13, 33, 13)</f>
        <v>45890.564733796295</v>
      </c>
      <c r="D531" s="1" t="s">
        <v>506</v>
      </c>
      <c r="E531" s="1" t="s">
        <v>510</v>
      </c>
    </row>
    <row r="532" spans="1:5" x14ac:dyDescent="0.2">
      <c r="A532" s="1" t="s">
        <v>1</v>
      </c>
      <c r="B532" s="1" t="s">
        <v>60</v>
      </c>
      <c r="C532" s="5">
        <f>DATE(2025, 8, 21) + TIME(13, 29, 14)</f>
        <v>45890.561967592592</v>
      </c>
      <c r="D532" s="1" t="s">
        <v>566</v>
      </c>
      <c r="E532" s="1" t="s">
        <v>865</v>
      </c>
    </row>
    <row r="533" spans="1:5" x14ac:dyDescent="0.2">
      <c r="A533" s="1" t="s">
        <v>1</v>
      </c>
      <c r="B533" s="1" t="s">
        <v>60</v>
      </c>
      <c r="C533" s="5">
        <f>DATE(2025, 8, 21) + TIME(13, 5, 3)</f>
        <v>45890.545173611114</v>
      </c>
      <c r="D533" s="1" t="s">
        <v>921</v>
      </c>
      <c r="E533" s="1" t="s">
        <v>691</v>
      </c>
    </row>
    <row r="534" spans="1:5" x14ac:dyDescent="0.2">
      <c r="A534" s="1" t="s">
        <v>1</v>
      </c>
      <c r="B534" s="1" t="s">
        <v>60</v>
      </c>
      <c r="C534" s="5">
        <f>DATE(2025, 8, 21) + TIME(12, 26, 33)</f>
        <v>45890.518437500003</v>
      </c>
      <c r="D534" s="1" t="s">
        <v>269</v>
      </c>
      <c r="E534" s="1" t="s">
        <v>748</v>
      </c>
    </row>
    <row r="535" spans="1:5" x14ac:dyDescent="0.2">
      <c r="A535" s="1" t="s">
        <v>1</v>
      </c>
      <c r="B535" s="1" t="s">
        <v>60</v>
      </c>
      <c r="C535" s="5">
        <f>DATE(2025, 8, 21) + TIME(11, 30, 1)</f>
        <v>45890.479178240741</v>
      </c>
      <c r="D535" s="1" t="s">
        <v>216</v>
      </c>
      <c r="E535" s="1" t="s">
        <v>372</v>
      </c>
    </row>
    <row r="536" spans="1:5" x14ac:dyDescent="0.2">
      <c r="A536" s="1" t="s">
        <v>1</v>
      </c>
      <c r="B536" s="1" t="s">
        <v>60</v>
      </c>
      <c r="C536" s="5">
        <f>DATE(2025, 8, 20) + TIME(15, 54, 35)</f>
        <v>45889.662905092591</v>
      </c>
      <c r="D536" s="1" t="s">
        <v>64</v>
      </c>
      <c r="E536" s="1" t="s">
        <v>337</v>
      </c>
    </row>
    <row r="537" spans="1:5" x14ac:dyDescent="0.2">
      <c r="A537" s="1" t="s">
        <v>1</v>
      </c>
      <c r="B537" s="1" t="s">
        <v>60</v>
      </c>
      <c r="C537" s="5">
        <f>DATE(2025, 8, 20) + TIME(13, 33, 43)</f>
        <v>45889.565081018518</v>
      </c>
      <c r="D537" s="1" t="s">
        <v>396</v>
      </c>
      <c r="E537" s="1" t="s">
        <v>88</v>
      </c>
    </row>
    <row r="538" spans="1:5" x14ac:dyDescent="0.2">
      <c r="A538" s="1" t="s">
        <v>1</v>
      </c>
      <c r="B538" s="1" t="s">
        <v>60</v>
      </c>
      <c r="C538" s="5">
        <f>DATE(2025, 8, 20) + TIME(12, 58, 32)</f>
        <v>45889.540648148148</v>
      </c>
      <c r="D538" s="1" t="s">
        <v>65</v>
      </c>
      <c r="E538" s="1" t="s">
        <v>432</v>
      </c>
    </row>
    <row r="539" spans="1:5" x14ac:dyDescent="0.2">
      <c r="A539" s="1" t="s">
        <v>1</v>
      </c>
      <c r="B539" s="1" t="s">
        <v>60</v>
      </c>
      <c r="C539" s="5">
        <f>DATE(2025, 8, 20) + TIME(12, 50, 36)</f>
        <v>45889.535138888888</v>
      </c>
      <c r="D539" s="1" t="s">
        <v>396</v>
      </c>
      <c r="E539" s="1" t="s">
        <v>749</v>
      </c>
    </row>
    <row r="540" spans="1:5" x14ac:dyDescent="0.2">
      <c r="A540" s="1" t="s">
        <v>1</v>
      </c>
      <c r="B540" s="1" t="s">
        <v>60</v>
      </c>
      <c r="C540" s="5">
        <f>DATE(2025, 8, 20) + TIME(11, 0, 5)</f>
        <v>45889.458391203705</v>
      </c>
      <c r="D540" s="1" t="s">
        <v>638</v>
      </c>
      <c r="E540" s="1" t="s">
        <v>535</v>
      </c>
    </row>
    <row r="541" spans="1:5" x14ac:dyDescent="0.2">
      <c r="A541" s="1" t="s">
        <v>1</v>
      </c>
      <c r="B541" s="1" t="s">
        <v>866</v>
      </c>
      <c r="C541" s="5">
        <f>DATE(2025, 8, 19) + TIME(15, 14, 52)</f>
        <v>45888.635324074072</v>
      </c>
      <c r="D541" s="1" t="s">
        <v>506</v>
      </c>
      <c r="E541" s="1" t="s">
        <v>83</v>
      </c>
    </row>
    <row r="542" spans="1:5" x14ac:dyDescent="0.2">
      <c r="A542" s="1" t="s">
        <v>1</v>
      </c>
      <c r="B542" s="1" t="s">
        <v>60</v>
      </c>
      <c r="C542" s="5">
        <f>DATE(2025, 8, 19) + TIME(14, 16, 25)</f>
        <v>45888.594733796293</v>
      </c>
      <c r="D542" s="1" t="s">
        <v>65</v>
      </c>
      <c r="E542" s="1" t="s">
        <v>227</v>
      </c>
    </row>
    <row r="543" spans="1:5" x14ac:dyDescent="0.2">
      <c r="A543" s="1" t="s">
        <v>1</v>
      </c>
      <c r="B543" s="1" t="s">
        <v>60</v>
      </c>
      <c r="C543" s="5">
        <f>DATE(2025, 8, 19) + TIME(13, 46, 45)</f>
        <v>45888.574131944442</v>
      </c>
      <c r="D543" s="1" t="s">
        <v>640</v>
      </c>
      <c r="E543" s="1" t="s">
        <v>608</v>
      </c>
    </row>
    <row r="544" spans="1:5" x14ac:dyDescent="0.2">
      <c r="A544" s="1" t="s">
        <v>1</v>
      </c>
      <c r="B544" s="1" t="s">
        <v>60</v>
      </c>
      <c r="C544" s="5">
        <f>DATE(2025, 8, 19) + TIME(12, 26, 48)</f>
        <v>45888.518611111111</v>
      </c>
      <c r="D544" s="1" t="s">
        <v>576</v>
      </c>
      <c r="E544" s="1" t="s">
        <v>842</v>
      </c>
    </row>
    <row r="545" spans="1:5" x14ac:dyDescent="0.2">
      <c r="A545" s="1" t="s">
        <v>1</v>
      </c>
      <c r="B545" s="1" t="s">
        <v>60</v>
      </c>
      <c r="C545" s="5">
        <f>DATE(2025, 8, 19) + TIME(9, 2, 38)</f>
        <v>45888.376828703702</v>
      </c>
      <c r="D545" s="1" t="s">
        <v>216</v>
      </c>
      <c r="E545" s="1" t="s">
        <v>101</v>
      </c>
    </row>
    <row r="546" spans="1:5" x14ac:dyDescent="0.2">
      <c r="A546" s="1" t="s">
        <v>1</v>
      </c>
      <c r="B546" s="1" t="s">
        <v>60</v>
      </c>
      <c r="C546" s="5">
        <f>DATE(2025, 8, 18) + TIME(14, 46, 25)</f>
        <v>45887.615567129629</v>
      </c>
      <c r="D546" s="1" t="s">
        <v>921</v>
      </c>
      <c r="E546" s="1" t="s">
        <v>573</v>
      </c>
    </row>
    <row r="547" spans="1:5" x14ac:dyDescent="0.2">
      <c r="A547" s="1" t="s">
        <v>1</v>
      </c>
      <c r="B547" s="1" t="s">
        <v>60</v>
      </c>
      <c r="C547" s="5">
        <f>DATE(2025, 8, 18) + TIME(14, 46, 15)</f>
        <v>45887.615451388891</v>
      </c>
      <c r="D547" s="1" t="s">
        <v>120</v>
      </c>
      <c r="E547" s="1" t="s">
        <v>619</v>
      </c>
    </row>
    <row r="548" spans="1:5" x14ac:dyDescent="0.2">
      <c r="A548" s="1" t="s">
        <v>1</v>
      </c>
      <c r="B548" s="1" t="s">
        <v>60</v>
      </c>
      <c r="C548" s="5">
        <f>DATE(2025, 8, 18) + TIME(14, 23, 9)</f>
        <v>45887.599409722221</v>
      </c>
      <c r="D548" s="1" t="s">
        <v>396</v>
      </c>
      <c r="E548" s="1" t="s">
        <v>567</v>
      </c>
    </row>
    <row r="549" spans="1:5" x14ac:dyDescent="0.2">
      <c r="A549" s="1" t="s">
        <v>1</v>
      </c>
      <c r="B549" s="1" t="s">
        <v>60</v>
      </c>
      <c r="C549" s="5">
        <f>DATE(2025, 8, 18) + TIME(14, 7, 28)</f>
        <v>45887.588518518518</v>
      </c>
      <c r="D549" s="1" t="s">
        <v>731</v>
      </c>
      <c r="E549" s="1" t="s">
        <v>441</v>
      </c>
    </row>
    <row r="550" spans="1:5" x14ac:dyDescent="0.2">
      <c r="A550" s="1" t="s">
        <v>1</v>
      </c>
      <c r="B550" s="1" t="s">
        <v>60</v>
      </c>
      <c r="C550" s="5">
        <f>DATE(2025, 8, 18) + TIME(12, 24, 11)</f>
        <v>45887.516793981478</v>
      </c>
      <c r="D550" s="1" t="s">
        <v>3</v>
      </c>
      <c r="E550" s="1" t="s">
        <v>168</v>
      </c>
    </row>
    <row r="551" spans="1:5" x14ac:dyDescent="0.2">
      <c r="A551" s="1" t="s">
        <v>1</v>
      </c>
      <c r="B551" s="1" t="s">
        <v>927</v>
      </c>
      <c r="C551" s="5">
        <f>DATE(2025, 8, 18) + TIME(10, 42, 2)</f>
        <v>45887.445856481485</v>
      </c>
      <c r="D551" s="1" t="s">
        <v>731</v>
      </c>
      <c r="E551" s="1" t="s">
        <v>245</v>
      </c>
    </row>
    <row r="552" spans="1:5" x14ac:dyDescent="0.2">
      <c r="A552" s="1" t="s">
        <v>1</v>
      </c>
      <c r="B552" s="1" t="s">
        <v>60</v>
      </c>
      <c r="C552" s="5">
        <f>DATE(2025, 8, 14) + TIME(13, 5, 41)</f>
        <v>45883.545613425929</v>
      </c>
      <c r="D552" s="1" t="s">
        <v>638</v>
      </c>
      <c r="E552" s="1" t="s">
        <v>157</v>
      </c>
    </row>
    <row r="553" spans="1:5" x14ac:dyDescent="0.2">
      <c r="A553" s="1" t="s">
        <v>1</v>
      </c>
      <c r="B553" s="1" t="s">
        <v>323</v>
      </c>
      <c r="C553" s="5">
        <f>DATE(2025, 8, 14) + TIME(12, 44, 21)</f>
        <v>45883.530798611115</v>
      </c>
      <c r="D553" s="1" t="s">
        <v>269</v>
      </c>
      <c r="E553" s="1" t="s">
        <v>748</v>
      </c>
    </row>
    <row r="554" spans="1:5" x14ac:dyDescent="0.2">
      <c r="A554" s="1" t="s">
        <v>1</v>
      </c>
      <c r="B554" s="1" t="s">
        <v>60</v>
      </c>
      <c r="C554" s="5">
        <f>DATE(2025, 8, 14) + TIME(12, 42, 35)</f>
        <v>45883.52957175926</v>
      </c>
      <c r="D554" s="1" t="s">
        <v>396</v>
      </c>
      <c r="E554" s="1" t="s">
        <v>567</v>
      </c>
    </row>
    <row r="555" spans="1:5" x14ac:dyDescent="0.2">
      <c r="A555" s="1" t="s">
        <v>1</v>
      </c>
      <c r="B555" s="1" t="s">
        <v>60</v>
      </c>
      <c r="C555" s="5">
        <f>DATE(2025, 8, 13) + TIME(13, 12, 55)</f>
        <v>45882.550636574073</v>
      </c>
      <c r="D555" s="1" t="s">
        <v>65</v>
      </c>
      <c r="E555" s="1" t="s">
        <v>432</v>
      </c>
    </row>
    <row r="556" spans="1:5" x14ac:dyDescent="0.2">
      <c r="A556" s="1" t="s">
        <v>1</v>
      </c>
      <c r="B556" s="1" t="s">
        <v>60</v>
      </c>
      <c r="C556" s="5">
        <f>DATE(2025, 8, 12) + TIME(14, 58, 50)</f>
        <v>45881.624189814815</v>
      </c>
      <c r="D556" s="1" t="s">
        <v>65</v>
      </c>
      <c r="E556" s="1" t="s">
        <v>379</v>
      </c>
    </row>
    <row r="557" spans="1:5" x14ac:dyDescent="0.2">
      <c r="A557" s="1" t="s">
        <v>1</v>
      </c>
      <c r="B557" s="1" t="s">
        <v>60</v>
      </c>
      <c r="C557" s="5">
        <f>DATE(2025, 8, 12) + TIME(12, 5, 27)</f>
        <v>45881.503784722219</v>
      </c>
      <c r="D557" s="1" t="s">
        <v>320</v>
      </c>
      <c r="E557" s="1" t="s">
        <v>95</v>
      </c>
    </row>
    <row r="558" spans="1:5" x14ac:dyDescent="0.2">
      <c r="A558" s="1" t="s">
        <v>1</v>
      </c>
      <c r="B558" s="1" t="s">
        <v>60</v>
      </c>
      <c r="C558" s="5">
        <f>DATE(2025, 8, 12) + TIME(10, 33, 35)</f>
        <v>45881.439988425926</v>
      </c>
      <c r="D558" s="1" t="s">
        <v>869</v>
      </c>
      <c r="E558" s="1" t="s">
        <v>842</v>
      </c>
    </row>
    <row r="559" spans="1:5" x14ac:dyDescent="0.2">
      <c r="A559" s="1" t="s">
        <v>1</v>
      </c>
      <c r="B559" s="1" t="s">
        <v>60</v>
      </c>
      <c r="C559" s="5">
        <f>DATE(2025, 8, 11) + TIME(14, 15, 51)</f>
        <v>45880.594340277778</v>
      </c>
      <c r="D559" s="1" t="s">
        <v>269</v>
      </c>
      <c r="E559" s="1" t="s">
        <v>273</v>
      </c>
    </row>
    <row r="560" spans="1:5" x14ac:dyDescent="0.2">
      <c r="A560" s="1" t="s">
        <v>1</v>
      </c>
      <c r="B560" s="1" t="s">
        <v>60</v>
      </c>
      <c r="C560" s="5">
        <f>DATE(2025, 8, 11) + TIME(12, 46, 54)</f>
        <v>45880.532569444447</v>
      </c>
      <c r="D560" s="1" t="s">
        <v>269</v>
      </c>
      <c r="E560" s="1" t="s">
        <v>748</v>
      </c>
    </row>
    <row r="561" spans="1:5" x14ac:dyDescent="0.2">
      <c r="A561" s="1" t="s">
        <v>1</v>
      </c>
      <c r="B561" s="1" t="s">
        <v>866</v>
      </c>
      <c r="C561" s="5">
        <f>DATE(2025, 8, 11) + TIME(12, 0, 0)</f>
        <v>45880.5</v>
      </c>
      <c r="D561" s="1" t="s">
        <v>3</v>
      </c>
      <c r="E561" s="1" t="s">
        <v>168</v>
      </c>
    </row>
    <row r="562" spans="1:5" x14ac:dyDescent="0.2">
      <c r="A562" s="1" t="s">
        <v>1</v>
      </c>
      <c r="B562" s="1" t="s">
        <v>60</v>
      </c>
      <c r="C562" s="5">
        <f>DATE(2025, 8, 7) + TIME(11, 19, 29)</f>
        <v>45876.471863425926</v>
      </c>
      <c r="D562" s="1" t="s">
        <v>459</v>
      </c>
      <c r="E562" s="1" t="s">
        <v>574</v>
      </c>
    </row>
    <row r="563" spans="1:5" x14ac:dyDescent="0.2">
      <c r="A563" s="1" t="s">
        <v>1</v>
      </c>
      <c r="B563" s="1" t="s">
        <v>60</v>
      </c>
      <c r="C563" s="5">
        <f>DATE(2025, 8, 6) + TIME(12, 54, 13)</f>
        <v>45875.53765046296</v>
      </c>
      <c r="D563" s="1" t="s">
        <v>65</v>
      </c>
      <c r="E563" s="1" t="s">
        <v>432</v>
      </c>
    </row>
    <row r="564" spans="1:5" x14ac:dyDescent="0.2">
      <c r="A564" s="1" t="s">
        <v>1</v>
      </c>
      <c r="B564" s="1" t="s">
        <v>60</v>
      </c>
      <c r="C564" s="5">
        <f>DATE(2025, 8, 6) + TIME(12, 22, 24)</f>
        <v>45875.515555555554</v>
      </c>
      <c r="D564" s="1" t="s">
        <v>396</v>
      </c>
      <c r="E564" s="1" t="s">
        <v>88</v>
      </c>
    </row>
    <row r="565" spans="1:5" x14ac:dyDescent="0.2">
      <c r="A565" s="1" t="s">
        <v>1</v>
      </c>
      <c r="B565" s="1" t="s">
        <v>60</v>
      </c>
      <c r="C565" s="5">
        <f>DATE(2025, 8, 6) + TIME(12, 16, 14)</f>
        <v>45875.511273148149</v>
      </c>
      <c r="D565" s="1" t="s">
        <v>396</v>
      </c>
      <c r="E565" s="1" t="s">
        <v>749</v>
      </c>
    </row>
    <row r="566" spans="1:5" x14ac:dyDescent="0.2">
      <c r="A566" s="1" t="s">
        <v>1</v>
      </c>
      <c r="B566" s="1" t="s">
        <v>60</v>
      </c>
      <c r="C566" s="5">
        <f>DATE(2025, 8, 6) + TIME(12, 15, 19)</f>
        <v>45875.510636574072</v>
      </c>
      <c r="D566" s="1" t="s">
        <v>566</v>
      </c>
      <c r="E566" s="1" t="s">
        <v>865</v>
      </c>
    </row>
    <row r="567" spans="1:5" x14ac:dyDescent="0.2">
      <c r="A567" s="1" t="s">
        <v>1</v>
      </c>
      <c r="B567" s="1" t="s">
        <v>866</v>
      </c>
      <c r="C567" s="5">
        <f>DATE(2025, 8, 5) + TIME(15, 29, 47)</f>
        <v>45874.645682870374</v>
      </c>
      <c r="D567" s="1" t="s">
        <v>869</v>
      </c>
      <c r="E567" s="1" t="s">
        <v>275</v>
      </c>
    </row>
    <row r="568" spans="1:5" x14ac:dyDescent="0.2">
      <c r="A568" s="1" t="s">
        <v>1</v>
      </c>
      <c r="B568" s="1" t="s">
        <v>60</v>
      </c>
      <c r="C568" s="5">
        <f>DATE(2025, 8, 5) + TIME(15, 29, 47)</f>
        <v>45874.645682870374</v>
      </c>
      <c r="D568" s="1" t="s">
        <v>869</v>
      </c>
      <c r="E568" s="1" t="s">
        <v>275</v>
      </c>
    </row>
    <row r="569" spans="1:5" x14ac:dyDescent="0.2">
      <c r="A569" s="1" t="s">
        <v>1</v>
      </c>
      <c r="B569" s="1" t="s">
        <v>60</v>
      </c>
      <c r="C569" s="5">
        <f>DATE(2025, 8, 4) + TIME(15, 28, 45)</f>
        <v>45873.644965277781</v>
      </c>
      <c r="D569" s="1" t="s">
        <v>65</v>
      </c>
      <c r="E569" s="1" t="s">
        <v>400</v>
      </c>
    </row>
    <row r="570" spans="1:5" x14ac:dyDescent="0.2">
      <c r="A570" s="1" t="s">
        <v>1</v>
      </c>
      <c r="B570" s="1" t="s">
        <v>564</v>
      </c>
      <c r="C570" s="5">
        <f>DATE(2025, 8, 4) + TIME(14, 33, 33)</f>
        <v>45873.606631944444</v>
      </c>
      <c r="D570" s="1" t="s">
        <v>320</v>
      </c>
      <c r="E570" s="1" t="s">
        <v>687</v>
      </c>
    </row>
    <row r="571" spans="1:5" x14ac:dyDescent="0.2">
      <c r="A571" s="1" t="s">
        <v>1</v>
      </c>
      <c r="B571" s="1" t="s">
        <v>60</v>
      </c>
      <c r="C571" s="5">
        <f>DATE(2025, 8, 4) + TIME(13, 47, 54)</f>
        <v>45873.574930555558</v>
      </c>
      <c r="D571" s="1" t="s">
        <v>566</v>
      </c>
      <c r="E571" s="1" t="s">
        <v>865</v>
      </c>
    </row>
    <row r="572" spans="1:5" x14ac:dyDescent="0.2">
      <c r="A572" s="1" t="s">
        <v>1</v>
      </c>
      <c r="B572" s="1" t="s">
        <v>60</v>
      </c>
      <c r="C572" s="5">
        <f>DATE(2025, 8, 4) + TIME(12, 47, 52)</f>
        <v>45873.53324074074</v>
      </c>
      <c r="D572" s="1" t="s">
        <v>216</v>
      </c>
      <c r="E572" s="1" t="s">
        <v>607</v>
      </c>
    </row>
    <row r="573" spans="1:5" x14ac:dyDescent="0.2">
      <c r="A573" s="1" t="s">
        <v>1</v>
      </c>
      <c r="B573" s="1" t="s">
        <v>60</v>
      </c>
      <c r="C573" s="5">
        <f>DATE(2025, 8, 4) + TIME(12, 12, 25)</f>
        <v>45873.508622685185</v>
      </c>
      <c r="D573" s="1" t="s">
        <v>396</v>
      </c>
      <c r="E573" s="1" t="s">
        <v>749</v>
      </c>
    </row>
    <row r="574" spans="1:5" x14ac:dyDescent="0.2">
      <c r="A574" s="1" t="s">
        <v>1</v>
      </c>
      <c r="B574" s="1" t="s">
        <v>60</v>
      </c>
      <c r="C574" s="5">
        <f>DATE(2025, 8, 4) + TIME(11, 46, 3)</f>
        <v>45873.490312499998</v>
      </c>
      <c r="D574" s="1" t="s">
        <v>356</v>
      </c>
      <c r="E574" s="1" t="s">
        <v>748</v>
      </c>
    </row>
    <row r="575" spans="1:5" x14ac:dyDescent="0.2">
      <c r="A575" s="1" t="s">
        <v>1</v>
      </c>
      <c r="B575" s="1" t="s">
        <v>60</v>
      </c>
      <c r="C575" s="5">
        <f>DATE(2025, 8, 4) + TIME(10, 58, 13)</f>
        <v>45873.457094907404</v>
      </c>
      <c r="D575" s="1" t="s">
        <v>3</v>
      </c>
      <c r="E575" s="1" t="s">
        <v>168</v>
      </c>
    </row>
    <row r="576" spans="1:5" x14ac:dyDescent="0.2">
      <c r="A576" s="1" t="s">
        <v>1</v>
      </c>
      <c r="B576" s="1" t="s">
        <v>60</v>
      </c>
      <c r="C576" s="5">
        <f>DATE(2025, 7, 31) + TIME(14, 22, 23)</f>
        <v>45869.598877314813</v>
      </c>
      <c r="D576" s="1" t="s">
        <v>126</v>
      </c>
      <c r="E576" s="1" t="s">
        <v>360</v>
      </c>
    </row>
    <row r="577" spans="1:5" x14ac:dyDescent="0.2">
      <c r="A577" s="1" t="s">
        <v>1</v>
      </c>
      <c r="B577" s="1" t="s">
        <v>60</v>
      </c>
      <c r="C577" s="5">
        <f>DATE(2025, 7, 31) + TIME(13, 43, 22)</f>
        <v>45869.571782407409</v>
      </c>
      <c r="D577" s="1" t="s">
        <v>396</v>
      </c>
      <c r="E577" s="1" t="s">
        <v>140</v>
      </c>
    </row>
    <row r="578" spans="1:5" x14ac:dyDescent="0.2">
      <c r="A578" s="1" t="s">
        <v>1</v>
      </c>
      <c r="B578" s="1" t="s">
        <v>60</v>
      </c>
      <c r="C578" s="5">
        <f>DATE(2025, 7, 31) + TIME(13, 26, 23)</f>
        <v>45869.559988425928</v>
      </c>
      <c r="D578" s="1" t="s">
        <v>566</v>
      </c>
      <c r="E578" s="1" t="s">
        <v>865</v>
      </c>
    </row>
    <row r="579" spans="1:5" x14ac:dyDescent="0.2">
      <c r="A579" s="1" t="s">
        <v>1</v>
      </c>
      <c r="B579" s="1" t="s">
        <v>60</v>
      </c>
      <c r="C579" s="5">
        <f>DATE(2025, 7, 31) + TIME(12, 51, 47)</f>
        <v>45869.535960648151</v>
      </c>
      <c r="D579" s="1" t="s">
        <v>640</v>
      </c>
      <c r="E579" s="1" t="s">
        <v>520</v>
      </c>
    </row>
    <row r="580" spans="1:5" x14ac:dyDescent="0.2">
      <c r="A580" s="1" t="s">
        <v>1</v>
      </c>
      <c r="B580" s="1" t="s">
        <v>60</v>
      </c>
      <c r="C580" s="5">
        <f>DATE(2025, 7, 30) + TIME(13, 1, 43)</f>
        <v>45868.542858796296</v>
      </c>
      <c r="D580" s="1" t="s">
        <v>341</v>
      </c>
      <c r="E580" s="1" t="s">
        <v>78</v>
      </c>
    </row>
    <row r="581" spans="1:5" x14ac:dyDescent="0.2">
      <c r="A581" s="1" t="s">
        <v>1</v>
      </c>
      <c r="B581" s="1" t="s">
        <v>866</v>
      </c>
      <c r="C581" s="5">
        <f>DATE(2025, 7, 30) + TIME(12, 33, 48)</f>
        <v>45868.523472222223</v>
      </c>
      <c r="D581" s="1" t="s">
        <v>341</v>
      </c>
      <c r="E581" s="1" t="s">
        <v>159</v>
      </c>
    </row>
    <row r="582" spans="1:5" x14ac:dyDescent="0.2">
      <c r="A582" s="1" t="s">
        <v>1</v>
      </c>
      <c r="B582" s="1" t="s">
        <v>60</v>
      </c>
      <c r="C582" s="5">
        <f>DATE(2025, 7, 30) + TIME(11, 37, 41)</f>
        <v>45868.484502314815</v>
      </c>
      <c r="D582" s="1" t="s">
        <v>64</v>
      </c>
      <c r="E582" s="1" t="s">
        <v>337</v>
      </c>
    </row>
    <row r="583" spans="1:5" x14ac:dyDescent="0.2">
      <c r="A583" s="1" t="s">
        <v>1</v>
      </c>
      <c r="B583" s="1" t="s">
        <v>60</v>
      </c>
      <c r="C583" s="5">
        <f>DATE(2025, 7, 29) + TIME(15, 14, 33)</f>
        <v>45867.635104166664</v>
      </c>
      <c r="D583" s="1" t="s">
        <v>869</v>
      </c>
      <c r="E583" s="1" t="s">
        <v>275</v>
      </c>
    </row>
    <row r="584" spans="1:5" x14ac:dyDescent="0.2">
      <c r="A584" s="1" t="s">
        <v>1</v>
      </c>
      <c r="B584" s="1" t="s">
        <v>60</v>
      </c>
      <c r="C584" s="5">
        <f>DATE(2025, 7, 29) + TIME(14, 34, 28)</f>
        <v>45867.607268518521</v>
      </c>
      <c r="D584" s="1" t="s">
        <v>459</v>
      </c>
      <c r="E584" s="1" t="s">
        <v>522</v>
      </c>
    </row>
    <row r="585" spans="1:5" x14ac:dyDescent="0.2">
      <c r="A585" s="1" t="s">
        <v>1</v>
      </c>
      <c r="B585" s="1" t="s">
        <v>60</v>
      </c>
      <c r="C585" s="5">
        <f>DATE(2025, 7, 28) + TIME(14, 24, 44)</f>
        <v>45866.60050925926</v>
      </c>
      <c r="D585" s="1" t="s">
        <v>269</v>
      </c>
      <c r="E585" s="1" t="s">
        <v>299</v>
      </c>
    </row>
    <row r="586" spans="1:5" x14ac:dyDescent="0.2">
      <c r="A586" s="1" t="s">
        <v>1</v>
      </c>
      <c r="B586" s="1" t="s">
        <v>60</v>
      </c>
      <c r="C586" s="5">
        <f>DATE(2025, 7, 28) + TIME(12, 46, 27)</f>
        <v>45866.532256944447</v>
      </c>
      <c r="D586" s="1" t="s">
        <v>640</v>
      </c>
      <c r="E586" s="1" t="s">
        <v>520</v>
      </c>
    </row>
    <row r="587" spans="1:5" x14ac:dyDescent="0.2">
      <c r="A587" s="1" t="s">
        <v>1</v>
      </c>
      <c r="B587" s="1" t="s">
        <v>60</v>
      </c>
      <c r="C587" s="5">
        <f>DATE(2025, 7, 28) + TIME(12, 45, 33)</f>
        <v>45866.531631944446</v>
      </c>
      <c r="D587" s="1" t="s">
        <v>396</v>
      </c>
      <c r="E587" s="1" t="s">
        <v>749</v>
      </c>
    </row>
    <row r="588" spans="1:5" x14ac:dyDescent="0.2">
      <c r="A588" s="1" t="s">
        <v>1</v>
      </c>
      <c r="B588" s="1" t="s">
        <v>60</v>
      </c>
      <c r="C588" s="5">
        <f>DATE(2025, 7, 28) + TIME(12, 20, 7)</f>
        <v>45866.513969907406</v>
      </c>
      <c r="D588" s="1" t="s">
        <v>5</v>
      </c>
      <c r="E588" s="1" t="s">
        <v>92</v>
      </c>
    </row>
    <row r="589" spans="1:5" x14ac:dyDescent="0.2">
      <c r="A589" s="1" t="s">
        <v>1</v>
      </c>
      <c r="B589" s="1" t="s">
        <v>60</v>
      </c>
      <c r="C589" s="5">
        <f>DATE(2025, 7, 28) + TIME(12, 12, 52)</f>
        <v>45866.508935185186</v>
      </c>
      <c r="D589" s="1" t="s">
        <v>566</v>
      </c>
      <c r="E589" s="1" t="s">
        <v>865</v>
      </c>
    </row>
    <row r="590" spans="1:5" x14ac:dyDescent="0.2">
      <c r="A590" s="1" t="s">
        <v>1</v>
      </c>
      <c r="B590" s="1" t="s">
        <v>60</v>
      </c>
      <c r="C590" s="5">
        <f>DATE(2025, 7, 28) + TIME(10, 41, 33)</f>
        <v>45866.445520833331</v>
      </c>
      <c r="D590" s="1" t="s">
        <v>3</v>
      </c>
      <c r="E590" s="1" t="s">
        <v>168</v>
      </c>
    </row>
    <row r="591" spans="1:5" x14ac:dyDescent="0.2">
      <c r="A591" s="1" t="s">
        <v>1</v>
      </c>
      <c r="B591" s="1" t="s">
        <v>60</v>
      </c>
      <c r="C591" s="5">
        <f>DATE(2025, 7, 24) + TIME(15, 48, 12)</f>
        <v>45862.658472222225</v>
      </c>
      <c r="D591" s="1" t="s">
        <v>396</v>
      </c>
      <c r="E591" s="1" t="s">
        <v>140</v>
      </c>
    </row>
    <row r="592" spans="1:5" x14ac:dyDescent="0.2">
      <c r="A592" s="1" t="s">
        <v>1</v>
      </c>
      <c r="B592" s="1" t="s">
        <v>60</v>
      </c>
      <c r="C592" s="5">
        <f>DATE(2025, 7, 24) + TIME(13, 53, 28)</f>
        <v>45862.578796296293</v>
      </c>
      <c r="D592" s="1" t="s">
        <v>566</v>
      </c>
      <c r="E592" s="1" t="s">
        <v>865</v>
      </c>
    </row>
    <row r="593" spans="1:5" x14ac:dyDescent="0.2">
      <c r="A593" s="1" t="s">
        <v>1</v>
      </c>
      <c r="B593" s="1" t="s">
        <v>866</v>
      </c>
      <c r="C593" s="5">
        <f>DATE(2025, 7, 24) + TIME(12, 53, 15)</f>
        <v>45862.536979166667</v>
      </c>
      <c r="D593" s="1" t="s">
        <v>269</v>
      </c>
      <c r="E593" s="1" t="s">
        <v>748</v>
      </c>
    </row>
    <row r="594" spans="1:5" x14ac:dyDescent="0.2">
      <c r="A594" s="1" t="s">
        <v>1</v>
      </c>
      <c r="B594" s="1" t="s">
        <v>564</v>
      </c>
      <c r="C594" s="5">
        <f>DATE(2025, 7, 22) + TIME(15, 8, 26)</f>
        <v>45860.630856481483</v>
      </c>
      <c r="D594" s="1" t="s">
        <v>869</v>
      </c>
      <c r="E594" s="1" t="s">
        <v>327</v>
      </c>
    </row>
    <row r="595" spans="1:5" x14ac:dyDescent="0.2">
      <c r="A595" s="1" t="s">
        <v>1</v>
      </c>
      <c r="B595" s="1" t="s">
        <v>271</v>
      </c>
      <c r="C595" s="5">
        <f>DATE(2025, 7, 22) + TIME(15, 8, 26)</f>
        <v>45860.630856481483</v>
      </c>
      <c r="D595" s="1" t="s">
        <v>869</v>
      </c>
      <c r="E595" s="1" t="s">
        <v>327</v>
      </c>
    </row>
    <row r="596" spans="1:5" x14ac:dyDescent="0.2">
      <c r="A596" s="1" t="s">
        <v>1</v>
      </c>
      <c r="B596" s="1" t="s">
        <v>866</v>
      </c>
      <c r="C596" s="5">
        <f>DATE(2025, 7, 22) + TIME(15, 8, 26)</f>
        <v>45860.630856481483</v>
      </c>
      <c r="D596" s="1" t="s">
        <v>869</v>
      </c>
      <c r="E596" s="1" t="s">
        <v>327</v>
      </c>
    </row>
    <row r="597" spans="1:5" x14ac:dyDescent="0.2">
      <c r="A597" s="1" t="s">
        <v>1</v>
      </c>
      <c r="B597" s="1" t="s">
        <v>60</v>
      </c>
      <c r="C597" s="5">
        <f>DATE(2025, 7, 22) + TIME(14, 40, 52)</f>
        <v>45860.611712962964</v>
      </c>
      <c r="D597" s="1" t="s">
        <v>126</v>
      </c>
      <c r="E597" s="1" t="s">
        <v>143</v>
      </c>
    </row>
    <row r="598" spans="1:5" x14ac:dyDescent="0.2">
      <c r="A598" s="1" t="s">
        <v>1</v>
      </c>
      <c r="B598" s="1" t="s">
        <v>60</v>
      </c>
      <c r="C598" s="5">
        <f>DATE(2025, 7, 22) + TIME(14, 40, 12)</f>
        <v>45860.611250000002</v>
      </c>
      <c r="D598" s="1" t="s">
        <v>126</v>
      </c>
      <c r="E598" s="1" t="s">
        <v>581</v>
      </c>
    </row>
    <row r="599" spans="1:5" x14ac:dyDescent="0.2">
      <c r="A599" s="1" t="s">
        <v>1</v>
      </c>
      <c r="B599" s="1" t="s">
        <v>60</v>
      </c>
      <c r="C599" s="5">
        <f>DATE(2025, 7, 22) + TIME(13, 46, 49)</f>
        <v>45860.574178240742</v>
      </c>
      <c r="D599" s="1" t="s">
        <v>506</v>
      </c>
      <c r="E599" s="1" t="s">
        <v>702</v>
      </c>
    </row>
    <row r="600" spans="1:5" x14ac:dyDescent="0.2">
      <c r="A600" s="1" t="s">
        <v>1</v>
      </c>
      <c r="B600" s="1" t="s">
        <v>69</v>
      </c>
      <c r="C600" s="5">
        <f>DATE(2025, 7, 22) + TIME(13, 11, 44)</f>
        <v>45860.549814814818</v>
      </c>
      <c r="D600" s="1" t="s">
        <v>640</v>
      </c>
      <c r="E600" s="1" t="s">
        <v>761</v>
      </c>
    </row>
    <row r="601" spans="1:5" x14ac:dyDescent="0.2">
      <c r="A601" s="1" t="s">
        <v>1</v>
      </c>
      <c r="B601" s="1" t="s">
        <v>60</v>
      </c>
      <c r="C601" s="5">
        <f>DATE(2025, 7, 22) + TIME(13, 1, 54)</f>
        <v>45860.542986111112</v>
      </c>
      <c r="D601" s="1" t="s">
        <v>869</v>
      </c>
      <c r="E601" s="1" t="s">
        <v>275</v>
      </c>
    </row>
    <row r="602" spans="1:5" x14ac:dyDescent="0.2">
      <c r="A602" s="1" t="s">
        <v>1</v>
      </c>
      <c r="B602" s="1" t="s">
        <v>60</v>
      </c>
      <c r="C602" s="5">
        <f>DATE(2025, 7, 22) + TIME(12, 59, 4)</f>
        <v>45860.541018518517</v>
      </c>
      <c r="D602" s="1" t="s">
        <v>869</v>
      </c>
      <c r="E602" s="1" t="s">
        <v>832</v>
      </c>
    </row>
    <row r="603" spans="1:5" x14ac:dyDescent="0.2">
      <c r="A603" s="1" t="s">
        <v>1</v>
      </c>
      <c r="B603" s="1" t="s">
        <v>60</v>
      </c>
      <c r="C603" s="5">
        <f>DATE(2025, 7, 22) + TIME(9, 49, 41)</f>
        <v>45860.409502314818</v>
      </c>
      <c r="D603" s="1" t="s">
        <v>216</v>
      </c>
      <c r="E603" s="1" t="s">
        <v>101</v>
      </c>
    </row>
    <row r="604" spans="1:5" x14ac:dyDescent="0.2">
      <c r="A604" s="1" t="s">
        <v>1</v>
      </c>
      <c r="B604" s="1" t="s">
        <v>60</v>
      </c>
      <c r="C604" s="5">
        <f>DATE(2025, 7, 21) + TIME(15, 58, 8)</f>
        <v>45859.665370370371</v>
      </c>
      <c r="D604" s="1" t="s">
        <v>65</v>
      </c>
      <c r="E604" s="1" t="s">
        <v>400</v>
      </c>
    </row>
    <row r="605" spans="1:5" x14ac:dyDescent="0.2">
      <c r="A605" s="1" t="s">
        <v>1</v>
      </c>
      <c r="B605" s="1" t="s">
        <v>60</v>
      </c>
      <c r="C605" s="5">
        <f>DATE(2025, 7, 21) + TIME(13, 33, 45)</f>
        <v>45859.565104166664</v>
      </c>
      <c r="D605" s="1" t="s">
        <v>341</v>
      </c>
      <c r="E605" s="1" t="s">
        <v>691</v>
      </c>
    </row>
    <row r="606" spans="1:5" x14ac:dyDescent="0.2">
      <c r="A606" s="1" t="s">
        <v>1</v>
      </c>
      <c r="B606" s="1" t="s">
        <v>60</v>
      </c>
      <c r="C606" s="5">
        <f>DATE(2025, 7, 21) + TIME(13, 14, 30)</f>
        <v>45859.551736111112</v>
      </c>
      <c r="D606" s="1" t="s">
        <v>566</v>
      </c>
      <c r="E606" s="1" t="s">
        <v>865</v>
      </c>
    </row>
    <row r="607" spans="1:5" x14ac:dyDescent="0.2">
      <c r="A607" s="1" t="s">
        <v>1</v>
      </c>
      <c r="B607" s="1" t="s">
        <v>60</v>
      </c>
      <c r="C607" s="5">
        <f>DATE(2025, 7, 21) + TIME(12, 33, 7)</f>
        <v>45859.522997685184</v>
      </c>
      <c r="D607" s="1" t="s">
        <v>3</v>
      </c>
      <c r="E607" s="1" t="s">
        <v>926</v>
      </c>
    </row>
    <row r="608" spans="1:5" x14ac:dyDescent="0.2">
      <c r="A608" s="1" t="s">
        <v>1</v>
      </c>
      <c r="B608" s="1" t="s">
        <v>866</v>
      </c>
      <c r="C608" s="5">
        <f>DATE(2025, 7, 21) + TIME(11, 35, 6)</f>
        <v>45859.482708333337</v>
      </c>
      <c r="D608" s="1" t="s">
        <v>754</v>
      </c>
      <c r="E608" s="1" t="s">
        <v>330</v>
      </c>
    </row>
    <row r="609" spans="1:5" x14ac:dyDescent="0.2">
      <c r="A609" s="1" t="s">
        <v>1</v>
      </c>
      <c r="B609" s="1" t="s">
        <v>564</v>
      </c>
      <c r="C609" s="5">
        <f>DATE(2025, 7, 21) + TIME(11, 34, 33)</f>
        <v>45859.48232638889</v>
      </c>
      <c r="D609" s="1" t="s">
        <v>754</v>
      </c>
      <c r="E609" s="1" t="s">
        <v>245</v>
      </c>
    </row>
    <row r="610" spans="1:5" x14ac:dyDescent="0.2">
      <c r="A610" s="1" t="s">
        <v>1</v>
      </c>
      <c r="B610" s="1" t="s">
        <v>60</v>
      </c>
      <c r="C610" s="5">
        <f>DATE(2025, 7, 21) + TIME(10, 47, 53)</f>
        <v>45859.449918981481</v>
      </c>
      <c r="D610" s="1" t="s">
        <v>3</v>
      </c>
      <c r="E610" s="1" t="s">
        <v>168</v>
      </c>
    </row>
    <row r="611" spans="1:5" x14ac:dyDescent="0.2">
      <c r="A611" s="1" t="s">
        <v>1</v>
      </c>
      <c r="B611" s="1" t="s">
        <v>60</v>
      </c>
      <c r="C611" s="5">
        <f>DATE(2025, 7, 17) + TIME(15, 3, 0)</f>
        <v>45855.627083333333</v>
      </c>
      <c r="D611" s="1" t="s">
        <v>467</v>
      </c>
      <c r="E611" s="1" t="s">
        <v>865</v>
      </c>
    </row>
    <row r="612" spans="1:5" x14ac:dyDescent="0.2">
      <c r="A612" s="1" t="s">
        <v>1</v>
      </c>
      <c r="B612" s="1" t="s">
        <v>60</v>
      </c>
      <c r="C612" s="5">
        <f>DATE(2025, 7, 17) + TIME(14, 59, 48)</f>
        <v>45855.624861111108</v>
      </c>
      <c r="D612" s="1" t="s">
        <v>144</v>
      </c>
      <c r="E612" s="1" t="s">
        <v>728</v>
      </c>
    </row>
    <row r="613" spans="1:5" x14ac:dyDescent="0.2">
      <c r="A613" s="1" t="s">
        <v>1</v>
      </c>
      <c r="B613" s="1" t="s">
        <v>60</v>
      </c>
      <c r="C613" s="5">
        <f>DATE(2025, 7, 17) + TIME(14, 10, 31)</f>
        <v>45855.590636574074</v>
      </c>
      <c r="D613" s="1" t="s">
        <v>638</v>
      </c>
      <c r="E613" s="1" t="s">
        <v>940</v>
      </c>
    </row>
    <row r="614" spans="1:5" x14ac:dyDescent="0.2">
      <c r="A614" s="1" t="s">
        <v>1</v>
      </c>
      <c r="B614" s="1" t="s">
        <v>60</v>
      </c>
      <c r="C614" s="5">
        <f>DATE(2025, 7, 17) + TIME(14, 8, 22)</f>
        <v>45855.589143518519</v>
      </c>
      <c r="D614" s="1" t="s">
        <v>638</v>
      </c>
      <c r="E614" s="1" t="s">
        <v>397</v>
      </c>
    </row>
    <row r="615" spans="1:5" x14ac:dyDescent="0.2">
      <c r="A615" s="1" t="s">
        <v>1</v>
      </c>
      <c r="B615" s="1" t="s">
        <v>60</v>
      </c>
      <c r="C615" s="5">
        <f>DATE(2025, 7, 17) + TIME(13, 48, 13)</f>
        <v>45855.575150462966</v>
      </c>
      <c r="D615" s="1" t="s">
        <v>638</v>
      </c>
      <c r="E615" s="1" t="s">
        <v>157</v>
      </c>
    </row>
    <row r="616" spans="1:5" x14ac:dyDescent="0.2">
      <c r="A616" s="1" t="s">
        <v>1</v>
      </c>
      <c r="B616" s="1" t="s">
        <v>60</v>
      </c>
      <c r="C616" s="5">
        <f>DATE(2025, 7, 16) + TIME(15, 35, 5)</f>
        <v>45854.649363425924</v>
      </c>
      <c r="D616" s="1" t="s">
        <v>64</v>
      </c>
      <c r="E616" s="1" t="s">
        <v>213</v>
      </c>
    </row>
    <row r="617" spans="1:5" x14ac:dyDescent="0.2">
      <c r="A617" s="1" t="s">
        <v>1</v>
      </c>
      <c r="B617" s="1" t="s">
        <v>60</v>
      </c>
      <c r="C617" s="5">
        <f>DATE(2025, 7, 16) + TIME(14, 39, 16)</f>
        <v>45854.610601851855</v>
      </c>
      <c r="D617" s="1" t="s">
        <v>396</v>
      </c>
      <c r="E617" s="1" t="s">
        <v>140</v>
      </c>
    </row>
    <row r="618" spans="1:5" x14ac:dyDescent="0.2">
      <c r="A618" s="1" t="s">
        <v>1</v>
      </c>
      <c r="B618" s="1" t="s">
        <v>564</v>
      </c>
      <c r="C618" s="5">
        <f>DATE(2025, 7, 16) + TIME(13, 36, 37)</f>
        <v>45854.567094907405</v>
      </c>
      <c r="D618" s="1" t="s">
        <v>320</v>
      </c>
      <c r="E618" s="1" t="s">
        <v>698</v>
      </c>
    </row>
    <row r="619" spans="1:5" x14ac:dyDescent="0.2">
      <c r="A619" s="1" t="s">
        <v>1</v>
      </c>
      <c r="B619" s="1" t="s">
        <v>60</v>
      </c>
      <c r="C619" s="5">
        <f>DATE(2025, 7, 16) + TIME(13, 9, 29)</f>
        <v>45854.548252314817</v>
      </c>
      <c r="D619" s="1" t="s">
        <v>65</v>
      </c>
      <c r="E619" s="1" t="s">
        <v>918</v>
      </c>
    </row>
    <row r="620" spans="1:5" x14ac:dyDescent="0.2">
      <c r="A620" s="1" t="s">
        <v>1</v>
      </c>
      <c r="B620" s="1" t="s">
        <v>60</v>
      </c>
      <c r="C620" s="5">
        <f>DATE(2025, 7, 16) + TIME(13, 9, 29)</f>
        <v>45854.548252314817</v>
      </c>
      <c r="D620" s="1" t="s">
        <v>65</v>
      </c>
      <c r="E620" s="1" t="s">
        <v>432</v>
      </c>
    </row>
    <row r="621" spans="1:5" x14ac:dyDescent="0.2">
      <c r="A621" s="1" t="s">
        <v>1</v>
      </c>
      <c r="B621" s="1" t="s">
        <v>60</v>
      </c>
      <c r="C621" s="5">
        <f>DATE(2025, 7, 16) + TIME(12, 57, 11)</f>
        <v>45854.539710648147</v>
      </c>
      <c r="D621" s="1" t="s">
        <v>506</v>
      </c>
      <c r="E621" s="1" t="s">
        <v>702</v>
      </c>
    </row>
    <row r="622" spans="1:5" x14ac:dyDescent="0.2">
      <c r="A622" s="1" t="s">
        <v>1</v>
      </c>
      <c r="B622" s="1" t="s">
        <v>866</v>
      </c>
      <c r="C622" s="5">
        <f>DATE(2025, 7, 15) + TIME(15, 4, 54)</f>
        <v>45853.62840277778</v>
      </c>
      <c r="D622" s="1" t="s">
        <v>506</v>
      </c>
      <c r="E622" s="1" t="s">
        <v>83</v>
      </c>
    </row>
    <row r="623" spans="1:5" x14ac:dyDescent="0.2">
      <c r="A623" s="1" t="s">
        <v>1</v>
      </c>
      <c r="B623" s="1" t="s">
        <v>60</v>
      </c>
      <c r="C623" s="5">
        <f>DATE(2025, 7, 15) + TIME(14, 7, 12)</f>
        <v>45853.588333333333</v>
      </c>
      <c r="D623" s="1" t="s">
        <v>398</v>
      </c>
      <c r="E623" s="1" t="s">
        <v>142</v>
      </c>
    </row>
    <row r="624" spans="1:5" x14ac:dyDescent="0.2">
      <c r="A624" s="1" t="s">
        <v>1</v>
      </c>
      <c r="B624" s="1" t="s">
        <v>564</v>
      </c>
      <c r="C624" s="5">
        <f>DATE(2025, 7, 15) + TIME(13, 58, 34)</f>
        <v>45853.582337962966</v>
      </c>
      <c r="D624" s="1" t="s">
        <v>576</v>
      </c>
      <c r="E624" s="1" t="s">
        <v>275</v>
      </c>
    </row>
    <row r="625" spans="1:5" x14ac:dyDescent="0.2">
      <c r="A625" s="1" t="s">
        <v>1</v>
      </c>
      <c r="B625" s="1" t="s">
        <v>564</v>
      </c>
      <c r="C625" s="5">
        <f>DATE(2025, 7, 15) + TIME(13, 14, 21)</f>
        <v>45853.551631944443</v>
      </c>
      <c r="D625" s="1" t="s">
        <v>576</v>
      </c>
      <c r="E625" s="1" t="s">
        <v>327</v>
      </c>
    </row>
    <row r="626" spans="1:5" x14ac:dyDescent="0.2">
      <c r="A626" s="1" t="s">
        <v>1</v>
      </c>
      <c r="B626" s="1" t="s">
        <v>60</v>
      </c>
      <c r="C626" s="5">
        <f>DATE(2025, 7, 15) + TIME(12, 29, 21)</f>
        <v>45853.520381944443</v>
      </c>
      <c r="D626" s="1" t="s">
        <v>3</v>
      </c>
      <c r="E626" s="1" t="s">
        <v>571</v>
      </c>
    </row>
    <row r="627" spans="1:5" x14ac:dyDescent="0.2">
      <c r="A627" s="1" t="s">
        <v>1</v>
      </c>
      <c r="B627" s="1" t="s">
        <v>564</v>
      </c>
      <c r="C627" s="5">
        <f>DATE(2025, 7, 15) + TIME(11, 50, 42)</f>
        <v>45853.493541666663</v>
      </c>
      <c r="D627" s="1" t="s">
        <v>320</v>
      </c>
      <c r="E627" s="1" t="s">
        <v>917</v>
      </c>
    </row>
    <row r="628" spans="1:5" x14ac:dyDescent="0.2">
      <c r="A628" s="1" t="s">
        <v>1</v>
      </c>
      <c r="B628" s="1" t="s">
        <v>562</v>
      </c>
      <c r="C628" s="5">
        <f>DATE(2025, 7, 14) + TIME(15, 6, 51)</f>
        <v>45852.629756944443</v>
      </c>
      <c r="D628" s="1" t="s">
        <v>269</v>
      </c>
      <c r="E628" s="1" t="s">
        <v>299</v>
      </c>
    </row>
    <row r="629" spans="1:5" x14ac:dyDescent="0.2">
      <c r="A629" s="1" t="s">
        <v>1</v>
      </c>
      <c r="B629" s="1" t="s">
        <v>564</v>
      </c>
      <c r="C629" s="5">
        <f>DATE(2025, 7, 14) + TIME(13, 8, 12)</f>
        <v>45852.547361111108</v>
      </c>
      <c r="D629" s="1" t="s">
        <v>65</v>
      </c>
      <c r="E629" s="1" t="s">
        <v>329</v>
      </c>
    </row>
    <row r="630" spans="1:5" x14ac:dyDescent="0.2">
      <c r="A630" s="1" t="s">
        <v>1</v>
      </c>
      <c r="B630" s="1" t="s">
        <v>60</v>
      </c>
      <c r="C630" s="5">
        <f>DATE(2025, 7, 14) + TIME(12, 25, 25)</f>
        <v>45852.517650462964</v>
      </c>
      <c r="D630" s="1" t="s">
        <v>467</v>
      </c>
      <c r="E630" s="1" t="s">
        <v>865</v>
      </c>
    </row>
    <row r="631" spans="1:5" x14ac:dyDescent="0.2">
      <c r="A631" s="1" t="s">
        <v>1</v>
      </c>
      <c r="B631" s="1" t="s">
        <v>60</v>
      </c>
      <c r="C631" s="5">
        <f>DATE(2025, 7, 14) + TIME(11, 59, 6)</f>
        <v>45852.499374999999</v>
      </c>
      <c r="D631" s="1" t="s">
        <v>269</v>
      </c>
      <c r="E631" s="1" t="s">
        <v>273</v>
      </c>
    </row>
    <row r="632" spans="1:5" x14ac:dyDescent="0.2">
      <c r="A632" s="1" t="s">
        <v>1</v>
      </c>
      <c r="B632" s="1" t="s">
        <v>60</v>
      </c>
      <c r="C632" s="5">
        <f>DATE(2025, 7, 14) + TIME(11, 35, 37)</f>
        <v>45852.483067129629</v>
      </c>
      <c r="D632" s="1" t="s">
        <v>65</v>
      </c>
      <c r="E632" s="1" t="s">
        <v>219</v>
      </c>
    </row>
    <row r="633" spans="1:5" x14ac:dyDescent="0.2">
      <c r="A633" s="1" t="s">
        <v>1</v>
      </c>
      <c r="B633" s="1" t="s">
        <v>323</v>
      </c>
      <c r="C633" s="5">
        <f>DATE(2025, 7, 14) + TIME(11, 6, 36)</f>
        <v>45852.462916666664</v>
      </c>
      <c r="D633" s="1" t="s">
        <v>269</v>
      </c>
      <c r="E633" s="1" t="s">
        <v>79</v>
      </c>
    </row>
    <row r="634" spans="1:5" x14ac:dyDescent="0.2">
      <c r="A634" s="1" t="s">
        <v>1</v>
      </c>
      <c r="B634" s="1" t="s">
        <v>139</v>
      </c>
      <c r="C634" s="5">
        <f>DATE(2025, 7, 14) + TIME(10, 49, 43)</f>
        <v>45852.451192129629</v>
      </c>
      <c r="D634" s="1" t="s">
        <v>269</v>
      </c>
      <c r="E634" s="1" t="s">
        <v>537</v>
      </c>
    </row>
    <row r="635" spans="1:5" x14ac:dyDescent="0.2">
      <c r="A635" s="1" t="s">
        <v>1</v>
      </c>
      <c r="B635" s="1" t="s">
        <v>323</v>
      </c>
      <c r="C635" s="5">
        <f>DATE(2025, 7, 14) + TIME(10, 49, 20)</f>
        <v>45852.450925925928</v>
      </c>
      <c r="D635" s="1" t="s">
        <v>269</v>
      </c>
      <c r="E635" s="1" t="s">
        <v>748</v>
      </c>
    </row>
    <row r="636" spans="1:5" x14ac:dyDescent="0.2">
      <c r="A636" s="1" t="s">
        <v>1</v>
      </c>
      <c r="B636" s="1" t="s">
        <v>60</v>
      </c>
      <c r="C636" s="5">
        <f>DATE(2025, 7, 14) + TIME(10, 1, 47)</f>
        <v>45852.417905092596</v>
      </c>
      <c r="D636" s="1" t="s">
        <v>341</v>
      </c>
      <c r="E636" s="1" t="s">
        <v>691</v>
      </c>
    </row>
    <row r="637" spans="1:5" x14ac:dyDescent="0.2">
      <c r="A637" s="1" t="s">
        <v>1</v>
      </c>
      <c r="B637" s="1" t="s">
        <v>323</v>
      </c>
      <c r="C637" s="5">
        <f>DATE(2025, 7, 13) + TIME(11, 39, 35)</f>
        <v>45851.485821759263</v>
      </c>
      <c r="D637" s="1" t="s">
        <v>869</v>
      </c>
      <c r="E637" s="1" t="s">
        <v>448</v>
      </c>
    </row>
    <row r="638" spans="1:5" x14ac:dyDescent="0.2">
      <c r="A638" s="1" t="s">
        <v>1</v>
      </c>
      <c r="B638" s="1" t="s">
        <v>60</v>
      </c>
      <c r="C638" s="5">
        <f>DATE(2025, 7, 10) + TIME(13, 52, 39)</f>
        <v>45848.578229166669</v>
      </c>
      <c r="D638" s="1" t="s">
        <v>396</v>
      </c>
      <c r="E638" s="1" t="s">
        <v>567</v>
      </c>
    </row>
    <row r="639" spans="1:5" x14ac:dyDescent="0.2">
      <c r="A639" s="1" t="s">
        <v>1</v>
      </c>
      <c r="B639" s="1" t="s">
        <v>323</v>
      </c>
      <c r="C639" s="5">
        <f>DATE(2025, 7, 10) + TIME(12, 29, 20)</f>
        <v>45848.520370370374</v>
      </c>
      <c r="D639" s="1" t="s">
        <v>269</v>
      </c>
      <c r="E639" s="1" t="s">
        <v>748</v>
      </c>
    </row>
    <row r="640" spans="1:5" x14ac:dyDescent="0.2">
      <c r="A640" s="1" t="s">
        <v>1</v>
      </c>
      <c r="B640" s="1" t="s">
        <v>323</v>
      </c>
      <c r="C640" s="5">
        <f>DATE(2025, 7, 10) + TIME(11, 17, 26)</f>
        <v>45848.470439814817</v>
      </c>
      <c r="D640" s="1" t="s">
        <v>269</v>
      </c>
      <c r="E640" s="1" t="s">
        <v>537</v>
      </c>
    </row>
    <row r="641" spans="1:5" x14ac:dyDescent="0.2">
      <c r="A641" s="1" t="s">
        <v>1</v>
      </c>
      <c r="B641" s="1" t="s">
        <v>60</v>
      </c>
      <c r="C641" s="5">
        <f>DATE(2025, 7, 9) + TIME(12, 52, 16)</f>
        <v>45847.536296296297</v>
      </c>
      <c r="D641" s="1" t="s">
        <v>216</v>
      </c>
      <c r="E641" s="1" t="s">
        <v>101</v>
      </c>
    </row>
    <row r="642" spans="1:5" x14ac:dyDescent="0.2">
      <c r="A642" s="1" t="s">
        <v>1</v>
      </c>
      <c r="B642" s="1" t="s">
        <v>60</v>
      </c>
      <c r="C642" s="5">
        <f>DATE(2025, 7, 9) + TIME(12, 52, 7)</f>
        <v>45847.536192129628</v>
      </c>
      <c r="D642" s="1" t="s">
        <v>226</v>
      </c>
      <c r="E642" s="1" t="s">
        <v>432</v>
      </c>
    </row>
    <row r="643" spans="1:5" x14ac:dyDescent="0.2">
      <c r="A643" s="1" t="s">
        <v>1</v>
      </c>
      <c r="B643" s="1" t="s">
        <v>60</v>
      </c>
      <c r="C643" s="5">
        <f>DATE(2025, 7, 8) + TIME(15, 12, 10)</f>
        <v>45846.633449074077</v>
      </c>
      <c r="D643" s="1" t="s">
        <v>506</v>
      </c>
      <c r="E643" s="1" t="s">
        <v>83</v>
      </c>
    </row>
    <row r="644" spans="1:5" x14ac:dyDescent="0.2">
      <c r="A644" s="1" t="s">
        <v>1</v>
      </c>
      <c r="B644" s="1" t="s">
        <v>866</v>
      </c>
      <c r="C644" s="5">
        <f>DATE(2025, 7, 7) + TIME(12, 46, 16)</f>
        <v>45845.532129629632</v>
      </c>
      <c r="D644" s="1" t="s">
        <v>576</v>
      </c>
      <c r="E644" s="1" t="s">
        <v>625</v>
      </c>
    </row>
    <row r="645" spans="1:5" x14ac:dyDescent="0.2">
      <c r="A645" s="1" t="s">
        <v>1</v>
      </c>
      <c r="B645" s="1" t="s">
        <v>866</v>
      </c>
      <c r="C645" s="5">
        <f>DATE(2025, 7, 7) + TIME(11, 44, 37)</f>
        <v>45845.489317129628</v>
      </c>
      <c r="D645" s="1" t="s">
        <v>576</v>
      </c>
      <c r="E645" s="1" t="s">
        <v>168</v>
      </c>
    </row>
    <row r="646" spans="1:5" x14ac:dyDescent="0.2">
      <c r="A646" s="1" t="s">
        <v>1</v>
      </c>
      <c r="B646" s="1" t="s">
        <v>60</v>
      </c>
      <c r="C646" s="5">
        <f>DATE(2025, 7, 7) + TIME(11, 19, 41)</f>
        <v>45845.472002314818</v>
      </c>
      <c r="D646" s="1" t="s">
        <v>506</v>
      </c>
      <c r="E646" s="1" t="s">
        <v>697</v>
      </c>
    </row>
    <row r="647" spans="1:5" x14ac:dyDescent="0.2">
      <c r="A647" s="1" t="s">
        <v>1</v>
      </c>
      <c r="B647" s="1" t="s">
        <v>60</v>
      </c>
      <c r="C647" s="5">
        <f>DATE(2025, 7, 3) + TIME(13, 43, 6)</f>
        <v>45841.571597222224</v>
      </c>
      <c r="D647" s="1" t="s">
        <v>396</v>
      </c>
      <c r="E647" s="1" t="s">
        <v>567</v>
      </c>
    </row>
    <row r="648" spans="1:5" x14ac:dyDescent="0.2">
      <c r="A648" s="1" t="s">
        <v>1</v>
      </c>
      <c r="B648" s="1" t="s">
        <v>60</v>
      </c>
      <c r="C648" s="5">
        <f>DATE(2025, 7, 2) + TIME(14, 15, 27)</f>
        <v>45840.5940625</v>
      </c>
      <c r="D648" s="1" t="s">
        <v>65</v>
      </c>
      <c r="E648" s="1" t="s">
        <v>432</v>
      </c>
    </row>
    <row r="649" spans="1:5" x14ac:dyDescent="0.2">
      <c r="A649" s="1" t="s">
        <v>1</v>
      </c>
      <c r="B649" s="1" t="s">
        <v>866</v>
      </c>
      <c r="C649" s="5">
        <f>DATE(2025, 7, 1) + TIME(15, 29, 17)</f>
        <v>45839.645335648151</v>
      </c>
      <c r="D649" s="1" t="s">
        <v>320</v>
      </c>
      <c r="E649" s="1" t="s">
        <v>687</v>
      </c>
    </row>
    <row r="650" spans="1:5" x14ac:dyDescent="0.2">
      <c r="A650" s="1" t="s">
        <v>1</v>
      </c>
      <c r="B650" s="1" t="s">
        <v>564</v>
      </c>
      <c r="C650" s="5">
        <f>DATE(2025, 7, 1) + TIME(15, 23, 37)</f>
        <v>45839.641400462962</v>
      </c>
      <c r="D650" s="1" t="s">
        <v>320</v>
      </c>
      <c r="E650" s="1" t="s">
        <v>95</v>
      </c>
    </row>
    <row r="651" spans="1:5" x14ac:dyDescent="0.2">
      <c r="A651" s="1" t="s">
        <v>1</v>
      </c>
      <c r="B651" s="1" t="s">
        <v>60</v>
      </c>
      <c r="C651" s="5">
        <f>DATE(2025, 7, 1) + TIME(12, 54, 56)</f>
        <v>45839.538148148145</v>
      </c>
      <c r="D651" s="1" t="s">
        <v>126</v>
      </c>
      <c r="E651" s="1" t="s">
        <v>143</v>
      </c>
    </row>
    <row r="652" spans="1:5" x14ac:dyDescent="0.2">
      <c r="A652" s="1" t="s">
        <v>1</v>
      </c>
      <c r="B652" s="1" t="s">
        <v>866</v>
      </c>
      <c r="C652" s="5">
        <f>DATE(2025, 7, 1) + TIME(9, 10, 41)</f>
        <v>45839.382418981484</v>
      </c>
      <c r="D652" s="1" t="s">
        <v>869</v>
      </c>
      <c r="E652" s="1" t="s">
        <v>842</v>
      </c>
    </row>
    <row r="653" spans="1:5" x14ac:dyDescent="0.2">
      <c r="A653" s="1" t="s">
        <v>1</v>
      </c>
      <c r="B653" s="1" t="s">
        <v>60</v>
      </c>
      <c r="C653" s="5">
        <f>DATE(2025, 6, 30) + TIME(15, 10, 55)</f>
        <v>45838.632581018515</v>
      </c>
      <c r="D653" s="1" t="s">
        <v>566</v>
      </c>
      <c r="E653" s="1" t="s">
        <v>865</v>
      </c>
    </row>
    <row r="654" spans="1:5" x14ac:dyDescent="0.2">
      <c r="A654" s="1" t="s">
        <v>1</v>
      </c>
      <c r="B654" s="1" t="s">
        <v>60</v>
      </c>
      <c r="C654" s="5">
        <f>DATE(2025, 6, 30) + TIME(14, 49, 37)</f>
        <v>45838.617789351854</v>
      </c>
      <c r="D654" s="1" t="s">
        <v>269</v>
      </c>
      <c r="E654" s="1" t="s">
        <v>273</v>
      </c>
    </row>
    <row r="655" spans="1:5" x14ac:dyDescent="0.2">
      <c r="A655" s="1" t="s">
        <v>1</v>
      </c>
      <c r="B655" s="1" t="s">
        <v>60</v>
      </c>
      <c r="C655" s="5">
        <f>DATE(2025, 6, 30) + TIME(13, 17, 59)</f>
        <v>45838.554155092592</v>
      </c>
      <c r="D655" s="1" t="s">
        <v>640</v>
      </c>
      <c r="E655" s="1" t="s">
        <v>129</v>
      </c>
    </row>
    <row r="656" spans="1:5" x14ac:dyDescent="0.2">
      <c r="A656" s="1" t="s">
        <v>1</v>
      </c>
      <c r="B656" s="1" t="s">
        <v>60</v>
      </c>
      <c r="C656" s="5">
        <f>DATE(2025, 6, 30) + TIME(12, 3, 49)</f>
        <v>45838.502650462964</v>
      </c>
      <c r="D656" s="1" t="s">
        <v>341</v>
      </c>
      <c r="E656" s="1" t="s">
        <v>345</v>
      </c>
    </row>
    <row r="657" spans="1:5" x14ac:dyDescent="0.2">
      <c r="A657" s="1" t="s">
        <v>1</v>
      </c>
      <c r="B657" s="1" t="s">
        <v>866</v>
      </c>
      <c r="C657" s="5">
        <f>DATE(2025, 6, 30) + TIME(10, 39, 20)</f>
        <v>45838.443981481483</v>
      </c>
      <c r="D657" s="1" t="s">
        <v>3</v>
      </c>
      <c r="E657" s="1" t="s">
        <v>168</v>
      </c>
    </row>
    <row r="658" spans="1:5" x14ac:dyDescent="0.2">
      <c r="A658" s="1" t="s">
        <v>1</v>
      </c>
      <c r="B658" s="1" t="s">
        <v>60</v>
      </c>
      <c r="C658" s="5">
        <f>DATE(2025, 6, 29) + TIME(10, 46, 43)</f>
        <v>45837.449108796296</v>
      </c>
      <c r="D658" s="1" t="s">
        <v>869</v>
      </c>
      <c r="E658" s="1" t="s">
        <v>448</v>
      </c>
    </row>
    <row r="659" spans="1:5" x14ac:dyDescent="0.2">
      <c r="A659" s="1" t="s">
        <v>1</v>
      </c>
      <c r="B659" s="1" t="s">
        <v>60</v>
      </c>
      <c r="C659" s="5">
        <f>DATE(2025, 6, 26) + TIME(16, 18, 30)</f>
        <v>45834.679513888892</v>
      </c>
      <c r="D659" s="1" t="s">
        <v>269</v>
      </c>
      <c r="E659" s="1" t="s">
        <v>461</v>
      </c>
    </row>
    <row r="660" spans="1:5" x14ac:dyDescent="0.2">
      <c r="A660" s="1" t="s">
        <v>1</v>
      </c>
      <c r="B660" s="1" t="s">
        <v>60</v>
      </c>
      <c r="C660" s="5">
        <f>DATE(2025, 6, 26) + TIME(15, 53, 2)</f>
        <v>45834.661828703705</v>
      </c>
      <c r="D660" s="1" t="s">
        <v>640</v>
      </c>
      <c r="E660" s="1" t="s">
        <v>70</v>
      </c>
    </row>
    <row r="661" spans="1:5" x14ac:dyDescent="0.2">
      <c r="A661" s="1" t="s">
        <v>1</v>
      </c>
      <c r="B661" s="1" t="s">
        <v>323</v>
      </c>
      <c r="C661" s="5">
        <f>DATE(2025, 6, 26) + TIME(12, 53, 52)</f>
        <v>45834.537407407406</v>
      </c>
      <c r="D661" s="1" t="s">
        <v>269</v>
      </c>
      <c r="E661" s="1" t="s">
        <v>748</v>
      </c>
    </row>
    <row r="662" spans="1:5" x14ac:dyDescent="0.2">
      <c r="A662" s="1" t="s">
        <v>1</v>
      </c>
      <c r="B662" s="1" t="s">
        <v>60</v>
      </c>
      <c r="C662" s="5">
        <f>DATE(2025, 6, 26) + TIME(12, 5, 59)</f>
        <v>45834.504155092596</v>
      </c>
      <c r="D662" s="1" t="s">
        <v>450</v>
      </c>
      <c r="E662" s="1" t="s">
        <v>691</v>
      </c>
    </row>
    <row r="663" spans="1:5" x14ac:dyDescent="0.2">
      <c r="A663" s="1" t="s">
        <v>1</v>
      </c>
      <c r="B663" s="1" t="s">
        <v>323</v>
      </c>
      <c r="C663" s="5">
        <f>DATE(2025, 6, 25) + TIME(15, 34, 30)</f>
        <v>45833.648958333331</v>
      </c>
      <c r="D663" s="1" t="s">
        <v>64</v>
      </c>
      <c r="E663" s="1" t="s">
        <v>213</v>
      </c>
    </row>
    <row r="664" spans="1:5" x14ac:dyDescent="0.2">
      <c r="A664" s="1" t="s">
        <v>1</v>
      </c>
      <c r="B664" s="1" t="s">
        <v>60</v>
      </c>
      <c r="C664" s="5">
        <f>DATE(2025, 6, 25) + TIME(15, 24, 17)</f>
        <v>45833.641863425924</v>
      </c>
      <c r="D664" s="1" t="s">
        <v>64</v>
      </c>
      <c r="E664" s="1" t="s">
        <v>337</v>
      </c>
    </row>
    <row r="665" spans="1:5" x14ac:dyDescent="0.2">
      <c r="A665" s="1" t="s">
        <v>1</v>
      </c>
      <c r="B665" s="1" t="s">
        <v>866</v>
      </c>
      <c r="C665" s="5">
        <f>DATE(2025, 6, 25) + TIME(13, 28, 13)</f>
        <v>45833.561261574076</v>
      </c>
      <c r="D665" s="1" t="s">
        <v>506</v>
      </c>
      <c r="E665" s="1" t="s">
        <v>6</v>
      </c>
    </row>
    <row r="666" spans="1:5" x14ac:dyDescent="0.2">
      <c r="A666" s="1" t="s">
        <v>1</v>
      </c>
      <c r="B666" s="1" t="s">
        <v>60</v>
      </c>
      <c r="C666" s="5">
        <f>DATE(2025, 6, 25) + TIME(13, 22, 15)</f>
        <v>45833.557118055556</v>
      </c>
      <c r="D666" s="1" t="s">
        <v>566</v>
      </c>
      <c r="E666" s="1" t="s">
        <v>831</v>
      </c>
    </row>
    <row r="667" spans="1:5" x14ac:dyDescent="0.2">
      <c r="A667" s="1" t="s">
        <v>1</v>
      </c>
      <c r="B667" s="1" t="s">
        <v>60</v>
      </c>
      <c r="C667" s="5">
        <f>DATE(2025, 6, 25) + TIME(13, 20, 55)</f>
        <v>45833.556192129632</v>
      </c>
      <c r="D667" s="1" t="s">
        <v>65</v>
      </c>
      <c r="E667" s="1" t="s">
        <v>432</v>
      </c>
    </row>
    <row r="668" spans="1:5" x14ac:dyDescent="0.2">
      <c r="A668" s="1" t="s">
        <v>1</v>
      </c>
      <c r="B668" s="1" t="s">
        <v>866</v>
      </c>
      <c r="C668" s="5">
        <f>DATE(2025, 6, 25) + TIME(9, 44, 58)</f>
        <v>45833.406226851854</v>
      </c>
      <c r="D668" s="1" t="s">
        <v>459</v>
      </c>
      <c r="E668" s="1" t="s">
        <v>13</v>
      </c>
    </row>
    <row r="669" spans="1:5" x14ac:dyDescent="0.2">
      <c r="A669" s="1" t="s">
        <v>1</v>
      </c>
      <c r="B669" s="1" t="s">
        <v>866</v>
      </c>
      <c r="C669" s="5">
        <f>DATE(2025, 6, 24) + TIME(15, 54, 26)</f>
        <v>45832.662800925929</v>
      </c>
      <c r="D669" s="1" t="s">
        <v>869</v>
      </c>
      <c r="E669" s="1" t="s">
        <v>275</v>
      </c>
    </row>
    <row r="670" spans="1:5" x14ac:dyDescent="0.2">
      <c r="A670" s="1" t="s">
        <v>1</v>
      </c>
      <c r="B670" s="1" t="s">
        <v>60</v>
      </c>
      <c r="C670" s="5">
        <f>DATE(2025, 6, 24) + TIME(13, 17, 31)</f>
        <v>45832.553831018522</v>
      </c>
      <c r="D670" s="1" t="s">
        <v>65</v>
      </c>
      <c r="E670" s="1" t="s">
        <v>227</v>
      </c>
    </row>
    <row r="671" spans="1:5" x14ac:dyDescent="0.2">
      <c r="A671" s="1" t="s">
        <v>1</v>
      </c>
      <c r="B671" s="1" t="s">
        <v>60</v>
      </c>
      <c r="C671" s="5">
        <f>DATE(2025, 6, 24) + TIME(12, 50, 22)</f>
        <v>45832.53497685185</v>
      </c>
      <c r="D671" s="1" t="s">
        <v>3</v>
      </c>
      <c r="E671" s="1" t="s">
        <v>571</v>
      </c>
    </row>
    <row r="672" spans="1:5" x14ac:dyDescent="0.2">
      <c r="A672" s="1" t="s">
        <v>1</v>
      </c>
      <c r="B672" s="1" t="s">
        <v>60</v>
      </c>
      <c r="C672" s="5">
        <f>DATE(2025, 6, 24) + TIME(11, 27, 26)</f>
        <v>45832.477384259262</v>
      </c>
      <c r="D672" s="1" t="s">
        <v>398</v>
      </c>
      <c r="E672" s="1" t="s">
        <v>675</v>
      </c>
    </row>
    <row r="673" spans="1:5" x14ac:dyDescent="0.2">
      <c r="A673" s="1" t="s">
        <v>1</v>
      </c>
      <c r="B673" s="1" t="s">
        <v>866</v>
      </c>
      <c r="C673" s="5">
        <f>DATE(2025, 6, 24) + TIME(9, 37, 48)</f>
        <v>45832.401250000003</v>
      </c>
      <c r="D673" s="1" t="s">
        <v>869</v>
      </c>
      <c r="E673" s="1" t="s">
        <v>830</v>
      </c>
    </row>
    <row r="674" spans="1:5" x14ac:dyDescent="0.2">
      <c r="A674" s="1" t="s">
        <v>1</v>
      </c>
      <c r="B674" s="1" t="s">
        <v>60</v>
      </c>
      <c r="C674" s="5">
        <f>DATE(2025, 6, 23) + TIME(13, 21, 8)</f>
        <v>45831.556342592594</v>
      </c>
      <c r="D674" s="1" t="s">
        <v>356</v>
      </c>
      <c r="E674" s="1" t="s">
        <v>619</v>
      </c>
    </row>
    <row r="675" spans="1:5" x14ac:dyDescent="0.2">
      <c r="A675" s="1" t="s">
        <v>1</v>
      </c>
      <c r="B675" s="1" t="s">
        <v>60</v>
      </c>
      <c r="C675" s="5">
        <f>DATE(2025, 6, 23) + TIME(12, 53, 49)</f>
        <v>45831.537372685183</v>
      </c>
      <c r="D675" s="1" t="s">
        <v>3</v>
      </c>
      <c r="E675" s="1" t="s">
        <v>625</v>
      </c>
    </row>
    <row r="676" spans="1:5" x14ac:dyDescent="0.2">
      <c r="A676" s="1" t="s">
        <v>1</v>
      </c>
      <c r="B676" s="1" t="s">
        <v>60</v>
      </c>
      <c r="C676" s="5">
        <f>DATE(2025, 6, 23) + TIME(12, 9, 10)</f>
        <v>45831.506365740737</v>
      </c>
      <c r="D676" s="1" t="s">
        <v>566</v>
      </c>
      <c r="E676" s="1" t="s">
        <v>865</v>
      </c>
    </row>
    <row r="677" spans="1:5" x14ac:dyDescent="0.2">
      <c r="A677" s="1" t="s">
        <v>1</v>
      </c>
      <c r="B677" s="1" t="s">
        <v>60</v>
      </c>
      <c r="C677" s="5">
        <f>DATE(2025, 6, 23) + TIME(12, 2, 27)</f>
        <v>45831.501701388886</v>
      </c>
      <c r="D677" s="1" t="s">
        <v>144</v>
      </c>
      <c r="E677" s="1" t="s">
        <v>498</v>
      </c>
    </row>
    <row r="678" spans="1:5" x14ac:dyDescent="0.2">
      <c r="A678" s="1" t="s">
        <v>1</v>
      </c>
      <c r="B678" s="1" t="s">
        <v>60</v>
      </c>
      <c r="C678" s="5">
        <f>DATE(2025, 6, 23) + TIME(8, 46, 56)</f>
        <v>45831.365925925929</v>
      </c>
      <c r="D678" s="1" t="s">
        <v>5</v>
      </c>
      <c r="E678" s="1" t="s">
        <v>795</v>
      </c>
    </row>
    <row r="679" spans="1:5" x14ac:dyDescent="0.2">
      <c r="A679" s="1" t="s">
        <v>1</v>
      </c>
      <c r="B679" s="1" t="s">
        <v>60</v>
      </c>
      <c r="C679" s="5">
        <f>DATE(2025, 6, 19) + TIME(16, 6, 15)</f>
        <v>45827.671006944445</v>
      </c>
      <c r="D679" s="1" t="s">
        <v>216</v>
      </c>
      <c r="E679" s="1" t="s">
        <v>372</v>
      </c>
    </row>
    <row r="680" spans="1:5" x14ac:dyDescent="0.2">
      <c r="A680" s="1" t="s">
        <v>1</v>
      </c>
      <c r="B680" s="1" t="s">
        <v>60</v>
      </c>
      <c r="C680" s="5">
        <f>DATE(2025, 6, 19) + TIME(15, 2, 1)</f>
        <v>45827.626400462963</v>
      </c>
      <c r="D680" s="1" t="s">
        <v>566</v>
      </c>
      <c r="E680" s="1" t="s">
        <v>324</v>
      </c>
    </row>
    <row r="681" spans="1:5" x14ac:dyDescent="0.2">
      <c r="A681" s="1" t="s">
        <v>1</v>
      </c>
      <c r="B681" s="1" t="s">
        <v>60</v>
      </c>
      <c r="C681" s="5">
        <f>DATE(2025, 6, 19) + TIME(15, 2, 1)</f>
        <v>45827.626400462963</v>
      </c>
      <c r="D681" s="1" t="s">
        <v>566</v>
      </c>
      <c r="E681" s="1" t="s">
        <v>865</v>
      </c>
    </row>
    <row r="682" spans="1:5" x14ac:dyDescent="0.2">
      <c r="A682" s="1" t="s">
        <v>1</v>
      </c>
      <c r="B682" s="1" t="s">
        <v>60</v>
      </c>
      <c r="C682" s="5">
        <f>DATE(2025, 6, 19) + TIME(13, 57, 35)</f>
        <v>45827.581655092596</v>
      </c>
      <c r="D682" s="1" t="s">
        <v>638</v>
      </c>
      <c r="E682" s="1" t="s">
        <v>901</v>
      </c>
    </row>
    <row r="683" spans="1:5" x14ac:dyDescent="0.2">
      <c r="A683" s="1" t="s">
        <v>1</v>
      </c>
      <c r="B683" s="1" t="s">
        <v>60</v>
      </c>
      <c r="C683" s="5">
        <f>DATE(2025, 6, 19) + TIME(13, 15, 3)</f>
        <v>45827.552118055559</v>
      </c>
      <c r="D683" s="1" t="s">
        <v>638</v>
      </c>
      <c r="E683" s="1" t="s">
        <v>147</v>
      </c>
    </row>
    <row r="684" spans="1:5" x14ac:dyDescent="0.2">
      <c r="A684" s="1" t="s">
        <v>1</v>
      </c>
      <c r="B684" s="1" t="s">
        <v>60</v>
      </c>
      <c r="C684" s="5">
        <f>DATE(2025, 6, 19) + TIME(12, 44, 36)</f>
        <v>45827.530972222223</v>
      </c>
      <c r="D684" s="1" t="s">
        <v>396</v>
      </c>
      <c r="E684" s="1" t="s">
        <v>567</v>
      </c>
    </row>
    <row r="685" spans="1:5" x14ac:dyDescent="0.2">
      <c r="A685" s="1" t="s">
        <v>1</v>
      </c>
      <c r="B685" s="1" t="s">
        <v>866</v>
      </c>
      <c r="C685" s="5">
        <f>DATE(2025, 6, 19) + TIME(12, 12, 35)</f>
        <v>45827.508738425924</v>
      </c>
      <c r="D685" s="1" t="s">
        <v>320</v>
      </c>
      <c r="E685" s="1" t="s">
        <v>698</v>
      </c>
    </row>
    <row r="686" spans="1:5" x14ac:dyDescent="0.2">
      <c r="A686" s="1" t="s">
        <v>1</v>
      </c>
      <c r="B686" s="1" t="s">
        <v>323</v>
      </c>
      <c r="C686" s="5">
        <f>DATE(2025, 6, 19) + TIME(11, 31, 34)</f>
        <v>45827.480254629627</v>
      </c>
      <c r="D686" s="1" t="s">
        <v>269</v>
      </c>
      <c r="E686" s="1" t="s">
        <v>748</v>
      </c>
    </row>
    <row r="687" spans="1:5" x14ac:dyDescent="0.2">
      <c r="A687" s="1" t="s">
        <v>1</v>
      </c>
      <c r="B687" s="1" t="s">
        <v>60</v>
      </c>
      <c r="C687" s="5">
        <f>DATE(2025, 6, 19) + TIME(11, 20, 53)</f>
        <v>45827.47283564815</v>
      </c>
      <c r="D687" s="1" t="s">
        <v>640</v>
      </c>
      <c r="E687" s="1" t="s">
        <v>520</v>
      </c>
    </row>
    <row r="688" spans="1:5" x14ac:dyDescent="0.2">
      <c r="A688" s="1" t="s">
        <v>1</v>
      </c>
      <c r="B688" s="1" t="s">
        <v>866</v>
      </c>
      <c r="C688" s="5">
        <f>DATE(2025, 6, 18) + TIME(13, 52, 46)</f>
        <v>45826.578310185185</v>
      </c>
      <c r="D688" s="1" t="s">
        <v>396</v>
      </c>
      <c r="E688" s="1" t="s">
        <v>797</v>
      </c>
    </row>
    <row r="689" spans="1:5" x14ac:dyDescent="0.2">
      <c r="A689" s="1" t="s">
        <v>1</v>
      </c>
      <c r="B689" s="1" t="s">
        <v>60</v>
      </c>
      <c r="C689" s="5">
        <f>DATE(2025, 6, 18) + TIME(12, 15, 42)</f>
        <v>45826.51090277778</v>
      </c>
      <c r="D689" s="1" t="s">
        <v>65</v>
      </c>
      <c r="E689" s="1" t="s">
        <v>918</v>
      </c>
    </row>
    <row r="690" spans="1:5" x14ac:dyDescent="0.2">
      <c r="A690" s="1" t="s">
        <v>1</v>
      </c>
      <c r="B690" s="1" t="s">
        <v>60</v>
      </c>
      <c r="C690" s="5">
        <f>DATE(2025, 6, 18) + TIME(12, 0, 36)</f>
        <v>45826.500416666669</v>
      </c>
      <c r="D690" s="1" t="s">
        <v>65</v>
      </c>
      <c r="E690" s="1" t="s">
        <v>432</v>
      </c>
    </row>
    <row r="691" spans="1:5" x14ac:dyDescent="0.2">
      <c r="A691" s="1" t="s">
        <v>1</v>
      </c>
      <c r="B691" s="1" t="s">
        <v>60</v>
      </c>
      <c r="C691" s="5">
        <f>DATE(2025, 6, 17) + TIME(15, 52, 38)</f>
        <v>45825.661550925928</v>
      </c>
      <c r="D691" s="1" t="s">
        <v>398</v>
      </c>
      <c r="E691" s="1" t="s">
        <v>142</v>
      </c>
    </row>
    <row r="692" spans="1:5" x14ac:dyDescent="0.2">
      <c r="A692" s="1" t="s">
        <v>1</v>
      </c>
      <c r="B692" s="1" t="s">
        <v>866</v>
      </c>
      <c r="C692" s="5">
        <f>DATE(2025, 6, 17) + TIME(14, 52, 1)</f>
        <v>45825.619456018518</v>
      </c>
      <c r="D692" s="1" t="s">
        <v>869</v>
      </c>
      <c r="E692" s="1" t="s">
        <v>275</v>
      </c>
    </row>
    <row r="693" spans="1:5" x14ac:dyDescent="0.2">
      <c r="A693" s="1" t="s">
        <v>1</v>
      </c>
      <c r="B693" s="1" t="s">
        <v>60</v>
      </c>
      <c r="C693" s="5">
        <f>DATE(2025, 6, 17) + TIME(13, 47, 56)</f>
        <v>45825.574953703705</v>
      </c>
      <c r="D693" s="1" t="s">
        <v>341</v>
      </c>
      <c r="E693" s="1" t="s">
        <v>143</v>
      </c>
    </row>
    <row r="694" spans="1:5" x14ac:dyDescent="0.2">
      <c r="A694" s="1" t="s">
        <v>1</v>
      </c>
      <c r="B694" s="1" t="s">
        <v>564</v>
      </c>
      <c r="C694" s="5">
        <f>DATE(2025, 6, 17) + TIME(11, 58, 43)</f>
        <v>45825.499108796299</v>
      </c>
      <c r="D694" s="1" t="s">
        <v>320</v>
      </c>
      <c r="E694" s="1" t="s">
        <v>95</v>
      </c>
    </row>
    <row r="695" spans="1:5" x14ac:dyDescent="0.2">
      <c r="A695" s="1" t="s">
        <v>1</v>
      </c>
      <c r="B695" s="1" t="s">
        <v>60</v>
      </c>
      <c r="C695" s="5">
        <f>DATE(2025, 6, 16) + TIME(15, 23, 45)</f>
        <v>45824.641493055555</v>
      </c>
      <c r="D695" s="1" t="s">
        <v>144</v>
      </c>
      <c r="E695" s="1" t="s">
        <v>695</v>
      </c>
    </row>
    <row r="696" spans="1:5" x14ac:dyDescent="0.2">
      <c r="A696" s="1" t="s">
        <v>1</v>
      </c>
      <c r="B696" s="1" t="s">
        <v>60</v>
      </c>
      <c r="C696" s="5">
        <f>DATE(2025, 6, 16) + TIME(13, 7, 22)</f>
        <v>45824.546782407408</v>
      </c>
      <c r="D696" s="1" t="s">
        <v>396</v>
      </c>
      <c r="E696" s="1" t="s">
        <v>102</v>
      </c>
    </row>
    <row r="697" spans="1:5" x14ac:dyDescent="0.2">
      <c r="A697" s="1" t="s">
        <v>1</v>
      </c>
      <c r="B697" s="1" t="s">
        <v>323</v>
      </c>
      <c r="C697" s="5">
        <f>DATE(2025, 6, 16) + TIME(12, 39, 50)</f>
        <v>45824.527662037035</v>
      </c>
      <c r="D697" s="1" t="s">
        <v>269</v>
      </c>
      <c r="E697" s="1" t="s">
        <v>79</v>
      </c>
    </row>
    <row r="698" spans="1:5" x14ac:dyDescent="0.2">
      <c r="A698" s="1" t="s">
        <v>1</v>
      </c>
      <c r="B698" s="1" t="s">
        <v>60</v>
      </c>
      <c r="C698" s="5">
        <f>DATE(2025, 6, 16) + TIME(12, 23, 6)</f>
        <v>45824.516041666669</v>
      </c>
      <c r="D698" s="1" t="s">
        <v>269</v>
      </c>
      <c r="E698" s="1" t="s">
        <v>748</v>
      </c>
    </row>
    <row r="699" spans="1:5" x14ac:dyDescent="0.2">
      <c r="A699" s="1" t="s">
        <v>1</v>
      </c>
      <c r="B699" s="1" t="s">
        <v>60</v>
      </c>
      <c r="C699" s="5">
        <f>DATE(2025, 6, 16) + TIME(12, 19, 31)</f>
        <v>45824.513553240744</v>
      </c>
      <c r="D699" s="1" t="s">
        <v>566</v>
      </c>
      <c r="E699" s="1" t="s">
        <v>865</v>
      </c>
    </row>
    <row r="700" spans="1:5" x14ac:dyDescent="0.2">
      <c r="A700" s="1" t="s">
        <v>1</v>
      </c>
      <c r="B700" s="1" t="s">
        <v>60</v>
      </c>
      <c r="C700" s="5">
        <f>DATE(2025, 6, 16) + TIME(11, 32, 26)</f>
        <v>45824.480856481481</v>
      </c>
      <c r="D700" s="1" t="s">
        <v>65</v>
      </c>
      <c r="E700" s="1" t="s">
        <v>219</v>
      </c>
    </row>
    <row r="701" spans="1:5" x14ac:dyDescent="0.2">
      <c r="A701" s="1" t="s">
        <v>1</v>
      </c>
      <c r="B701" s="1" t="s">
        <v>866</v>
      </c>
      <c r="C701" s="5">
        <f>DATE(2025, 6, 16) + TIME(11, 21, 46)</f>
        <v>45824.473449074074</v>
      </c>
      <c r="D701" s="1" t="s">
        <v>576</v>
      </c>
      <c r="E701" s="1" t="s">
        <v>405</v>
      </c>
    </row>
    <row r="702" spans="1:5" x14ac:dyDescent="0.2">
      <c r="A702" s="1" t="s">
        <v>1</v>
      </c>
      <c r="B702" s="1" t="s">
        <v>60</v>
      </c>
      <c r="C702" s="5">
        <f>DATE(2025, 6, 16) + TIME(10, 50, 12)</f>
        <v>45824.451527777775</v>
      </c>
      <c r="D702" s="1" t="s">
        <v>3</v>
      </c>
      <c r="E702" s="1" t="s">
        <v>168</v>
      </c>
    </row>
    <row r="703" spans="1:5" x14ac:dyDescent="0.2">
      <c r="A703" s="1" t="s">
        <v>1</v>
      </c>
      <c r="B703" s="1" t="s">
        <v>866</v>
      </c>
      <c r="C703" s="5">
        <f>DATE(2025, 6, 16) + TIME(10, 21, 53)</f>
        <v>45824.431863425925</v>
      </c>
      <c r="D703" s="1" t="s">
        <v>869</v>
      </c>
      <c r="E703" s="1" t="s">
        <v>180</v>
      </c>
    </row>
    <row r="704" spans="1:5" x14ac:dyDescent="0.2">
      <c r="A704" s="1" t="s">
        <v>1</v>
      </c>
      <c r="B704" s="1" t="s">
        <v>139</v>
      </c>
      <c r="C704" s="5">
        <f>DATE(2025, 6, 15) + TIME(19, 22, 55)</f>
        <v>45823.807581018518</v>
      </c>
      <c r="D704" s="1" t="s">
        <v>341</v>
      </c>
      <c r="E704" s="1" t="s">
        <v>942</v>
      </c>
    </row>
    <row r="705" spans="1:5" x14ac:dyDescent="0.2">
      <c r="A705" s="1" t="s">
        <v>1</v>
      </c>
      <c r="B705" s="1" t="s">
        <v>60</v>
      </c>
      <c r="C705" s="5">
        <f>DATE(2025, 6, 12) + TIME(15, 50, 45)</f>
        <v>45820.660243055558</v>
      </c>
      <c r="D705" s="1" t="s">
        <v>640</v>
      </c>
      <c r="E705" s="1" t="s">
        <v>520</v>
      </c>
    </row>
    <row r="706" spans="1:5" x14ac:dyDescent="0.2">
      <c r="A706" s="1" t="s">
        <v>1</v>
      </c>
      <c r="B706" s="1" t="s">
        <v>60</v>
      </c>
      <c r="C706" s="5">
        <f>DATE(2025, 6, 12) + TIME(13, 42, 30)</f>
        <v>45820.571180555555</v>
      </c>
      <c r="D706" s="1" t="s">
        <v>638</v>
      </c>
      <c r="E706" s="1" t="s">
        <v>157</v>
      </c>
    </row>
    <row r="707" spans="1:5" x14ac:dyDescent="0.2">
      <c r="A707" s="1" t="s">
        <v>1</v>
      </c>
      <c r="B707" s="1" t="s">
        <v>60</v>
      </c>
      <c r="C707" s="5">
        <f>DATE(2025, 6, 12) + TIME(11, 47, 44)</f>
        <v>45820.491481481484</v>
      </c>
      <c r="D707" s="1" t="s">
        <v>566</v>
      </c>
      <c r="E707" s="1" t="s">
        <v>865</v>
      </c>
    </row>
    <row r="708" spans="1:5" x14ac:dyDescent="0.2">
      <c r="A708" s="1" t="s">
        <v>1</v>
      </c>
      <c r="B708" s="1" t="s">
        <v>60</v>
      </c>
      <c r="C708" s="5">
        <f>DATE(2025, 6, 12) + TIME(11, 23, 4)</f>
        <v>45820.474351851852</v>
      </c>
      <c r="D708" s="1" t="s">
        <v>216</v>
      </c>
      <c r="E708" s="1" t="s">
        <v>372</v>
      </c>
    </row>
    <row r="709" spans="1:5" x14ac:dyDescent="0.2">
      <c r="A709" s="1" t="s">
        <v>1</v>
      </c>
      <c r="B709" s="1" t="s">
        <v>60</v>
      </c>
      <c r="C709" s="5">
        <f>DATE(2025, 6, 12) + TIME(10, 52, 48)</f>
        <v>45820.453333333331</v>
      </c>
      <c r="D709" s="1" t="s">
        <v>506</v>
      </c>
      <c r="E709" s="1" t="s">
        <v>697</v>
      </c>
    </row>
    <row r="710" spans="1:5" x14ac:dyDescent="0.2">
      <c r="A710" s="1" t="s">
        <v>1</v>
      </c>
      <c r="B710" s="1" t="s">
        <v>60</v>
      </c>
      <c r="C710" s="5">
        <f>DATE(2025, 6, 12) + TIME(10, 31, 10)</f>
        <v>45820.438310185185</v>
      </c>
      <c r="D710" s="1" t="s">
        <v>754</v>
      </c>
      <c r="E710" s="1" t="s">
        <v>941</v>
      </c>
    </row>
    <row r="711" spans="1:5" x14ac:dyDescent="0.2">
      <c r="A711" s="1" t="s">
        <v>1</v>
      </c>
      <c r="B711" s="1" t="s">
        <v>564</v>
      </c>
      <c r="C711" s="5">
        <f>DATE(2025, 6, 11) + TIME(16, 57, 0)</f>
        <v>45819.706250000003</v>
      </c>
      <c r="D711" s="1" t="s">
        <v>320</v>
      </c>
      <c r="E711" s="1" t="s">
        <v>90</v>
      </c>
    </row>
    <row r="712" spans="1:5" x14ac:dyDescent="0.2">
      <c r="A712" s="1" t="s">
        <v>1</v>
      </c>
      <c r="B712" s="1" t="s">
        <v>60</v>
      </c>
      <c r="C712" s="5">
        <f>DATE(2025, 6, 11) + TIME(13, 58, 3)</f>
        <v>45819.581979166665</v>
      </c>
      <c r="D712" s="1" t="s">
        <v>126</v>
      </c>
      <c r="E712" s="1" t="s">
        <v>676</v>
      </c>
    </row>
    <row r="713" spans="1:5" x14ac:dyDescent="0.2">
      <c r="A713" s="1" t="s">
        <v>1</v>
      </c>
      <c r="B713" s="1" t="s">
        <v>60</v>
      </c>
      <c r="C713" s="5">
        <f>DATE(2025, 6, 11) + TIME(11, 55, 4)</f>
        <v>45819.496574074074</v>
      </c>
      <c r="D713" s="1" t="s">
        <v>450</v>
      </c>
      <c r="E713" s="1" t="s">
        <v>151</v>
      </c>
    </row>
    <row r="714" spans="1:5" x14ac:dyDescent="0.2">
      <c r="A714" s="1" t="s">
        <v>1</v>
      </c>
      <c r="B714" s="1" t="s">
        <v>866</v>
      </c>
      <c r="C714" s="5">
        <f>DATE(2025, 6, 11) + TIME(11, 26, 27)</f>
        <v>45819.476701388892</v>
      </c>
      <c r="D714" s="1" t="s">
        <v>396</v>
      </c>
      <c r="E714" s="1" t="s">
        <v>286</v>
      </c>
    </row>
    <row r="715" spans="1:5" x14ac:dyDescent="0.2">
      <c r="A715" s="1" t="s">
        <v>1</v>
      </c>
      <c r="B715" s="1" t="s">
        <v>60</v>
      </c>
      <c r="C715" s="5">
        <f>DATE(2025, 6, 10) + TIME(14, 7, 33)</f>
        <v>45818.588576388887</v>
      </c>
      <c r="D715" s="1" t="s">
        <v>869</v>
      </c>
      <c r="E715" s="1" t="s">
        <v>275</v>
      </c>
    </row>
    <row r="716" spans="1:5" x14ac:dyDescent="0.2">
      <c r="A716" s="1" t="s">
        <v>1</v>
      </c>
      <c r="B716" s="1" t="s">
        <v>271</v>
      </c>
      <c r="C716" s="5">
        <f>DATE(2025, 6, 9) + TIME(15, 41, 28)</f>
        <v>45817.653796296298</v>
      </c>
      <c r="D716" s="1" t="s">
        <v>754</v>
      </c>
      <c r="E716" s="1" t="s">
        <v>330</v>
      </c>
    </row>
    <row r="717" spans="1:5" x14ac:dyDescent="0.2">
      <c r="A717" s="1" t="s">
        <v>1</v>
      </c>
      <c r="B717" s="1" t="s">
        <v>60</v>
      </c>
      <c r="C717" s="5">
        <f>DATE(2025, 6, 9) + TIME(15, 36, 8)</f>
        <v>45817.650092592594</v>
      </c>
      <c r="D717" s="1" t="s">
        <v>64</v>
      </c>
      <c r="E717" s="1" t="s">
        <v>630</v>
      </c>
    </row>
    <row r="718" spans="1:5" x14ac:dyDescent="0.2">
      <c r="A718" s="1" t="s">
        <v>1</v>
      </c>
      <c r="B718" s="1" t="s">
        <v>60</v>
      </c>
      <c r="C718" s="5">
        <f>DATE(2025, 6, 9) + TIME(13, 46, 15)</f>
        <v>45817.573784722219</v>
      </c>
      <c r="D718" s="1" t="s">
        <v>216</v>
      </c>
      <c r="E718" s="1" t="s">
        <v>607</v>
      </c>
    </row>
    <row r="719" spans="1:5" x14ac:dyDescent="0.2">
      <c r="A719" s="1" t="s">
        <v>1</v>
      </c>
      <c r="B719" s="1" t="s">
        <v>60</v>
      </c>
      <c r="C719" s="5">
        <f>DATE(2025, 6, 9) + TIME(12, 9, 34)</f>
        <v>45817.506643518522</v>
      </c>
      <c r="D719" s="1" t="s">
        <v>754</v>
      </c>
      <c r="E719" s="1" t="s">
        <v>941</v>
      </c>
    </row>
    <row r="720" spans="1:5" x14ac:dyDescent="0.2">
      <c r="A720" s="1" t="s">
        <v>1</v>
      </c>
      <c r="B720" s="1" t="s">
        <v>60</v>
      </c>
      <c r="C720" s="5">
        <f>DATE(2025, 6, 9) + TIME(12, 7, 34)</f>
        <v>45817.505254629628</v>
      </c>
      <c r="D720" s="1" t="s">
        <v>566</v>
      </c>
      <c r="E720" s="1" t="s">
        <v>865</v>
      </c>
    </row>
    <row r="721" spans="1:5" x14ac:dyDescent="0.2">
      <c r="A721" s="1" t="s">
        <v>1</v>
      </c>
      <c r="B721" s="1" t="s">
        <v>508</v>
      </c>
      <c r="C721" s="5">
        <f>DATE(2025, 6, 9) + TIME(11, 48, 2)</f>
        <v>45817.491689814815</v>
      </c>
      <c r="D721" s="1" t="s">
        <v>576</v>
      </c>
      <c r="E721" s="1" t="s">
        <v>168</v>
      </c>
    </row>
    <row r="722" spans="1:5" x14ac:dyDescent="0.2">
      <c r="A722" s="1" t="s">
        <v>1</v>
      </c>
      <c r="B722" s="1" t="s">
        <v>60</v>
      </c>
      <c r="C722" s="5">
        <f>DATE(2025, 6, 9) + TIME(9, 53, 50)</f>
        <v>45817.41238425926</v>
      </c>
      <c r="D722" s="1" t="s">
        <v>5</v>
      </c>
      <c r="E722" s="1" t="s">
        <v>405</v>
      </c>
    </row>
    <row r="723" spans="1:5" x14ac:dyDescent="0.2">
      <c r="A723" s="1" t="s">
        <v>1</v>
      </c>
      <c r="B723" s="1" t="s">
        <v>866</v>
      </c>
      <c r="C723" s="5">
        <f>DATE(2025, 6, 5) + TIME(14, 41, 54)</f>
        <v>45813.612430555557</v>
      </c>
      <c r="D723" s="1" t="s">
        <v>396</v>
      </c>
      <c r="E723" s="1" t="s">
        <v>140</v>
      </c>
    </row>
    <row r="724" spans="1:5" x14ac:dyDescent="0.2">
      <c r="A724" s="1" t="s">
        <v>1</v>
      </c>
      <c r="B724" s="1" t="s">
        <v>60</v>
      </c>
      <c r="C724" s="5">
        <f>DATE(2025, 6, 5) + TIME(14, 26, 48)</f>
        <v>45813.601944444446</v>
      </c>
      <c r="D724" s="1" t="s">
        <v>341</v>
      </c>
      <c r="E724" s="1" t="s">
        <v>147</v>
      </c>
    </row>
    <row r="725" spans="1:5" x14ac:dyDescent="0.2">
      <c r="A725" s="1" t="s">
        <v>1</v>
      </c>
      <c r="B725" s="1" t="s">
        <v>60</v>
      </c>
      <c r="C725" s="5">
        <f>DATE(2025, 6, 5) + TIME(11, 53, 54)</f>
        <v>45813.495763888888</v>
      </c>
      <c r="D725" s="1" t="s">
        <v>566</v>
      </c>
      <c r="E725" s="1" t="s">
        <v>865</v>
      </c>
    </row>
    <row r="726" spans="1:5" x14ac:dyDescent="0.2">
      <c r="A726" s="1" t="s">
        <v>1</v>
      </c>
      <c r="B726" s="1" t="s">
        <v>866</v>
      </c>
      <c r="C726" s="5">
        <f>DATE(2025, 6, 4) + TIME(13, 54, 44)</f>
        <v>45812.579675925925</v>
      </c>
      <c r="D726" s="1" t="s">
        <v>921</v>
      </c>
      <c r="E726" s="1" t="s">
        <v>474</v>
      </c>
    </row>
    <row r="727" spans="1:5" x14ac:dyDescent="0.2">
      <c r="A727" s="1" t="s">
        <v>1</v>
      </c>
      <c r="B727" s="1" t="s">
        <v>60</v>
      </c>
      <c r="C727" s="5">
        <f>DATE(2025, 6, 4) + TIME(13, 26, 7)</f>
        <v>45812.559803240743</v>
      </c>
      <c r="D727" s="1" t="s">
        <v>450</v>
      </c>
      <c r="E727" s="1" t="s">
        <v>151</v>
      </c>
    </row>
    <row r="728" spans="1:5" x14ac:dyDescent="0.2">
      <c r="A728" s="1" t="s">
        <v>1</v>
      </c>
      <c r="B728" s="1" t="s">
        <v>60</v>
      </c>
      <c r="C728" s="5">
        <f>DATE(2025, 6, 4) + TIME(12, 46, 10)</f>
        <v>45812.532060185185</v>
      </c>
      <c r="D728" s="1" t="s">
        <v>396</v>
      </c>
      <c r="E728" s="1" t="s">
        <v>88</v>
      </c>
    </row>
    <row r="729" spans="1:5" x14ac:dyDescent="0.2">
      <c r="A729" s="1" t="s">
        <v>1</v>
      </c>
      <c r="B729" s="1" t="s">
        <v>60</v>
      </c>
      <c r="C729" s="5">
        <f>DATE(2025, 6, 4) + TIME(10, 31, 0)</f>
        <v>45812.438194444447</v>
      </c>
      <c r="D729" s="1" t="s">
        <v>396</v>
      </c>
      <c r="E729" s="1" t="s">
        <v>507</v>
      </c>
    </row>
    <row r="730" spans="1:5" x14ac:dyDescent="0.2">
      <c r="A730" s="1" t="s">
        <v>1</v>
      </c>
      <c r="B730" s="1" t="s">
        <v>60</v>
      </c>
      <c r="C730" s="5">
        <f>DATE(2025, 6, 3) + TIME(14, 30, 43)</f>
        <v>45811.604664351849</v>
      </c>
      <c r="D730" s="1" t="s">
        <v>65</v>
      </c>
      <c r="E730" s="1" t="s">
        <v>379</v>
      </c>
    </row>
    <row r="731" spans="1:5" x14ac:dyDescent="0.2">
      <c r="A731" s="1" t="s">
        <v>1</v>
      </c>
      <c r="B731" s="1" t="s">
        <v>60</v>
      </c>
      <c r="C731" s="5">
        <f>DATE(2025, 6, 3) + TIME(12, 4, 4)</f>
        <v>45811.502824074072</v>
      </c>
      <c r="D731" s="1" t="s">
        <v>3</v>
      </c>
      <c r="E731" s="1" t="s">
        <v>571</v>
      </c>
    </row>
    <row r="732" spans="1:5" x14ac:dyDescent="0.2">
      <c r="A732" s="1" t="s">
        <v>1</v>
      </c>
      <c r="B732" s="1" t="s">
        <v>60</v>
      </c>
      <c r="C732" s="5">
        <f>DATE(2025, 6, 3) + TIME(10, 48, 54)</f>
        <v>45811.450624999998</v>
      </c>
      <c r="D732" s="1" t="s">
        <v>126</v>
      </c>
      <c r="E732" s="1" t="s">
        <v>143</v>
      </c>
    </row>
    <row r="733" spans="1:5" x14ac:dyDescent="0.2">
      <c r="A733" s="1" t="s">
        <v>1</v>
      </c>
      <c r="B733" s="1" t="s">
        <v>60</v>
      </c>
      <c r="C733" s="5">
        <f>DATE(2025, 6, 2) + TIME(15, 58, 20)</f>
        <v>45810.665509259263</v>
      </c>
      <c r="D733" s="1" t="s">
        <v>65</v>
      </c>
      <c r="E733" s="1" t="s">
        <v>960</v>
      </c>
    </row>
    <row r="734" spans="1:5" x14ac:dyDescent="0.2">
      <c r="A734" s="1" t="s">
        <v>1</v>
      </c>
      <c r="B734" s="1" t="s">
        <v>60</v>
      </c>
      <c r="C734" s="5">
        <f>DATE(2025, 6, 2) + TIME(15, 10, 12)</f>
        <v>45810.63208333333</v>
      </c>
      <c r="D734" s="1" t="s">
        <v>731</v>
      </c>
      <c r="E734" s="1" t="s">
        <v>282</v>
      </c>
    </row>
    <row r="735" spans="1:5" x14ac:dyDescent="0.2">
      <c r="A735" s="1" t="s">
        <v>1</v>
      </c>
      <c r="B735" s="1" t="s">
        <v>60</v>
      </c>
      <c r="C735" s="5">
        <f>DATE(2025, 6, 2) + TIME(14, 50, 25)</f>
        <v>45810.618344907409</v>
      </c>
      <c r="D735" s="1" t="s">
        <v>64</v>
      </c>
      <c r="E735" s="1" t="s">
        <v>630</v>
      </c>
    </row>
    <row r="736" spans="1:5" x14ac:dyDescent="0.2">
      <c r="A736" s="1" t="s">
        <v>1</v>
      </c>
      <c r="B736" s="1" t="s">
        <v>60</v>
      </c>
      <c r="C736" s="5">
        <f>DATE(2025, 6, 2) + TIME(14, 48, 58)</f>
        <v>45810.617337962962</v>
      </c>
      <c r="D736" s="1" t="s">
        <v>144</v>
      </c>
      <c r="E736" s="1" t="s">
        <v>695</v>
      </c>
    </row>
    <row r="737" spans="1:5" x14ac:dyDescent="0.2">
      <c r="A737" s="1" t="s">
        <v>1</v>
      </c>
      <c r="B737" s="1" t="s">
        <v>60</v>
      </c>
      <c r="C737" s="5">
        <f>DATE(2025, 6, 2) + TIME(14, 1, 57)</f>
        <v>45810.584687499999</v>
      </c>
      <c r="D737" s="1" t="s">
        <v>731</v>
      </c>
      <c r="E737" s="1" t="s">
        <v>75</v>
      </c>
    </row>
    <row r="738" spans="1:5" x14ac:dyDescent="0.2">
      <c r="A738" s="1" t="s">
        <v>1</v>
      </c>
      <c r="B738" s="1" t="s">
        <v>60</v>
      </c>
      <c r="C738" s="5">
        <f>DATE(2025, 6, 2) + TIME(13, 41, 40)</f>
        <v>45810.570601851854</v>
      </c>
      <c r="D738" s="1" t="s">
        <v>396</v>
      </c>
      <c r="E738" s="1" t="s">
        <v>567</v>
      </c>
    </row>
    <row r="739" spans="1:5" x14ac:dyDescent="0.2">
      <c r="A739" s="1" t="s">
        <v>1</v>
      </c>
      <c r="B739" s="1" t="s">
        <v>60</v>
      </c>
      <c r="C739" s="5">
        <f>DATE(2025, 6, 2) + TIME(13, 30, 28)</f>
        <v>45810.562824074077</v>
      </c>
      <c r="D739" s="1" t="s">
        <v>566</v>
      </c>
      <c r="E739" s="1" t="s">
        <v>865</v>
      </c>
    </row>
    <row r="740" spans="1:5" x14ac:dyDescent="0.2">
      <c r="A740" s="1" t="s">
        <v>1</v>
      </c>
      <c r="B740" s="1" t="s">
        <v>323</v>
      </c>
      <c r="C740" s="5">
        <f>DATE(2025, 6, 2) + TIME(13, 13, 5)</f>
        <v>45810.550752314812</v>
      </c>
      <c r="D740" s="1" t="s">
        <v>754</v>
      </c>
      <c r="E740" s="1" t="s">
        <v>245</v>
      </c>
    </row>
    <row r="741" spans="1:5" x14ac:dyDescent="0.2">
      <c r="A741" s="1" t="s">
        <v>1</v>
      </c>
      <c r="B741" s="1" t="s">
        <v>927</v>
      </c>
      <c r="C741" s="5">
        <f>DATE(2025, 6, 2) + TIME(11, 30, 32)</f>
        <v>45810.479537037034</v>
      </c>
      <c r="D741" s="1" t="s">
        <v>226</v>
      </c>
      <c r="E741" s="1" t="s">
        <v>245</v>
      </c>
    </row>
    <row r="742" spans="1:5" x14ac:dyDescent="0.2">
      <c r="A742" s="1" t="s">
        <v>1</v>
      </c>
      <c r="B742" s="1" t="s">
        <v>60</v>
      </c>
      <c r="C742" s="5">
        <f>DATE(2025, 5, 29) + TIME(14, 2, 10)</f>
        <v>45806.584837962961</v>
      </c>
      <c r="D742" s="1" t="s">
        <v>638</v>
      </c>
      <c r="E742" s="1" t="s">
        <v>157</v>
      </c>
    </row>
    <row r="743" spans="1:5" x14ac:dyDescent="0.2">
      <c r="A743" s="1" t="s">
        <v>1</v>
      </c>
      <c r="B743" s="1" t="s">
        <v>564</v>
      </c>
      <c r="C743" s="5">
        <f>DATE(2025, 5, 29) + TIME(13, 13, 54)</f>
        <v>45806.551319444443</v>
      </c>
      <c r="D743" s="1" t="s">
        <v>320</v>
      </c>
      <c r="E743" s="1" t="s">
        <v>2</v>
      </c>
    </row>
    <row r="744" spans="1:5" x14ac:dyDescent="0.2">
      <c r="A744" s="1" t="s">
        <v>1</v>
      </c>
      <c r="B744" s="1" t="s">
        <v>564</v>
      </c>
      <c r="C744" s="5">
        <f>DATE(2025, 5, 29) + TIME(13, 13, 54)</f>
        <v>45806.551319444443</v>
      </c>
      <c r="D744" s="1" t="s">
        <v>320</v>
      </c>
      <c r="E744" s="1" t="s">
        <v>565</v>
      </c>
    </row>
    <row r="745" spans="1:5" x14ac:dyDescent="0.2">
      <c r="A745" s="1" t="s">
        <v>1</v>
      </c>
      <c r="B745" s="1" t="s">
        <v>60</v>
      </c>
      <c r="C745" s="5">
        <f>DATE(2025, 5, 29) + TIME(12, 53, 53)</f>
        <v>45806.537418981483</v>
      </c>
      <c r="D745" s="1" t="s">
        <v>216</v>
      </c>
      <c r="E745" s="1" t="s">
        <v>466</v>
      </c>
    </row>
    <row r="746" spans="1:5" x14ac:dyDescent="0.2">
      <c r="A746" s="1" t="s">
        <v>1</v>
      </c>
      <c r="B746" s="1" t="s">
        <v>60</v>
      </c>
      <c r="C746" s="5">
        <f>DATE(2025, 5, 29) + TIME(12, 52, 56)</f>
        <v>45806.536759259259</v>
      </c>
      <c r="D746" s="1" t="s">
        <v>216</v>
      </c>
      <c r="E746" s="1" t="s">
        <v>372</v>
      </c>
    </row>
    <row r="747" spans="1:5" x14ac:dyDescent="0.2">
      <c r="A747" s="1" t="s">
        <v>1</v>
      </c>
      <c r="B747" s="1" t="s">
        <v>60</v>
      </c>
      <c r="C747" s="5">
        <f>DATE(2025, 5, 29) + TIME(12, 33, 47)</f>
        <v>45806.523460648146</v>
      </c>
      <c r="D747" s="1" t="s">
        <v>126</v>
      </c>
      <c r="E747" s="1" t="s">
        <v>74</v>
      </c>
    </row>
    <row r="748" spans="1:5" x14ac:dyDescent="0.2">
      <c r="A748" s="1" t="s">
        <v>1</v>
      </c>
      <c r="B748" s="1" t="s">
        <v>564</v>
      </c>
      <c r="C748" s="5">
        <f>DATE(2025, 5, 29) + TIME(12, 33, 4)</f>
        <v>45806.522962962961</v>
      </c>
      <c r="D748" s="1" t="s">
        <v>269</v>
      </c>
      <c r="E748" s="1" t="s">
        <v>748</v>
      </c>
    </row>
    <row r="749" spans="1:5" x14ac:dyDescent="0.2">
      <c r="A749" s="1" t="s">
        <v>1</v>
      </c>
      <c r="B749" s="1" t="s">
        <v>60</v>
      </c>
      <c r="C749" s="5">
        <f>DATE(2025, 5, 29) + TIME(11, 46, 25)</f>
        <v>45806.490567129629</v>
      </c>
      <c r="D749" s="1" t="s">
        <v>640</v>
      </c>
      <c r="E749" s="1" t="s">
        <v>838</v>
      </c>
    </row>
    <row r="750" spans="1:5" x14ac:dyDescent="0.2">
      <c r="A750" s="1" t="s">
        <v>1</v>
      </c>
      <c r="B750" s="1" t="s">
        <v>60</v>
      </c>
      <c r="C750" s="5">
        <f>DATE(2025, 5, 29) + TIME(11, 22, 11)</f>
        <v>45806.473738425928</v>
      </c>
      <c r="D750" s="1" t="s">
        <v>216</v>
      </c>
      <c r="E750" s="1" t="s">
        <v>466</v>
      </c>
    </row>
    <row r="751" spans="1:5" x14ac:dyDescent="0.2">
      <c r="A751" s="1" t="s">
        <v>1</v>
      </c>
      <c r="B751" s="1" t="s">
        <v>564</v>
      </c>
      <c r="C751" s="5">
        <f>DATE(2025, 5, 28) + TIME(15, 4, 24)</f>
        <v>45805.628055555557</v>
      </c>
      <c r="D751" s="1" t="s">
        <v>506</v>
      </c>
      <c r="E751" s="1" t="s">
        <v>6</v>
      </c>
    </row>
    <row r="752" spans="1:5" x14ac:dyDescent="0.2">
      <c r="A752" s="1" t="s">
        <v>1</v>
      </c>
      <c r="B752" s="1" t="s">
        <v>389</v>
      </c>
      <c r="C752" s="5">
        <f>DATE(2025, 5, 28) + TIME(12, 56, 13)</f>
        <v>45805.539039351854</v>
      </c>
      <c r="D752" s="1" t="s">
        <v>341</v>
      </c>
      <c r="E752" s="1" t="s">
        <v>286</v>
      </c>
    </row>
    <row r="753" spans="1:5" x14ac:dyDescent="0.2">
      <c r="A753" s="1" t="s">
        <v>1</v>
      </c>
      <c r="B753" s="1" t="s">
        <v>323</v>
      </c>
      <c r="C753" s="5">
        <f>DATE(2025, 5, 28) + TIME(12, 33, 3)</f>
        <v>45805.522951388892</v>
      </c>
      <c r="D753" s="1" t="s">
        <v>64</v>
      </c>
      <c r="E753" s="1" t="s">
        <v>337</v>
      </c>
    </row>
    <row r="754" spans="1:5" x14ac:dyDescent="0.2">
      <c r="A754" s="1" t="s">
        <v>1</v>
      </c>
      <c r="B754" s="1" t="s">
        <v>866</v>
      </c>
      <c r="C754" s="5">
        <f>DATE(2025, 5, 28) + TIME(11, 57, 20)</f>
        <v>45805.498148148145</v>
      </c>
      <c r="D754" s="1" t="s">
        <v>459</v>
      </c>
      <c r="E754" s="1" t="s">
        <v>19</v>
      </c>
    </row>
    <row r="755" spans="1:5" x14ac:dyDescent="0.2">
      <c r="A755" s="1" t="s">
        <v>1</v>
      </c>
      <c r="B755" s="1" t="s">
        <v>60</v>
      </c>
      <c r="C755" s="5">
        <f>DATE(2025, 5, 28) + TIME(11, 45, 40)</f>
        <v>45805.490046296298</v>
      </c>
      <c r="D755" s="1" t="s">
        <v>566</v>
      </c>
      <c r="E755" s="1" t="s">
        <v>570</v>
      </c>
    </row>
    <row r="756" spans="1:5" x14ac:dyDescent="0.2">
      <c r="A756" s="1" t="s">
        <v>1</v>
      </c>
      <c r="B756" s="1" t="s">
        <v>60</v>
      </c>
      <c r="C756" s="5">
        <f>DATE(2025, 5, 28) + TIME(11, 13, 40)</f>
        <v>45805.467824074076</v>
      </c>
      <c r="D756" s="1" t="s">
        <v>459</v>
      </c>
      <c r="E756" s="1" t="s">
        <v>536</v>
      </c>
    </row>
    <row r="757" spans="1:5" x14ac:dyDescent="0.2">
      <c r="A757" s="1" t="s">
        <v>1</v>
      </c>
      <c r="B757" s="1" t="s">
        <v>927</v>
      </c>
      <c r="C757" s="5">
        <f>DATE(2025, 5, 28) + TIME(11, 10, 23)</f>
        <v>45805.465543981481</v>
      </c>
      <c r="D757" s="1" t="s">
        <v>450</v>
      </c>
      <c r="E757" s="1" t="s">
        <v>185</v>
      </c>
    </row>
    <row r="758" spans="1:5" x14ac:dyDescent="0.2">
      <c r="A758" s="1" t="s">
        <v>1</v>
      </c>
      <c r="B758" s="1" t="s">
        <v>323</v>
      </c>
      <c r="C758" s="5">
        <f>DATE(2025, 5, 27) + TIME(11, 54, 24)</f>
        <v>45804.496111111112</v>
      </c>
      <c r="D758" s="1" t="s">
        <v>269</v>
      </c>
      <c r="E758" s="1" t="s">
        <v>273</v>
      </c>
    </row>
    <row r="759" spans="1:5" x14ac:dyDescent="0.2">
      <c r="A759" s="1" t="s">
        <v>1</v>
      </c>
      <c r="B759" s="1" t="s">
        <v>866</v>
      </c>
      <c r="C759" s="5">
        <f>DATE(2025, 5, 27) + TIME(9, 42, 53)</f>
        <v>45804.404780092591</v>
      </c>
      <c r="D759" s="1" t="s">
        <v>869</v>
      </c>
      <c r="E759" s="1" t="s">
        <v>830</v>
      </c>
    </row>
    <row r="760" spans="1:5" x14ac:dyDescent="0.2">
      <c r="A760" s="1" t="s">
        <v>1</v>
      </c>
      <c r="B760" s="1" t="s">
        <v>866</v>
      </c>
      <c r="C760" s="5">
        <f>DATE(2025, 5, 27) + TIME(9, 17, 44)</f>
        <v>45804.387314814812</v>
      </c>
      <c r="D760" s="1" t="s">
        <v>869</v>
      </c>
      <c r="E760" s="1" t="s">
        <v>842</v>
      </c>
    </row>
    <row r="761" spans="1:5" x14ac:dyDescent="0.2">
      <c r="A761" s="1" t="s">
        <v>1</v>
      </c>
      <c r="B761" s="1" t="s">
        <v>60</v>
      </c>
      <c r="C761" s="5">
        <f>DATE(2025, 5, 26) + TIME(14, 35, 55)</f>
        <v>45803.608275462961</v>
      </c>
      <c r="D761" s="1" t="s">
        <v>450</v>
      </c>
      <c r="E761" s="1" t="s">
        <v>573</v>
      </c>
    </row>
    <row r="762" spans="1:5" x14ac:dyDescent="0.2">
      <c r="A762" s="1" t="s">
        <v>1</v>
      </c>
      <c r="B762" s="1" t="s">
        <v>60</v>
      </c>
      <c r="C762" s="5">
        <f>DATE(2025, 5, 26) + TIME(13, 3, 17)</f>
        <v>45803.543946759259</v>
      </c>
      <c r="D762" s="1" t="s">
        <v>144</v>
      </c>
      <c r="E762" s="1" t="s">
        <v>695</v>
      </c>
    </row>
    <row r="763" spans="1:5" x14ac:dyDescent="0.2">
      <c r="A763" s="1" t="s">
        <v>1</v>
      </c>
      <c r="B763" s="1" t="s">
        <v>60</v>
      </c>
      <c r="C763" s="5">
        <f>DATE(2025, 5, 26) + TIME(12, 59, 14)</f>
        <v>45803.541134259256</v>
      </c>
      <c r="D763" s="1" t="s">
        <v>450</v>
      </c>
      <c r="E763" s="1" t="s">
        <v>345</v>
      </c>
    </row>
    <row r="764" spans="1:5" x14ac:dyDescent="0.2">
      <c r="A764" s="1" t="s">
        <v>1</v>
      </c>
      <c r="B764" s="1" t="s">
        <v>60</v>
      </c>
      <c r="C764" s="5">
        <f>DATE(2025, 5, 22) + TIME(13, 13, 38)</f>
        <v>45799.551134259258</v>
      </c>
      <c r="D764" s="1" t="s">
        <v>391</v>
      </c>
      <c r="E764" s="1" t="s">
        <v>619</v>
      </c>
    </row>
    <row r="765" spans="1:5" x14ac:dyDescent="0.2">
      <c r="A765" s="1" t="s">
        <v>1</v>
      </c>
      <c r="B765" s="1" t="s">
        <v>60</v>
      </c>
      <c r="C765" s="5">
        <f>DATE(2025, 5, 22) + TIME(13, 6, 49)</f>
        <v>45799.546400462961</v>
      </c>
      <c r="D765" s="1" t="s">
        <v>396</v>
      </c>
      <c r="E765" s="1" t="s">
        <v>567</v>
      </c>
    </row>
    <row r="766" spans="1:5" x14ac:dyDescent="0.2">
      <c r="A766" s="1" t="s">
        <v>1</v>
      </c>
      <c r="B766" s="1" t="s">
        <v>323</v>
      </c>
      <c r="C766" s="5">
        <f>DATE(2025, 5, 22) + TIME(12, 2, 16)</f>
        <v>45799.501574074071</v>
      </c>
      <c r="D766" s="1" t="s">
        <v>754</v>
      </c>
      <c r="E766" s="1" t="s">
        <v>330</v>
      </c>
    </row>
    <row r="767" spans="1:5" x14ac:dyDescent="0.2">
      <c r="A767" s="1" t="s">
        <v>1</v>
      </c>
      <c r="B767" s="1" t="s">
        <v>60</v>
      </c>
      <c r="C767" s="5">
        <f>DATE(2025, 5, 21) + TIME(12, 16, 53)</f>
        <v>45798.511724537035</v>
      </c>
      <c r="D767" s="1" t="s">
        <v>65</v>
      </c>
      <c r="E767" s="1" t="s">
        <v>918</v>
      </c>
    </row>
    <row r="768" spans="1:5" x14ac:dyDescent="0.2">
      <c r="A768" s="1" t="s">
        <v>1</v>
      </c>
      <c r="B768" s="1" t="s">
        <v>60</v>
      </c>
      <c r="C768" s="5">
        <f>DATE(2025, 5, 21) + TIME(11, 26, 8)</f>
        <v>45798.476481481484</v>
      </c>
      <c r="D768" s="1" t="s">
        <v>216</v>
      </c>
      <c r="E768" s="1" t="s">
        <v>321</v>
      </c>
    </row>
    <row r="769" spans="1:5" x14ac:dyDescent="0.2">
      <c r="A769" s="1" t="s">
        <v>1</v>
      </c>
      <c r="B769" s="1" t="s">
        <v>60</v>
      </c>
      <c r="C769" s="5">
        <f>DATE(2025, 5, 21) + TIME(10, 54, 43)</f>
        <v>45798.454664351855</v>
      </c>
      <c r="D769" s="1" t="s">
        <v>320</v>
      </c>
      <c r="E769" s="1" t="s">
        <v>917</v>
      </c>
    </row>
    <row r="770" spans="1:5" x14ac:dyDescent="0.2">
      <c r="A770" s="1" t="s">
        <v>1</v>
      </c>
      <c r="B770" s="1" t="s">
        <v>564</v>
      </c>
      <c r="C770" s="5">
        <f>DATE(2025, 5, 20) + TIME(17, 4, 38)</f>
        <v>45797.711550925924</v>
      </c>
      <c r="D770" s="1" t="s">
        <v>320</v>
      </c>
      <c r="E770" s="1" t="s">
        <v>214</v>
      </c>
    </row>
    <row r="771" spans="1:5" x14ac:dyDescent="0.2">
      <c r="A771" s="1" t="s">
        <v>1</v>
      </c>
      <c r="B771" s="1" t="s">
        <v>60</v>
      </c>
      <c r="C771" s="5">
        <f>DATE(2025, 5, 20) + TIME(15, 17, 23)</f>
        <v>45797.637071759258</v>
      </c>
      <c r="D771" s="1" t="s">
        <v>506</v>
      </c>
      <c r="E771" s="1" t="s">
        <v>83</v>
      </c>
    </row>
    <row r="772" spans="1:5" x14ac:dyDescent="0.2">
      <c r="A772" s="1" t="s">
        <v>1</v>
      </c>
      <c r="B772" s="1" t="s">
        <v>60</v>
      </c>
      <c r="C772" s="5">
        <f>DATE(2025, 5, 19) + TIME(15, 19, 9)</f>
        <v>45796.638298611113</v>
      </c>
      <c r="D772" s="1" t="s">
        <v>65</v>
      </c>
      <c r="E772" s="1" t="s">
        <v>400</v>
      </c>
    </row>
    <row r="773" spans="1:5" x14ac:dyDescent="0.2">
      <c r="A773" s="1" t="s">
        <v>1</v>
      </c>
      <c r="B773" s="1" t="s">
        <v>60</v>
      </c>
      <c r="C773" s="5">
        <f>DATE(2025, 5, 19) + TIME(14, 39, 57)</f>
        <v>45796.611076388886</v>
      </c>
      <c r="D773" s="1" t="s">
        <v>64</v>
      </c>
      <c r="E773" s="1" t="s">
        <v>630</v>
      </c>
    </row>
    <row r="774" spans="1:5" x14ac:dyDescent="0.2">
      <c r="A774" s="1" t="s">
        <v>1</v>
      </c>
      <c r="B774" s="1" t="s">
        <v>60</v>
      </c>
      <c r="C774" s="5">
        <f>DATE(2025, 5, 19) + TIME(13, 36, 47)</f>
        <v>45796.567210648151</v>
      </c>
      <c r="D774" s="1" t="s">
        <v>640</v>
      </c>
      <c r="E774" s="1" t="s">
        <v>520</v>
      </c>
    </row>
    <row r="775" spans="1:5" x14ac:dyDescent="0.2">
      <c r="A775" s="1" t="s">
        <v>1</v>
      </c>
      <c r="B775" s="1" t="s">
        <v>60</v>
      </c>
      <c r="C775" s="5">
        <f>DATE(2025, 5, 19) + TIME(13, 13, 2)</f>
        <v>45796.550717592596</v>
      </c>
      <c r="D775" s="1" t="s">
        <v>65</v>
      </c>
      <c r="E775" s="1" t="s">
        <v>219</v>
      </c>
    </row>
    <row r="776" spans="1:5" x14ac:dyDescent="0.2">
      <c r="A776" s="1" t="s">
        <v>1</v>
      </c>
      <c r="B776" s="1" t="s">
        <v>60</v>
      </c>
      <c r="C776" s="5">
        <f>DATE(2025, 5, 19) + TIME(12, 54, 40)</f>
        <v>45796.537962962961</v>
      </c>
      <c r="D776" s="1" t="s">
        <v>566</v>
      </c>
      <c r="E776" s="1" t="s">
        <v>865</v>
      </c>
    </row>
    <row r="777" spans="1:5" x14ac:dyDescent="0.2">
      <c r="A777" s="1" t="s">
        <v>1</v>
      </c>
      <c r="B777" s="1" t="s">
        <v>564</v>
      </c>
      <c r="C777" s="5">
        <f>DATE(2025, 5, 19) + TIME(12, 28, 43)</f>
        <v>45796.519942129627</v>
      </c>
      <c r="D777" s="1" t="s">
        <v>320</v>
      </c>
      <c r="E777" s="1" t="s">
        <v>698</v>
      </c>
    </row>
    <row r="778" spans="1:5" x14ac:dyDescent="0.2">
      <c r="A778" s="1" t="s">
        <v>1</v>
      </c>
      <c r="B778" s="1" t="s">
        <v>60</v>
      </c>
      <c r="C778" s="5">
        <f>DATE(2025, 5, 19) + TIME(12, 28, 43)</f>
        <v>45796.519942129627</v>
      </c>
      <c r="D778" s="1" t="s">
        <v>320</v>
      </c>
      <c r="E778" s="1" t="s">
        <v>948</v>
      </c>
    </row>
    <row r="779" spans="1:5" x14ac:dyDescent="0.2">
      <c r="A779" s="1" t="s">
        <v>1</v>
      </c>
      <c r="B779" s="1" t="s">
        <v>60</v>
      </c>
      <c r="C779" s="5">
        <f>DATE(2025, 5, 15) + TIME(14, 30, 55)</f>
        <v>45792.604803240742</v>
      </c>
      <c r="D779" s="1" t="s">
        <v>269</v>
      </c>
      <c r="E779" s="1" t="s">
        <v>743</v>
      </c>
    </row>
    <row r="780" spans="1:5" x14ac:dyDescent="0.2">
      <c r="A780" s="1" t="s">
        <v>1</v>
      </c>
      <c r="B780" s="1" t="s">
        <v>323</v>
      </c>
      <c r="C780" s="5">
        <f>DATE(2025, 5, 15) + TIME(12, 10, 1)</f>
        <v>45792.506956018522</v>
      </c>
      <c r="D780" s="1" t="s">
        <v>269</v>
      </c>
      <c r="E780" s="1" t="s">
        <v>748</v>
      </c>
    </row>
    <row r="781" spans="1:5" x14ac:dyDescent="0.2">
      <c r="A781" s="1" t="s">
        <v>1</v>
      </c>
      <c r="B781" s="1" t="s">
        <v>60</v>
      </c>
      <c r="C781" s="5">
        <f>DATE(2025, 5, 15) + TIME(11, 40, 56)</f>
        <v>45792.486759259256</v>
      </c>
      <c r="D781" s="1" t="s">
        <v>341</v>
      </c>
      <c r="E781" s="1" t="s">
        <v>767</v>
      </c>
    </row>
    <row r="782" spans="1:5" x14ac:dyDescent="0.2">
      <c r="A782" s="1" t="s">
        <v>1</v>
      </c>
      <c r="B782" s="1" t="s">
        <v>60</v>
      </c>
      <c r="C782" s="5">
        <f>DATE(2025, 5, 14) + TIME(14, 6, 5)</f>
        <v>45791.587557870371</v>
      </c>
      <c r="D782" s="1" t="s">
        <v>576</v>
      </c>
      <c r="E782" s="1" t="s">
        <v>56</v>
      </c>
    </row>
    <row r="783" spans="1:5" x14ac:dyDescent="0.2">
      <c r="A783" s="1" t="s">
        <v>1</v>
      </c>
      <c r="B783" s="1" t="s">
        <v>866</v>
      </c>
      <c r="C783" s="5">
        <f>DATE(2025, 5, 13) + TIME(16, 1, 53)</f>
        <v>45790.667974537035</v>
      </c>
      <c r="D783" s="1" t="s">
        <v>506</v>
      </c>
      <c r="E783" s="1" t="s">
        <v>83</v>
      </c>
    </row>
    <row r="784" spans="1:5" x14ac:dyDescent="0.2">
      <c r="A784" s="1" t="s">
        <v>1</v>
      </c>
      <c r="B784" s="1" t="s">
        <v>866</v>
      </c>
      <c r="C784" s="5">
        <f>DATE(2025, 5, 13) + TIME(9, 53, 13)</f>
        <v>45790.411956018521</v>
      </c>
      <c r="D784" s="1" t="s">
        <v>396</v>
      </c>
      <c r="E784" s="1" t="s">
        <v>276</v>
      </c>
    </row>
    <row r="785" spans="1:5" x14ac:dyDescent="0.2">
      <c r="A785" s="1" t="s">
        <v>1</v>
      </c>
      <c r="B785" s="1" t="s">
        <v>60</v>
      </c>
      <c r="C785" s="5">
        <f>DATE(2025, 5, 13) + TIME(9, 36, 12)</f>
        <v>45790.400138888886</v>
      </c>
      <c r="D785" s="1" t="s">
        <v>216</v>
      </c>
      <c r="E785" s="1" t="s">
        <v>101</v>
      </c>
    </row>
    <row r="786" spans="1:5" x14ac:dyDescent="0.2">
      <c r="A786" s="1" t="s">
        <v>1</v>
      </c>
      <c r="B786" s="1" t="s">
        <v>866</v>
      </c>
      <c r="C786" s="5">
        <f>DATE(2025, 5, 13) + TIME(9, 26, 14)</f>
        <v>45790.393217592595</v>
      </c>
      <c r="D786" s="1" t="s">
        <v>869</v>
      </c>
      <c r="E786" s="1" t="s">
        <v>842</v>
      </c>
    </row>
    <row r="787" spans="1:5" x14ac:dyDescent="0.2">
      <c r="A787" s="1" t="s">
        <v>1</v>
      </c>
      <c r="B787" s="1" t="s">
        <v>564</v>
      </c>
      <c r="C787" s="5">
        <f>DATE(2025, 5, 13) + TIME(9, 26, 14)</f>
        <v>45790.393217592595</v>
      </c>
      <c r="D787" s="1" t="s">
        <v>869</v>
      </c>
      <c r="E787" s="1" t="s">
        <v>842</v>
      </c>
    </row>
    <row r="788" spans="1:5" x14ac:dyDescent="0.2">
      <c r="A788" s="1" t="s">
        <v>1</v>
      </c>
      <c r="B788" s="1" t="s">
        <v>60</v>
      </c>
      <c r="C788" s="5">
        <f>DATE(2025, 5, 12) + TIME(16, 30, 37)</f>
        <v>45789.687928240739</v>
      </c>
      <c r="D788" s="1" t="s">
        <v>65</v>
      </c>
      <c r="E788" s="1" t="s">
        <v>400</v>
      </c>
    </row>
    <row r="789" spans="1:5" x14ac:dyDescent="0.2">
      <c r="A789" s="1" t="s">
        <v>1</v>
      </c>
      <c r="B789" s="1" t="s">
        <v>60</v>
      </c>
      <c r="C789" s="5">
        <f>DATE(2025, 5, 12) + TIME(15, 26, 2)</f>
        <v>45789.643078703702</v>
      </c>
      <c r="D789" s="1" t="s">
        <v>391</v>
      </c>
      <c r="E789" s="1" t="s">
        <v>336</v>
      </c>
    </row>
    <row r="790" spans="1:5" x14ac:dyDescent="0.2">
      <c r="A790" s="1" t="s">
        <v>1</v>
      </c>
      <c r="B790" s="1" t="s">
        <v>60</v>
      </c>
      <c r="C790" s="5">
        <f>DATE(2025, 5, 12) + TIME(15, 26, 2)</f>
        <v>45789.643078703702</v>
      </c>
      <c r="D790" s="1" t="s">
        <v>391</v>
      </c>
      <c r="E790" s="1" t="s">
        <v>559</v>
      </c>
    </row>
    <row r="791" spans="1:5" x14ac:dyDescent="0.2">
      <c r="A791" s="1" t="s">
        <v>1</v>
      </c>
      <c r="B791" s="1" t="s">
        <v>4</v>
      </c>
      <c r="C791" s="5">
        <f>DATE(2025, 5, 12) + TIME(13, 37, 43)</f>
        <v>45789.567858796298</v>
      </c>
      <c r="D791" s="1" t="s">
        <v>640</v>
      </c>
      <c r="E791" s="1" t="s">
        <v>520</v>
      </c>
    </row>
    <row r="792" spans="1:5" x14ac:dyDescent="0.2">
      <c r="A792" s="1" t="s">
        <v>1</v>
      </c>
      <c r="B792" s="1" t="s">
        <v>60</v>
      </c>
      <c r="C792" s="5">
        <f>DATE(2025, 5, 12) + TIME(13, 35, 5)</f>
        <v>45789.566030092596</v>
      </c>
      <c r="D792" s="1" t="s">
        <v>391</v>
      </c>
      <c r="E792" s="1" t="s">
        <v>619</v>
      </c>
    </row>
    <row r="793" spans="1:5" x14ac:dyDescent="0.2">
      <c r="A793" s="1" t="s">
        <v>1</v>
      </c>
      <c r="B793" s="1" t="s">
        <v>782</v>
      </c>
      <c r="C793" s="5">
        <f>DATE(2025, 5, 12) + TIME(12, 25, 13)</f>
        <v>45789.517511574071</v>
      </c>
      <c r="D793" s="1" t="s">
        <v>269</v>
      </c>
      <c r="E793" s="1" t="s">
        <v>299</v>
      </c>
    </row>
    <row r="794" spans="1:5" x14ac:dyDescent="0.2">
      <c r="A794" s="1" t="s">
        <v>1</v>
      </c>
      <c r="B794" s="1" t="s">
        <v>60</v>
      </c>
      <c r="C794" s="5">
        <f>DATE(2025, 5, 12) + TIME(12, 6, 32)</f>
        <v>45789.504537037035</v>
      </c>
      <c r="D794" s="1" t="s">
        <v>216</v>
      </c>
      <c r="E794" s="1" t="s">
        <v>607</v>
      </c>
    </row>
    <row r="795" spans="1:5" x14ac:dyDescent="0.2">
      <c r="A795" s="1" t="s">
        <v>1</v>
      </c>
      <c r="B795" s="1" t="s">
        <v>60</v>
      </c>
      <c r="C795" s="5">
        <f>DATE(2025, 5, 12) + TIME(11, 52, 13)</f>
        <v>45789.49459490741</v>
      </c>
      <c r="D795" s="1" t="s">
        <v>566</v>
      </c>
      <c r="E795" s="1" t="s">
        <v>865</v>
      </c>
    </row>
    <row r="796" spans="1:5" x14ac:dyDescent="0.2">
      <c r="A796" s="1" t="s">
        <v>1</v>
      </c>
      <c r="B796" s="1" t="s">
        <v>60</v>
      </c>
      <c r="C796" s="5">
        <f>DATE(2025, 5, 12) + TIME(11, 36, 32)</f>
        <v>45789.483703703707</v>
      </c>
      <c r="D796" s="1" t="s">
        <v>3</v>
      </c>
      <c r="E796" s="1" t="s">
        <v>168</v>
      </c>
    </row>
    <row r="797" spans="1:5" x14ac:dyDescent="0.2">
      <c r="A797" s="1" t="s">
        <v>1</v>
      </c>
      <c r="B797" s="1" t="s">
        <v>323</v>
      </c>
      <c r="C797" s="5">
        <f>DATE(2025, 5, 12) + TIME(9, 53, 55)</f>
        <v>45789.412442129629</v>
      </c>
      <c r="D797" s="1" t="s">
        <v>5</v>
      </c>
      <c r="E797" s="1" t="s">
        <v>795</v>
      </c>
    </row>
    <row r="798" spans="1:5" x14ac:dyDescent="0.2">
      <c r="A798" s="1" t="s">
        <v>1</v>
      </c>
      <c r="B798" s="1" t="s">
        <v>60</v>
      </c>
      <c r="C798" s="5">
        <f>DATE(2025, 5, 8) + TIME(15, 14, 28)</f>
        <v>45785.635046296295</v>
      </c>
      <c r="D798" s="1" t="s">
        <v>640</v>
      </c>
      <c r="E798" s="1" t="s">
        <v>520</v>
      </c>
    </row>
    <row r="799" spans="1:5" x14ac:dyDescent="0.2">
      <c r="A799" s="1" t="s">
        <v>1</v>
      </c>
      <c r="B799" s="1" t="s">
        <v>60</v>
      </c>
      <c r="C799" s="5">
        <f>DATE(2025, 5, 8) + TIME(12, 3, 13)</f>
        <v>45785.502233796295</v>
      </c>
      <c r="D799" s="1" t="s">
        <v>216</v>
      </c>
      <c r="E799" s="1" t="s">
        <v>372</v>
      </c>
    </row>
    <row r="800" spans="1:5" x14ac:dyDescent="0.2">
      <c r="A800" s="1" t="s">
        <v>1</v>
      </c>
      <c r="B800" s="1" t="s">
        <v>60</v>
      </c>
      <c r="C800" s="5">
        <f>DATE(2025, 5, 8) + TIME(11, 53, 17)</f>
        <v>45785.495335648149</v>
      </c>
      <c r="D800" s="1" t="s">
        <v>269</v>
      </c>
      <c r="E800" s="1" t="s">
        <v>748</v>
      </c>
    </row>
    <row r="801" spans="1:5" x14ac:dyDescent="0.2">
      <c r="A801" s="1" t="s">
        <v>1</v>
      </c>
      <c r="B801" s="1" t="s">
        <v>564</v>
      </c>
      <c r="C801" s="5">
        <f>DATE(2025, 5, 7) + TIME(16, 14, 9)</f>
        <v>45784.676493055558</v>
      </c>
      <c r="D801" s="1" t="s">
        <v>320</v>
      </c>
      <c r="E801" s="1" t="s">
        <v>90</v>
      </c>
    </row>
    <row r="802" spans="1:5" x14ac:dyDescent="0.2">
      <c r="A802" s="1" t="s">
        <v>1</v>
      </c>
      <c r="B802" s="1" t="s">
        <v>271</v>
      </c>
      <c r="C802" s="5">
        <f>DATE(2025, 5, 7) + TIME(13, 16, 0)</f>
        <v>45784.552777777775</v>
      </c>
      <c r="D802" s="1" t="s">
        <v>226</v>
      </c>
      <c r="E802" s="1" t="s">
        <v>918</v>
      </c>
    </row>
    <row r="803" spans="1:5" x14ac:dyDescent="0.2">
      <c r="A803" s="1" t="s">
        <v>1</v>
      </c>
      <c r="B803" s="1" t="s">
        <v>60</v>
      </c>
      <c r="C803" s="5">
        <f>DATE(2025, 5, 7) + TIME(13, 6, 19)</f>
        <v>45784.546053240738</v>
      </c>
      <c r="D803" s="1" t="s">
        <v>921</v>
      </c>
      <c r="E803" s="1" t="s">
        <v>474</v>
      </c>
    </row>
    <row r="804" spans="1:5" x14ac:dyDescent="0.2">
      <c r="A804" s="1" t="s">
        <v>1</v>
      </c>
      <c r="B804" s="1" t="s">
        <v>60</v>
      </c>
      <c r="C804" s="5">
        <f>DATE(2025, 5, 6) + TIME(16, 37, 23)</f>
        <v>45783.692627314813</v>
      </c>
      <c r="D804" s="1" t="s">
        <v>216</v>
      </c>
      <c r="E804" s="1" t="s">
        <v>298</v>
      </c>
    </row>
    <row r="805" spans="1:5" x14ac:dyDescent="0.2">
      <c r="A805" s="1" t="s">
        <v>1</v>
      </c>
      <c r="B805" s="1" t="s">
        <v>60</v>
      </c>
      <c r="C805" s="5">
        <f>DATE(2025, 5, 6) + TIME(15, 6, 3)</f>
        <v>45783.629201388889</v>
      </c>
      <c r="D805" s="1" t="s">
        <v>226</v>
      </c>
      <c r="E805" s="1" t="s">
        <v>379</v>
      </c>
    </row>
    <row r="806" spans="1:5" x14ac:dyDescent="0.2">
      <c r="A806" s="1" t="s">
        <v>1</v>
      </c>
      <c r="B806" s="1" t="s">
        <v>60</v>
      </c>
      <c r="C806" s="5">
        <f>DATE(2025, 5, 6) + TIME(11, 42, 44)</f>
        <v>45783.488009259258</v>
      </c>
      <c r="D806" s="1" t="s">
        <v>226</v>
      </c>
      <c r="E806" s="1" t="s">
        <v>111</v>
      </c>
    </row>
    <row r="807" spans="1:5" x14ac:dyDescent="0.2">
      <c r="A807" s="1" t="s">
        <v>1</v>
      </c>
      <c r="B807" s="1" t="s">
        <v>60</v>
      </c>
      <c r="C807" s="5">
        <f>DATE(2025, 5, 5) + TIME(14, 5, 34)</f>
        <v>45782.587199074071</v>
      </c>
      <c r="D807" s="1" t="s">
        <v>566</v>
      </c>
      <c r="E807" s="1" t="s">
        <v>865</v>
      </c>
    </row>
    <row r="808" spans="1:5" x14ac:dyDescent="0.2">
      <c r="A808" s="1" t="s">
        <v>1</v>
      </c>
      <c r="B808" s="1" t="s">
        <v>60</v>
      </c>
      <c r="C808" s="5">
        <f>DATE(2025, 5, 5) + TIME(12, 45, 47)</f>
        <v>45782.531793981485</v>
      </c>
      <c r="D808" s="1" t="s">
        <v>396</v>
      </c>
      <c r="E808" s="1" t="s">
        <v>567</v>
      </c>
    </row>
    <row r="809" spans="1:5" x14ac:dyDescent="0.2">
      <c r="A809" s="1" t="s">
        <v>1</v>
      </c>
      <c r="B809" s="1" t="s">
        <v>927</v>
      </c>
      <c r="C809" s="5">
        <f>DATE(2025, 5, 5) + TIME(12, 28, 4)</f>
        <v>45782.519490740742</v>
      </c>
      <c r="D809" s="1" t="s">
        <v>269</v>
      </c>
      <c r="E809" s="1" t="s">
        <v>79</v>
      </c>
    </row>
    <row r="810" spans="1:5" x14ac:dyDescent="0.2">
      <c r="A810" s="1" t="s">
        <v>1</v>
      </c>
      <c r="B810" s="1" t="s">
        <v>60</v>
      </c>
      <c r="C810" s="5">
        <f>DATE(2025, 5, 5) + TIME(12, 19, 46)</f>
        <v>45782.513726851852</v>
      </c>
      <c r="D810" s="1" t="s">
        <v>640</v>
      </c>
      <c r="E810" s="1" t="s">
        <v>608</v>
      </c>
    </row>
    <row r="811" spans="1:5" x14ac:dyDescent="0.2">
      <c r="A811" s="1" t="s">
        <v>1</v>
      </c>
      <c r="B811" s="1" t="s">
        <v>268</v>
      </c>
      <c r="C811" s="5">
        <f>DATE(2025, 5, 5) + TIME(12, 12, 10)</f>
        <v>45782.508449074077</v>
      </c>
      <c r="D811" s="1" t="s">
        <v>269</v>
      </c>
      <c r="E811" s="1" t="s">
        <v>748</v>
      </c>
    </row>
    <row r="812" spans="1:5" x14ac:dyDescent="0.2">
      <c r="A812" s="1" t="s">
        <v>1</v>
      </c>
      <c r="B812" s="1" t="s">
        <v>60</v>
      </c>
      <c r="C812" s="5">
        <f>DATE(2025, 5, 5) + TIME(11, 11, 30)</f>
        <v>45782.466319444444</v>
      </c>
      <c r="D812" s="1" t="s">
        <v>3</v>
      </c>
      <c r="E812" s="1" t="s">
        <v>168</v>
      </c>
    </row>
    <row r="813" spans="1:5" x14ac:dyDescent="0.2">
      <c r="A813" s="1" t="s">
        <v>1</v>
      </c>
      <c r="B813" s="1" t="s">
        <v>323</v>
      </c>
      <c r="C813" s="5">
        <f>DATE(2025, 5, 5) + TIME(9, 44, 10)</f>
        <v>45782.405671296299</v>
      </c>
      <c r="D813" s="1" t="s">
        <v>5</v>
      </c>
      <c r="E813" s="1" t="s">
        <v>405</v>
      </c>
    </row>
    <row r="814" spans="1:5" x14ac:dyDescent="0.2">
      <c r="A814" s="1" t="s">
        <v>1</v>
      </c>
      <c r="B814" s="1" t="s">
        <v>323</v>
      </c>
      <c r="C814" s="5">
        <f>DATE(2025, 5, 5) + TIME(9, 30, 18)</f>
        <v>45782.396041666667</v>
      </c>
      <c r="D814" s="1" t="s">
        <v>5</v>
      </c>
      <c r="E814" s="1" t="s">
        <v>405</v>
      </c>
    </row>
    <row r="815" spans="1:5" x14ac:dyDescent="0.2">
      <c r="A815" s="1" t="s">
        <v>1</v>
      </c>
      <c r="B815" s="1" t="s">
        <v>927</v>
      </c>
      <c r="C815" s="5">
        <f>DATE(2025, 5, 2) + TIME(13, 9, 29)</f>
        <v>45779.548252314817</v>
      </c>
      <c r="D815" s="1" t="s">
        <v>216</v>
      </c>
      <c r="E815" s="1" t="s">
        <v>519</v>
      </c>
    </row>
    <row r="816" spans="1:5" x14ac:dyDescent="0.2">
      <c r="A816" s="1" t="s">
        <v>1</v>
      </c>
      <c r="B816" s="1" t="s">
        <v>60</v>
      </c>
      <c r="C816" s="5">
        <f>DATE(2025, 5, 1) + TIME(11, 46, 43)</f>
        <v>45778.49077546296</v>
      </c>
      <c r="D816" s="1" t="s">
        <v>5</v>
      </c>
      <c r="E816" s="1" t="s">
        <v>763</v>
      </c>
    </row>
    <row r="817" spans="1:5" x14ac:dyDescent="0.2">
      <c r="A817" s="1" t="s">
        <v>1</v>
      </c>
      <c r="B817" s="1" t="s">
        <v>60</v>
      </c>
      <c r="C817" s="5">
        <f>DATE(2025, 5, 1) + TIME(10, 41, 58)</f>
        <v>45778.445810185185</v>
      </c>
      <c r="D817" s="1" t="s">
        <v>356</v>
      </c>
      <c r="E817" s="1" t="s">
        <v>748</v>
      </c>
    </row>
    <row r="818" spans="1:5" x14ac:dyDescent="0.2">
      <c r="A818" s="1" t="s">
        <v>1</v>
      </c>
      <c r="B818" s="1" t="s">
        <v>866</v>
      </c>
      <c r="C818" s="5">
        <f>DATE(2025, 4, 30) + TIME(14, 36, 49)</f>
        <v>45777.608900462961</v>
      </c>
      <c r="D818" s="1" t="s">
        <v>506</v>
      </c>
      <c r="E818" s="1" t="s">
        <v>6</v>
      </c>
    </row>
    <row r="819" spans="1:5" x14ac:dyDescent="0.2">
      <c r="A819" s="1" t="s">
        <v>1</v>
      </c>
      <c r="B819" s="1" t="s">
        <v>323</v>
      </c>
      <c r="C819" s="5">
        <f>DATE(2025, 4, 30) + TIME(13, 47, 5)</f>
        <v>45777.574363425927</v>
      </c>
      <c r="D819" s="1" t="s">
        <v>341</v>
      </c>
      <c r="E819" s="1" t="s">
        <v>567</v>
      </c>
    </row>
    <row r="820" spans="1:5" x14ac:dyDescent="0.2">
      <c r="A820" s="1" t="s">
        <v>1</v>
      </c>
      <c r="B820" s="1" t="s">
        <v>272</v>
      </c>
      <c r="C820" s="5">
        <f>DATE(2025, 4, 30) + TIME(13, 35, 56)</f>
        <v>45777.566620370373</v>
      </c>
      <c r="D820" s="1" t="s">
        <v>450</v>
      </c>
      <c r="E820" s="1" t="s">
        <v>78</v>
      </c>
    </row>
    <row r="821" spans="1:5" x14ac:dyDescent="0.2">
      <c r="A821" s="1" t="s">
        <v>1</v>
      </c>
      <c r="B821" s="1" t="s">
        <v>866</v>
      </c>
      <c r="C821" s="5">
        <f>DATE(2025, 4, 30) + TIME(13, 23, 26)</f>
        <v>45777.557939814818</v>
      </c>
      <c r="D821" s="1" t="s">
        <v>754</v>
      </c>
      <c r="E821" s="1" t="s">
        <v>363</v>
      </c>
    </row>
    <row r="822" spans="1:5" x14ac:dyDescent="0.2">
      <c r="A822" s="1" t="s">
        <v>1</v>
      </c>
      <c r="B822" s="1" t="s">
        <v>927</v>
      </c>
      <c r="C822" s="5">
        <f>DATE(2025, 4, 30) + TIME(13, 13, 36)</f>
        <v>45777.551111111112</v>
      </c>
      <c r="D822" s="1" t="s">
        <v>450</v>
      </c>
      <c r="E822" s="1" t="s">
        <v>185</v>
      </c>
    </row>
    <row r="823" spans="1:5" x14ac:dyDescent="0.2">
      <c r="A823" s="1" t="s">
        <v>1</v>
      </c>
      <c r="B823" s="1" t="s">
        <v>60</v>
      </c>
      <c r="C823" s="5">
        <f>DATE(2025, 4, 30) + TIME(12, 12, 20)</f>
        <v>45777.508564814816</v>
      </c>
      <c r="D823" s="1" t="s">
        <v>216</v>
      </c>
      <c r="E823" s="1" t="s">
        <v>321</v>
      </c>
    </row>
    <row r="824" spans="1:5" x14ac:dyDescent="0.2">
      <c r="A824" s="1" t="s">
        <v>1</v>
      </c>
      <c r="B824" s="1" t="s">
        <v>60</v>
      </c>
      <c r="C824" s="5">
        <f>DATE(2025, 4, 30) + TIME(11, 12, 58)</f>
        <v>45777.46733796296</v>
      </c>
      <c r="D824" s="1" t="s">
        <v>640</v>
      </c>
      <c r="E824" s="1" t="s">
        <v>611</v>
      </c>
    </row>
    <row r="825" spans="1:5" x14ac:dyDescent="0.2">
      <c r="A825" s="1" t="s">
        <v>1</v>
      </c>
      <c r="B825" s="1" t="s">
        <v>60</v>
      </c>
      <c r="C825" s="5">
        <f>DATE(2025, 4, 29) + TIME(16, 18, 29)</f>
        <v>45776.679502314815</v>
      </c>
      <c r="D825" s="1" t="s">
        <v>216</v>
      </c>
      <c r="E825" s="1" t="s">
        <v>101</v>
      </c>
    </row>
    <row r="826" spans="1:5" x14ac:dyDescent="0.2">
      <c r="A826" s="1" t="s">
        <v>1</v>
      </c>
      <c r="B826" s="1" t="s">
        <v>866</v>
      </c>
      <c r="C826" s="5">
        <f>DATE(2025, 4, 29) + TIME(15, 7, 26)</f>
        <v>45776.630162037036</v>
      </c>
      <c r="D826" s="1" t="s">
        <v>506</v>
      </c>
      <c r="E826" s="1" t="s">
        <v>83</v>
      </c>
    </row>
    <row r="827" spans="1:5" x14ac:dyDescent="0.2">
      <c r="A827" s="1" t="s">
        <v>1</v>
      </c>
      <c r="B827" s="1" t="s">
        <v>564</v>
      </c>
      <c r="C827" s="5">
        <f>DATE(2025, 4, 29) + TIME(14, 28, 27)</f>
        <v>45776.603090277778</v>
      </c>
      <c r="D827" s="1" t="s">
        <v>320</v>
      </c>
      <c r="E827" s="1" t="s">
        <v>214</v>
      </c>
    </row>
    <row r="828" spans="1:5" x14ac:dyDescent="0.2">
      <c r="A828" s="1" t="s">
        <v>1</v>
      </c>
      <c r="B828" s="1" t="s">
        <v>60</v>
      </c>
      <c r="C828" s="5">
        <f>DATE(2025, 4, 29) + TIME(12, 34, 51)</f>
        <v>45776.524201388886</v>
      </c>
      <c r="D828" s="1" t="s">
        <v>126</v>
      </c>
      <c r="E828" s="1" t="s">
        <v>581</v>
      </c>
    </row>
    <row r="829" spans="1:5" x14ac:dyDescent="0.2">
      <c r="A829" s="1" t="s">
        <v>1</v>
      </c>
      <c r="B829" s="1" t="s">
        <v>60</v>
      </c>
      <c r="C829" s="5">
        <f>DATE(2025, 4, 29) + TIME(12, 18, 14)</f>
        <v>45776.512662037036</v>
      </c>
      <c r="D829" s="1" t="s">
        <v>3</v>
      </c>
      <c r="E829" s="1" t="s">
        <v>571</v>
      </c>
    </row>
    <row r="830" spans="1:5" x14ac:dyDescent="0.2">
      <c r="A830" s="1" t="s">
        <v>1</v>
      </c>
      <c r="B830" s="1" t="s">
        <v>60</v>
      </c>
      <c r="C830" s="5">
        <f>DATE(2025, 4, 29) + TIME(11, 18, 14)</f>
        <v>45776.470995370371</v>
      </c>
      <c r="D830" s="1" t="s">
        <v>126</v>
      </c>
      <c r="E830" s="1" t="s">
        <v>121</v>
      </c>
    </row>
    <row r="831" spans="1:5" x14ac:dyDescent="0.2">
      <c r="A831" s="1" t="s">
        <v>1</v>
      </c>
      <c r="B831" s="1" t="s">
        <v>60</v>
      </c>
      <c r="C831" s="5">
        <f>DATE(2025, 4, 29) + TIME(10, 16, 16)</f>
        <v>45776.42796296296</v>
      </c>
      <c r="D831" s="1" t="s">
        <v>216</v>
      </c>
      <c r="E831" s="1" t="s">
        <v>101</v>
      </c>
    </row>
    <row r="832" spans="1:5" x14ac:dyDescent="0.2">
      <c r="A832" s="1" t="s">
        <v>1</v>
      </c>
      <c r="B832" s="1" t="s">
        <v>60</v>
      </c>
      <c r="C832" s="5">
        <f>DATE(2025, 4, 28) + TIME(13, 36, 42)</f>
        <v>45775.567152777781</v>
      </c>
      <c r="D832" s="1" t="s">
        <v>506</v>
      </c>
      <c r="E832" s="1" t="s">
        <v>649</v>
      </c>
    </row>
    <row r="833" spans="1:5" x14ac:dyDescent="0.2">
      <c r="A833" s="1" t="s">
        <v>1</v>
      </c>
      <c r="B833" s="1" t="s">
        <v>60</v>
      </c>
      <c r="C833" s="5">
        <f>DATE(2025, 4, 28) + TIME(12, 47, 45)</f>
        <v>45775.533159722225</v>
      </c>
      <c r="D833" s="1" t="s">
        <v>566</v>
      </c>
      <c r="E833" s="1" t="s">
        <v>865</v>
      </c>
    </row>
    <row r="834" spans="1:5" x14ac:dyDescent="0.2">
      <c r="A834" s="1" t="s">
        <v>1</v>
      </c>
      <c r="B834" s="1" t="s">
        <v>60</v>
      </c>
      <c r="C834" s="5">
        <f>DATE(2025, 4, 28) + TIME(12, 39, 56)</f>
        <v>45775.527731481481</v>
      </c>
      <c r="D834" s="1" t="s">
        <v>216</v>
      </c>
      <c r="E834" s="1" t="s">
        <v>607</v>
      </c>
    </row>
    <row r="835" spans="1:5" x14ac:dyDescent="0.2">
      <c r="A835" s="1" t="s">
        <v>1</v>
      </c>
      <c r="B835" s="1" t="s">
        <v>60</v>
      </c>
      <c r="C835" s="5">
        <f>DATE(2025, 4, 28) + TIME(12, 18, 40)</f>
        <v>45775.512962962966</v>
      </c>
      <c r="D835" s="1" t="s">
        <v>3</v>
      </c>
      <c r="E835" s="1" t="s">
        <v>625</v>
      </c>
    </row>
    <row r="836" spans="1:5" x14ac:dyDescent="0.2">
      <c r="A836" s="1" t="s">
        <v>1</v>
      </c>
      <c r="B836" s="1" t="s">
        <v>60</v>
      </c>
      <c r="C836" s="5">
        <f>DATE(2025, 4, 28) + TIME(12, 1, 8)</f>
        <v>45775.500787037039</v>
      </c>
      <c r="D836" s="1" t="s">
        <v>65</v>
      </c>
      <c r="E836" s="1" t="s">
        <v>404</v>
      </c>
    </row>
    <row r="837" spans="1:5" x14ac:dyDescent="0.2">
      <c r="A837" s="1" t="s">
        <v>1</v>
      </c>
      <c r="B837" s="1" t="s">
        <v>564</v>
      </c>
      <c r="C837" s="5">
        <f>DATE(2025, 4, 28) + TIME(11, 35, 23)</f>
        <v>45775.482905092591</v>
      </c>
      <c r="D837" s="1" t="s">
        <v>320</v>
      </c>
      <c r="E837" s="1" t="s">
        <v>948</v>
      </c>
    </row>
    <row r="838" spans="1:5" x14ac:dyDescent="0.2">
      <c r="A838" s="1" t="s">
        <v>1</v>
      </c>
      <c r="B838" s="1" t="s">
        <v>866</v>
      </c>
      <c r="C838" s="5">
        <f>DATE(2025, 4, 28) + TIME(11, 18, 22)</f>
        <v>45775.471087962964</v>
      </c>
      <c r="D838" s="1" t="s">
        <v>3</v>
      </c>
      <c r="E838" s="1" t="s">
        <v>168</v>
      </c>
    </row>
    <row r="839" spans="1:5" x14ac:dyDescent="0.2">
      <c r="A839" s="1" t="s">
        <v>1</v>
      </c>
      <c r="B839" s="1" t="s">
        <v>60</v>
      </c>
      <c r="C839" s="5">
        <f>DATE(2025, 4, 28) + TIME(11, 13, 7)</f>
        <v>45775.467442129629</v>
      </c>
      <c r="D839" s="1" t="s">
        <v>356</v>
      </c>
      <c r="E839" s="1" t="s">
        <v>748</v>
      </c>
    </row>
    <row r="840" spans="1:5" x14ac:dyDescent="0.2">
      <c r="A840" s="1" t="s">
        <v>1</v>
      </c>
      <c r="B840" s="1" t="s">
        <v>60</v>
      </c>
      <c r="C840" s="5">
        <f>DATE(2025, 4, 28) + TIME(10, 46, 50)</f>
        <v>45775.449189814812</v>
      </c>
      <c r="D840" s="1" t="s">
        <v>65</v>
      </c>
      <c r="E840" s="1" t="s">
        <v>219</v>
      </c>
    </row>
    <row r="841" spans="1:5" x14ac:dyDescent="0.2">
      <c r="A841" s="1" t="s">
        <v>1</v>
      </c>
      <c r="B841" s="1" t="s">
        <v>866</v>
      </c>
      <c r="C841" s="5">
        <f>DATE(2025, 4, 28) + TIME(10, 38, 32)</f>
        <v>45775.443425925929</v>
      </c>
      <c r="D841" s="1" t="s">
        <v>341</v>
      </c>
      <c r="E841" s="1" t="s">
        <v>567</v>
      </c>
    </row>
    <row r="842" spans="1:5" x14ac:dyDescent="0.2">
      <c r="A842" s="1" t="s">
        <v>1</v>
      </c>
      <c r="B842" s="1" t="s">
        <v>60</v>
      </c>
      <c r="C842" s="5">
        <f>DATE(2025, 4, 28) + TIME(10, 36, 39)</f>
        <v>45775.442118055558</v>
      </c>
      <c r="D842" s="1" t="s">
        <v>754</v>
      </c>
      <c r="E842" s="1" t="s">
        <v>941</v>
      </c>
    </row>
    <row r="843" spans="1:5" x14ac:dyDescent="0.2">
      <c r="A843" s="1" t="s">
        <v>1</v>
      </c>
      <c r="B843" s="1" t="s">
        <v>60</v>
      </c>
      <c r="C843" s="5">
        <f>DATE(2025, 4, 24) + TIME(15, 41, 15)</f>
        <v>45771.653645833336</v>
      </c>
      <c r="D843" s="1" t="s">
        <v>396</v>
      </c>
      <c r="E843" s="1" t="s">
        <v>140</v>
      </c>
    </row>
    <row r="844" spans="1:5" x14ac:dyDescent="0.2">
      <c r="A844" s="1" t="s">
        <v>1</v>
      </c>
      <c r="B844" s="1" t="s">
        <v>564</v>
      </c>
      <c r="C844" s="5">
        <f>DATE(2025, 4, 24) + TIME(14, 59, 28)</f>
        <v>45771.62462962963</v>
      </c>
      <c r="D844" s="1" t="s">
        <v>506</v>
      </c>
      <c r="E844" s="1" t="s">
        <v>6</v>
      </c>
    </row>
    <row r="845" spans="1:5" x14ac:dyDescent="0.2">
      <c r="A845" s="1" t="s">
        <v>1</v>
      </c>
      <c r="B845" s="1" t="s">
        <v>323</v>
      </c>
      <c r="C845" s="5">
        <f>DATE(2025, 4, 24) + TIME(11, 46, 30)</f>
        <v>45771.490624999999</v>
      </c>
      <c r="D845" s="1" t="s">
        <v>754</v>
      </c>
      <c r="E845" s="1" t="s">
        <v>330</v>
      </c>
    </row>
    <row r="846" spans="1:5" x14ac:dyDescent="0.2">
      <c r="A846" s="1" t="s">
        <v>1</v>
      </c>
      <c r="B846" s="1" t="s">
        <v>60</v>
      </c>
      <c r="C846" s="5">
        <f>DATE(2025, 4, 24) + TIME(11, 12, 37)</f>
        <v>45771.467094907406</v>
      </c>
      <c r="D846" s="1" t="s">
        <v>216</v>
      </c>
      <c r="E846" s="1" t="s">
        <v>372</v>
      </c>
    </row>
    <row r="847" spans="1:5" x14ac:dyDescent="0.2">
      <c r="A847" s="1" t="s">
        <v>1</v>
      </c>
      <c r="B847" s="1" t="s">
        <v>60</v>
      </c>
      <c r="C847" s="5">
        <f>DATE(2025, 4, 24) + TIME(11, 12, 37)</f>
        <v>45771.467094907406</v>
      </c>
      <c r="D847" s="1" t="s">
        <v>216</v>
      </c>
      <c r="E847" s="1" t="s">
        <v>466</v>
      </c>
    </row>
    <row r="848" spans="1:5" x14ac:dyDescent="0.2">
      <c r="A848" s="1" t="s">
        <v>1</v>
      </c>
      <c r="B848" s="1" t="s">
        <v>60</v>
      </c>
      <c r="C848" s="5">
        <f>DATE(2025, 4, 23) + TIME(15, 40, 41)</f>
        <v>45770.653252314813</v>
      </c>
      <c r="D848" s="1" t="s">
        <v>459</v>
      </c>
      <c r="E848" s="1" t="s">
        <v>97</v>
      </c>
    </row>
    <row r="849" spans="1:5" x14ac:dyDescent="0.2">
      <c r="A849" s="1" t="s">
        <v>1</v>
      </c>
      <c r="B849" s="1" t="s">
        <v>60</v>
      </c>
      <c r="C849" s="5">
        <f>DATE(2025, 4, 23) + TIME(15, 39, 8)</f>
        <v>45770.652175925927</v>
      </c>
      <c r="D849" s="1" t="s">
        <v>506</v>
      </c>
      <c r="E849" s="1" t="s">
        <v>702</v>
      </c>
    </row>
    <row r="850" spans="1:5" x14ac:dyDescent="0.2">
      <c r="A850" s="1" t="s">
        <v>1</v>
      </c>
      <c r="B850" s="1" t="s">
        <v>60</v>
      </c>
      <c r="C850" s="5">
        <f>DATE(2025, 4, 23) + TIME(14, 25, 25)</f>
        <v>45770.600983796299</v>
      </c>
      <c r="D850" s="1" t="s">
        <v>921</v>
      </c>
      <c r="E850" s="1" t="s">
        <v>474</v>
      </c>
    </row>
    <row r="851" spans="1:5" x14ac:dyDescent="0.2">
      <c r="A851" s="1" t="s">
        <v>1</v>
      </c>
      <c r="B851" s="1" t="s">
        <v>60</v>
      </c>
      <c r="C851" s="5">
        <f>DATE(2025, 4, 23) + TIME(12, 43, 56)</f>
        <v>45770.530509259261</v>
      </c>
      <c r="D851" s="1" t="s">
        <v>467</v>
      </c>
      <c r="E851" s="1" t="s">
        <v>938</v>
      </c>
    </row>
    <row r="852" spans="1:5" x14ac:dyDescent="0.2">
      <c r="A852" s="1" t="s">
        <v>1</v>
      </c>
      <c r="B852" s="1" t="s">
        <v>60</v>
      </c>
      <c r="C852" s="5">
        <f>DATE(2025, 4, 23) + TIME(12, 37, 5)</f>
        <v>45770.525752314818</v>
      </c>
      <c r="D852" s="1" t="s">
        <v>216</v>
      </c>
      <c r="E852" s="1" t="s">
        <v>321</v>
      </c>
    </row>
    <row r="853" spans="1:5" x14ac:dyDescent="0.2">
      <c r="A853" s="1" t="s">
        <v>1</v>
      </c>
      <c r="B853" s="1" t="s">
        <v>60</v>
      </c>
      <c r="C853" s="5">
        <f>DATE(2025, 4, 23) + TIME(12, 20, 26)</f>
        <v>45770.514189814814</v>
      </c>
      <c r="D853" s="1" t="s">
        <v>459</v>
      </c>
      <c r="E853" s="1" t="s">
        <v>536</v>
      </c>
    </row>
    <row r="854" spans="1:5" x14ac:dyDescent="0.2">
      <c r="A854" s="1" t="s">
        <v>1</v>
      </c>
      <c r="B854" s="1" t="s">
        <v>564</v>
      </c>
      <c r="C854" s="5">
        <f>DATE(2025, 4, 23) + TIME(11, 31, 8)</f>
        <v>45770.479953703703</v>
      </c>
      <c r="D854" s="1" t="s">
        <v>396</v>
      </c>
      <c r="E854" s="1" t="s">
        <v>507</v>
      </c>
    </row>
    <row r="855" spans="1:5" x14ac:dyDescent="0.2">
      <c r="A855" s="1" t="s">
        <v>1</v>
      </c>
      <c r="B855" s="1" t="s">
        <v>60</v>
      </c>
      <c r="C855" s="5">
        <f>DATE(2025, 4, 23) + TIME(11, 20, 28)</f>
        <v>45770.472546296296</v>
      </c>
      <c r="D855" s="1" t="s">
        <v>450</v>
      </c>
      <c r="E855" s="1" t="s">
        <v>185</v>
      </c>
    </row>
    <row r="856" spans="1:5" x14ac:dyDescent="0.2">
      <c r="A856" s="1" t="s">
        <v>1</v>
      </c>
      <c r="B856" s="1" t="s">
        <v>60</v>
      </c>
      <c r="C856" s="5">
        <f>DATE(2025, 4, 22) + TIME(15, 12, 44)</f>
        <v>45769.633842592593</v>
      </c>
      <c r="D856" s="1" t="s">
        <v>506</v>
      </c>
      <c r="E856" s="1" t="s">
        <v>83</v>
      </c>
    </row>
    <row r="857" spans="1:5" x14ac:dyDescent="0.2">
      <c r="A857" s="1" t="s">
        <v>1</v>
      </c>
      <c r="B857" s="1" t="s">
        <v>866</v>
      </c>
      <c r="C857" s="5">
        <f>DATE(2025, 4, 22) + TIME(14, 24, 5)</f>
        <v>45769.600057870368</v>
      </c>
      <c r="D857" s="1" t="s">
        <v>398</v>
      </c>
      <c r="E857" s="1" t="s">
        <v>142</v>
      </c>
    </row>
    <row r="858" spans="1:5" x14ac:dyDescent="0.2">
      <c r="A858" s="1" t="s">
        <v>1</v>
      </c>
      <c r="B858" s="1" t="s">
        <v>60</v>
      </c>
      <c r="C858" s="5">
        <f>DATE(2025, 4, 22) + TIME(14, 24, 5)</f>
        <v>45769.600057870368</v>
      </c>
      <c r="D858" s="1" t="s">
        <v>398</v>
      </c>
      <c r="E858" s="1" t="s">
        <v>142</v>
      </c>
    </row>
    <row r="859" spans="1:5" x14ac:dyDescent="0.2">
      <c r="A859" s="1" t="s">
        <v>1</v>
      </c>
      <c r="B859" s="1" t="s">
        <v>866</v>
      </c>
      <c r="C859" s="5">
        <f>DATE(2025, 4, 22) + TIME(12, 24, 39)</f>
        <v>45769.517118055555</v>
      </c>
      <c r="D859" s="1" t="s">
        <v>3</v>
      </c>
      <c r="E859" s="1" t="s">
        <v>571</v>
      </c>
    </row>
    <row r="860" spans="1:5" x14ac:dyDescent="0.2">
      <c r="A860" s="1" t="s">
        <v>1</v>
      </c>
      <c r="B860" s="1" t="s">
        <v>564</v>
      </c>
      <c r="C860" s="5">
        <f>DATE(2025, 4, 21) + TIME(15, 56, 2)</f>
        <v>45768.663912037038</v>
      </c>
      <c r="D860" s="1" t="s">
        <v>320</v>
      </c>
      <c r="E860" s="1" t="s">
        <v>687</v>
      </c>
    </row>
    <row r="861" spans="1:5" x14ac:dyDescent="0.2">
      <c r="A861" s="1" t="s">
        <v>1</v>
      </c>
      <c r="B861" s="1" t="s">
        <v>564</v>
      </c>
      <c r="C861" s="5">
        <f>DATE(2025, 4, 21) + TIME(14, 39, 49)</f>
        <v>45768.610983796294</v>
      </c>
      <c r="D861" s="1" t="s">
        <v>144</v>
      </c>
      <c r="E861" s="1" t="s">
        <v>946</v>
      </c>
    </row>
    <row r="862" spans="1:5" x14ac:dyDescent="0.2">
      <c r="A862" s="1" t="s">
        <v>1</v>
      </c>
      <c r="B862" s="1" t="s">
        <v>866</v>
      </c>
      <c r="C862" s="5">
        <f>DATE(2025, 4, 21) + TIME(13, 53, 2)</f>
        <v>45768.57849537037</v>
      </c>
      <c r="D862" s="1" t="s">
        <v>3</v>
      </c>
      <c r="E862" s="1" t="s">
        <v>168</v>
      </c>
    </row>
    <row r="863" spans="1:5" x14ac:dyDescent="0.2">
      <c r="A863" s="1" t="s">
        <v>1</v>
      </c>
      <c r="B863" s="1" t="s">
        <v>60</v>
      </c>
      <c r="C863" s="5">
        <f>DATE(2025, 4, 21) + TIME(12, 53, 29)</f>
        <v>45768.537141203706</v>
      </c>
      <c r="D863" s="1" t="s">
        <v>269</v>
      </c>
      <c r="E863" s="1" t="s">
        <v>748</v>
      </c>
    </row>
    <row r="864" spans="1:5" x14ac:dyDescent="0.2">
      <c r="A864" s="1" t="s">
        <v>1</v>
      </c>
      <c r="B864" s="1" t="s">
        <v>60</v>
      </c>
      <c r="C864" s="5">
        <f>DATE(2025, 4, 21) + TIME(12, 33, 39)</f>
        <v>45768.523368055554</v>
      </c>
      <c r="D864" s="1" t="s">
        <v>396</v>
      </c>
      <c r="E864" s="1" t="s">
        <v>102</v>
      </c>
    </row>
    <row r="865" spans="1:5" x14ac:dyDescent="0.2">
      <c r="A865" s="1" t="s">
        <v>1</v>
      </c>
      <c r="B865" s="1" t="s">
        <v>60</v>
      </c>
      <c r="C865" s="5">
        <f>DATE(2025, 4, 21) + TIME(12, 24, 12)</f>
        <v>45768.516805555555</v>
      </c>
      <c r="D865" s="1" t="s">
        <v>269</v>
      </c>
      <c r="E865" s="1" t="s">
        <v>79</v>
      </c>
    </row>
    <row r="866" spans="1:5" x14ac:dyDescent="0.2">
      <c r="A866" s="1" t="s">
        <v>1</v>
      </c>
      <c r="B866" s="1" t="s">
        <v>564</v>
      </c>
      <c r="C866" s="5">
        <f>DATE(2025, 4, 21) + TIME(11, 25, 52)</f>
        <v>45768.4762962963</v>
      </c>
      <c r="D866" s="1" t="s">
        <v>467</v>
      </c>
      <c r="E866" s="1" t="s">
        <v>865</v>
      </c>
    </row>
    <row r="867" spans="1:5" x14ac:dyDescent="0.2">
      <c r="A867" s="1" t="s">
        <v>1</v>
      </c>
      <c r="B867" s="1" t="s">
        <v>60</v>
      </c>
      <c r="C867" s="5">
        <f>DATE(2025, 4, 17) + TIME(15, 6, 44)</f>
        <v>45764.629675925928</v>
      </c>
      <c r="D867" s="1" t="s">
        <v>640</v>
      </c>
      <c r="E867" s="1" t="s">
        <v>667</v>
      </c>
    </row>
    <row r="868" spans="1:5" x14ac:dyDescent="0.2">
      <c r="A868" s="1" t="s">
        <v>1</v>
      </c>
      <c r="B868" s="1" t="s">
        <v>60</v>
      </c>
      <c r="C868" s="5">
        <f>DATE(2025, 4, 17) + TIME(13, 56, 32)</f>
        <v>45764.580925925926</v>
      </c>
      <c r="D868" s="1" t="s">
        <v>563</v>
      </c>
      <c r="E868" s="1" t="s">
        <v>809</v>
      </c>
    </row>
    <row r="869" spans="1:5" x14ac:dyDescent="0.2">
      <c r="A869" s="1" t="s">
        <v>1</v>
      </c>
      <c r="B869" s="1" t="s">
        <v>60</v>
      </c>
      <c r="C869" s="5">
        <f>DATE(2025, 4, 17) + TIME(13, 44, 26)</f>
        <v>45764.572523148148</v>
      </c>
      <c r="D869" s="1" t="s">
        <v>640</v>
      </c>
      <c r="E869" s="1" t="s">
        <v>520</v>
      </c>
    </row>
    <row r="870" spans="1:5" x14ac:dyDescent="0.2">
      <c r="A870" s="1" t="s">
        <v>1</v>
      </c>
      <c r="B870" s="1" t="s">
        <v>60</v>
      </c>
      <c r="C870" s="5">
        <f>DATE(2025, 4, 17) + TIME(13, 43, 6)</f>
        <v>45764.571597222224</v>
      </c>
      <c r="D870" s="1" t="s">
        <v>5</v>
      </c>
      <c r="E870" s="1" t="s">
        <v>763</v>
      </c>
    </row>
    <row r="871" spans="1:5" x14ac:dyDescent="0.2">
      <c r="A871" s="1" t="s">
        <v>1</v>
      </c>
      <c r="B871" s="1" t="s">
        <v>60</v>
      </c>
      <c r="C871" s="5">
        <f>DATE(2025, 4, 17) + TIME(13, 34, 45)</f>
        <v>45764.565798611111</v>
      </c>
      <c r="D871" s="1" t="s">
        <v>396</v>
      </c>
      <c r="E871" s="1" t="s">
        <v>567</v>
      </c>
    </row>
    <row r="872" spans="1:5" x14ac:dyDescent="0.2">
      <c r="A872" s="1" t="s">
        <v>1</v>
      </c>
      <c r="B872" s="1" t="s">
        <v>866</v>
      </c>
      <c r="C872" s="5">
        <f>DATE(2025, 4, 17) + TIME(10, 28, 24)</f>
        <v>45764.436388888891</v>
      </c>
      <c r="D872" s="1" t="s">
        <v>459</v>
      </c>
      <c r="E872" s="1" t="s">
        <v>574</v>
      </c>
    </row>
    <row r="873" spans="1:5" x14ac:dyDescent="0.2">
      <c r="A873" s="1" t="s">
        <v>1</v>
      </c>
      <c r="B873" s="1" t="s">
        <v>60</v>
      </c>
      <c r="C873" s="5">
        <f>DATE(2025, 4, 16) + TIME(13, 57, 41)</f>
        <v>45763.581724537034</v>
      </c>
      <c r="D873" s="1" t="s">
        <v>750</v>
      </c>
      <c r="E873" s="1" t="s">
        <v>702</v>
      </c>
    </row>
    <row r="874" spans="1:5" x14ac:dyDescent="0.2">
      <c r="A874" s="1" t="s">
        <v>1</v>
      </c>
      <c r="B874" s="1" t="s">
        <v>60</v>
      </c>
      <c r="C874" s="5">
        <f>DATE(2025, 4, 16) + TIME(12, 59, 11)</f>
        <v>45763.54109953704</v>
      </c>
      <c r="D874" s="1" t="s">
        <v>216</v>
      </c>
      <c r="E874" s="1" t="s">
        <v>321</v>
      </c>
    </row>
    <row r="875" spans="1:5" x14ac:dyDescent="0.2">
      <c r="A875" s="1" t="s">
        <v>1</v>
      </c>
      <c r="B875" s="1" t="s">
        <v>60</v>
      </c>
      <c r="C875" s="5">
        <f>DATE(2025, 4, 15) + TIME(13, 55, 19)</f>
        <v>45762.580081018517</v>
      </c>
      <c r="D875" s="1" t="s">
        <v>126</v>
      </c>
      <c r="E875" s="1" t="s">
        <v>143</v>
      </c>
    </row>
    <row r="876" spans="1:5" x14ac:dyDescent="0.2">
      <c r="A876" s="1" t="s">
        <v>1</v>
      </c>
      <c r="B876" s="1" t="s">
        <v>60</v>
      </c>
      <c r="C876" s="5">
        <f>DATE(2025, 4, 15) + TIME(13, 37, 54)</f>
        <v>45762.567986111113</v>
      </c>
      <c r="D876" s="1" t="s">
        <v>869</v>
      </c>
      <c r="E876" s="1" t="s">
        <v>327</v>
      </c>
    </row>
    <row r="877" spans="1:5" x14ac:dyDescent="0.2">
      <c r="A877" s="1" t="s">
        <v>1</v>
      </c>
      <c r="B877" s="1" t="s">
        <v>60</v>
      </c>
      <c r="C877" s="5">
        <f>DATE(2025, 4, 15) + TIME(13, 37, 28)</f>
        <v>45762.567685185182</v>
      </c>
      <c r="D877" s="1" t="s">
        <v>126</v>
      </c>
      <c r="E877" s="1" t="s">
        <v>894</v>
      </c>
    </row>
    <row r="878" spans="1:5" x14ac:dyDescent="0.2">
      <c r="A878" s="1" t="s">
        <v>1</v>
      </c>
      <c r="B878" s="1" t="s">
        <v>564</v>
      </c>
      <c r="C878" s="5">
        <f>DATE(2025, 4, 15) + TIME(13, 1, 48)</f>
        <v>45762.542916666665</v>
      </c>
      <c r="D878" s="1" t="s">
        <v>320</v>
      </c>
      <c r="E878" s="1" t="s">
        <v>95</v>
      </c>
    </row>
    <row r="879" spans="1:5" x14ac:dyDescent="0.2">
      <c r="A879" s="1" t="s">
        <v>1</v>
      </c>
      <c r="B879" s="1" t="s">
        <v>60</v>
      </c>
      <c r="C879" s="5">
        <f>DATE(2025, 4, 15) + TIME(12, 59, 20)</f>
        <v>45762.541203703702</v>
      </c>
      <c r="D879" s="1" t="s">
        <v>65</v>
      </c>
      <c r="E879" s="1" t="s">
        <v>694</v>
      </c>
    </row>
    <row r="880" spans="1:5" x14ac:dyDescent="0.2">
      <c r="A880" s="1" t="s">
        <v>1</v>
      </c>
      <c r="B880" s="1" t="s">
        <v>866</v>
      </c>
      <c r="C880" s="5">
        <f>DATE(2025, 4, 15) + TIME(12, 51, 14)</f>
        <v>45762.535578703704</v>
      </c>
      <c r="D880" s="1" t="s">
        <v>3</v>
      </c>
      <c r="E880" s="1" t="s">
        <v>571</v>
      </c>
    </row>
    <row r="881" spans="1:5" x14ac:dyDescent="0.2">
      <c r="A881" s="1" t="s">
        <v>1</v>
      </c>
      <c r="B881" s="1" t="s">
        <v>60</v>
      </c>
      <c r="C881" s="5">
        <f>DATE(2025, 4, 15) + TIME(11, 57, 46)</f>
        <v>45762.498449074075</v>
      </c>
      <c r="D881" s="1" t="s">
        <v>269</v>
      </c>
      <c r="E881" s="1" t="s">
        <v>816</v>
      </c>
    </row>
    <row r="882" spans="1:5" x14ac:dyDescent="0.2">
      <c r="A882" s="1" t="s">
        <v>1</v>
      </c>
      <c r="B882" s="1" t="s">
        <v>60</v>
      </c>
      <c r="C882" s="5">
        <f>DATE(2025, 4, 15) + TIME(8, 55, 4)</f>
        <v>45762.371574074074</v>
      </c>
      <c r="D882" s="1" t="s">
        <v>65</v>
      </c>
      <c r="E882" s="1" t="s">
        <v>152</v>
      </c>
    </row>
    <row r="883" spans="1:5" x14ac:dyDescent="0.2">
      <c r="A883" s="1" t="s">
        <v>1</v>
      </c>
      <c r="B883" s="1" t="s">
        <v>866</v>
      </c>
      <c r="C883" s="5">
        <f>DATE(2025, 4, 14) + TIME(15, 49, 22)</f>
        <v>45761.659282407411</v>
      </c>
      <c r="D883" s="1" t="s">
        <v>64</v>
      </c>
      <c r="E883" s="1" t="s">
        <v>636</v>
      </c>
    </row>
    <row r="884" spans="1:5" x14ac:dyDescent="0.2">
      <c r="A884" s="1" t="s">
        <v>1</v>
      </c>
      <c r="B884" s="1" t="s">
        <v>323</v>
      </c>
      <c r="C884" s="5">
        <f>DATE(2025, 4, 14) + TIME(14, 30, 31)</f>
        <v>45761.604525462964</v>
      </c>
      <c r="D884" s="1" t="s">
        <v>64</v>
      </c>
      <c r="E884" s="1" t="s">
        <v>630</v>
      </c>
    </row>
    <row r="885" spans="1:5" x14ac:dyDescent="0.2">
      <c r="A885" s="1" t="s">
        <v>1</v>
      </c>
      <c r="B885" s="1" t="s">
        <v>866</v>
      </c>
      <c r="C885" s="5">
        <f>DATE(2025, 4, 14) + TIME(12, 21, 18)</f>
        <v>45761.514791666668</v>
      </c>
      <c r="D885" s="1" t="s">
        <v>3</v>
      </c>
      <c r="E885" s="1" t="s">
        <v>696</v>
      </c>
    </row>
    <row r="886" spans="1:5" x14ac:dyDescent="0.2">
      <c r="A886" s="1" t="s">
        <v>1</v>
      </c>
      <c r="B886" s="1" t="s">
        <v>60</v>
      </c>
      <c r="C886" s="5">
        <f>DATE(2025, 4, 14) + TIME(12, 3, 57)</f>
        <v>45761.502743055556</v>
      </c>
      <c r="D886" s="1" t="s">
        <v>216</v>
      </c>
      <c r="E886" s="1" t="s">
        <v>607</v>
      </c>
    </row>
    <row r="887" spans="1:5" x14ac:dyDescent="0.2">
      <c r="A887" s="1" t="s">
        <v>1</v>
      </c>
      <c r="B887" s="1" t="s">
        <v>323</v>
      </c>
      <c r="C887" s="5">
        <f>DATE(2025, 4, 14) + TIME(12, 1, 11)</f>
        <v>45761.500821759262</v>
      </c>
      <c r="D887" s="1" t="s">
        <v>269</v>
      </c>
      <c r="E887" s="1" t="s">
        <v>299</v>
      </c>
    </row>
    <row r="888" spans="1:5" x14ac:dyDescent="0.2">
      <c r="A888" s="1" t="s">
        <v>1</v>
      </c>
      <c r="B888" s="1" t="s">
        <v>564</v>
      </c>
      <c r="C888" s="5">
        <f>DATE(2025, 4, 14) + TIME(11, 22, 59)</f>
        <v>45761.474293981482</v>
      </c>
      <c r="D888" s="1" t="s">
        <v>320</v>
      </c>
      <c r="E888" s="1" t="s">
        <v>948</v>
      </c>
    </row>
    <row r="889" spans="1:5" x14ac:dyDescent="0.2">
      <c r="A889" s="1" t="s">
        <v>1</v>
      </c>
      <c r="B889" s="1" t="s">
        <v>866</v>
      </c>
      <c r="C889" s="5">
        <f>DATE(2025, 4, 14) + TIME(10, 21, 39)</f>
        <v>45761.431701388887</v>
      </c>
      <c r="D889" s="1" t="s">
        <v>863</v>
      </c>
      <c r="E889" s="1" t="s">
        <v>844</v>
      </c>
    </row>
    <row r="890" spans="1:5" x14ac:dyDescent="0.2">
      <c r="A890" s="1" t="s">
        <v>1</v>
      </c>
      <c r="B890" s="1" t="s">
        <v>60</v>
      </c>
      <c r="C890" s="5">
        <f>DATE(2025, 4, 10) + TIME(14, 34, 0)</f>
        <v>45757.606944444444</v>
      </c>
      <c r="D890" s="1" t="s">
        <v>566</v>
      </c>
      <c r="E890" s="1" t="s">
        <v>865</v>
      </c>
    </row>
    <row r="891" spans="1:5" x14ac:dyDescent="0.2">
      <c r="A891" s="1" t="s">
        <v>1</v>
      </c>
      <c r="B891" s="1" t="s">
        <v>60</v>
      </c>
      <c r="C891" s="5">
        <f>DATE(2025, 4, 10) + TIME(13, 30, 11)</f>
        <v>45757.562627314815</v>
      </c>
      <c r="D891" s="1" t="s">
        <v>126</v>
      </c>
      <c r="E891" s="1" t="s">
        <v>706</v>
      </c>
    </row>
    <row r="892" spans="1:5" x14ac:dyDescent="0.2">
      <c r="A892" s="1" t="s">
        <v>1</v>
      </c>
      <c r="B892" s="1" t="s">
        <v>323</v>
      </c>
      <c r="C892" s="5">
        <f>DATE(2025, 4, 10) + TIME(12, 13, 49)</f>
        <v>45757.509594907409</v>
      </c>
      <c r="D892" s="1" t="s">
        <v>5</v>
      </c>
      <c r="E892" s="1" t="s">
        <v>367</v>
      </c>
    </row>
    <row r="893" spans="1:5" x14ac:dyDescent="0.2">
      <c r="A893" s="1" t="s">
        <v>1</v>
      </c>
      <c r="B893" s="1" t="s">
        <v>60</v>
      </c>
      <c r="C893" s="5">
        <f>DATE(2025, 4, 10) + TIME(11, 49, 44)</f>
        <v>45757.49287037037</v>
      </c>
      <c r="D893" s="1" t="s">
        <v>450</v>
      </c>
      <c r="E893" s="1" t="s">
        <v>345</v>
      </c>
    </row>
    <row r="894" spans="1:5" x14ac:dyDescent="0.2">
      <c r="A894" s="1" t="s">
        <v>1</v>
      </c>
      <c r="B894" s="1" t="s">
        <v>60</v>
      </c>
      <c r="C894" s="5">
        <f>DATE(2025, 4, 10) + TIME(11, 48, 55)</f>
        <v>45757.492303240739</v>
      </c>
      <c r="D894" s="1" t="s">
        <v>450</v>
      </c>
      <c r="E894" s="1" t="s">
        <v>691</v>
      </c>
    </row>
    <row r="895" spans="1:5" x14ac:dyDescent="0.2">
      <c r="A895" s="1" t="s">
        <v>1</v>
      </c>
      <c r="B895" s="1" t="s">
        <v>60</v>
      </c>
      <c r="C895" s="5">
        <f>DATE(2025, 4, 8) + TIME(16, 16, 16)</f>
        <v>45755.67796296296</v>
      </c>
      <c r="D895" s="1" t="s">
        <v>459</v>
      </c>
      <c r="E895" s="1" t="s">
        <v>171</v>
      </c>
    </row>
    <row r="896" spans="1:5" x14ac:dyDescent="0.2">
      <c r="A896" s="1" t="s">
        <v>1</v>
      </c>
      <c r="B896" s="1" t="s">
        <v>60</v>
      </c>
      <c r="C896" s="5">
        <f>DATE(2025, 4, 8) + TIME(15, 40, 16)</f>
        <v>45755.652962962966</v>
      </c>
      <c r="D896" s="1" t="s">
        <v>459</v>
      </c>
      <c r="E896" s="1" t="s">
        <v>49</v>
      </c>
    </row>
    <row r="897" spans="1:5" x14ac:dyDescent="0.2">
      <c r="A897" s="1" t="s">
        <v>1</v>
      </c>
      <c r="B897" s="1" t="s">
        <v>564</v>
      </c>
      <c r="C897" s="5">
        <f>DATE(2025, 4, 8) + TIME(13, 57, 13)</f>
        <v>45755.581400462965</v>
      </c>
      <c r="D897" s="1" t="s">
        <v>320</v>
      </c>
      <c r="E897" s="1" t="s">
        <v>95</v>
      </c>
    </row>
    <row r="898" spans="1:5" x14ac:dyDescent="0.2">
      <c r="A898" s="1" t="s">
        <v>1</v>
      </c>
      <c r="B898" s="1" t="s">
        <v>60</v>
      </c>
      <c r="C898" s="5">
        <f>DATE(2025, 4, 8) + TIME(13, 56, 12)</f>
        <v>45755.580694444441</v>
      </c>
      <c r="D898" s="1" t="s">
        <v>398</v>
      </c>
      <c r="E898" s="1" t="s">
        <v>142</v>
      </c>
    </row>
    <row r="899" spans="1:5" x14ac:dyDescent="0.2">
      <c r="A899" s="1" t="s">
        <v>1</v>
      </c>
      <c r="B899" s="1" t="s">
        <v>866</v>
      </c>
      <c r="C899" s="5">
        <f>DATE(2025, 4, 8) + TIME(13, 55, 48)</f>
        <v>45755.580416666664</v>
      </c>
      <c r="D899" s="1" t="s">
        <v>506</v>
      </c>
      <c r="E899" s="1" t="s">
        <v>702</v>
      </c>
    </row>
    <row r="900" spans="1:5" x14ac:dyDescent="0.2">
      <c r="A900" s="1" t="s">
        <v>1</v>
      </c>
      <c r="B900" s="1" t="s">
        <v>60</v>
      </c>
      <c r="C900" s="5">
        <f>DATE(2025, 4, 8) + TIME(13, 2, 38)</f>
        <v>45755.543495370373</v>
      </c>
      <c r="D900" s="1" t="s">
        <v>863</v>
      </c>
      <c r="E900" s="1" t="s">
        <v>170</v>
      </c>
    </row>
    <row r="901" spans="1:5" x14ac:dyDescent="0.2">
      <c r="A901" s="1" t="s">
        <v>1</v>
      </c>
      <c r="B901" s="1" t="s">
        <v>60</v>
      </c>
      <c r="C901" s="5">
        <f>DATE(2025, 4, 8) + TIME(9, 17, 55)</f>
        <v>45755.387442129628</v>
      </c>
      <c r="D901" s="1" t="s">
        <v>869</v>
      </c>
      <c r="E901" s="1" t="s">
        <v>842</v>
      </c>
    </row>
    <row r="902" spans="1:5" x14ac:dyDescent="0.2">
      <c r="A902" s="1" t="s">
        <v>1</v>
      </c>
      <c r="B902" s="1" t="s">
        <v>60</v>
      </c>
      <c r="C902" s="5">
        <f>DATE(2025, 4, 7) + TIME(14, 55, 34)</f>
        <v>45754.621921296297</v>
      </c>
      <c r="D902" s="1" t="s">
        <v>64</v>
      </c>
      <c r="E902" s="1" t="s">
        <v>630</v>
      </c>
    </row>
    <row r="903" spans="1:5" x14ac:dyDescent="0.2">
      <c r="A903" s="1" t="s">
        <v>1</v>
      </c>
      <c r="B903" s="1" t="s">
        <v>60</v>
      </c>
      <c r="C903" s="5">
        <f>DATE(2025, 4, 7) + TIME(13, 36, 51)</f>
        <v>45754.567256944443</v>
      </c>
      <c r="D903" s="1" t="s">
        <v>506</v>
      </c>
      <c r="E903" s="1" t="s">
        <v>510</v>
      </c>
    </row>
    <row r="904" spans="1:5" x14ac:dyDescent="0.2">
      <c r="A904" s="1" t="s">
        <v>1</v>
      </c>
      <c r="B904" s="1" t="s">
        <v>564</v>
      </c>
      <c r="C904" s="5">
        <f>DATE(2025, 4, 7) + TIME(13, 29, 6)</f>
        <v>45754.561874999999</v>
      </c>
      <c r="D904" s="1" t="s">
        <v>320</v>
      </c>
      <c r="E904" s="1" t="s">
        <v>698</v>
      </c>
    </row>
    <row r="905" spans="1:5" x14ac:dyDescent="0.2">
      <c r="A905" s="1" t="s">
        <v>1</v>
      </c>
      <c r="B905" s="1" t="s">
        <v>60</v>
      </c>
      <c r="C905" s="5">
        <f>DATE(2025, 4, 7) + TIME(13, 5, 3)</f>
        <v>45754.545173611114</v>
      </c>
      <c r="D905" s="1" t="s">
        <v>450</v>
      </c>
      <c r="E905" s="1" t="s">
        <v>573</v>
      </c>
    </row>
    <row r="906" spans="1:5" x14ac:dyDescent="0.2">
      <c r="A906" s="1" t="s">
        <v>1</v>
      </c>
      <c r="B906" s="1" t="s">
        <v>60</v>
      </c>
      <c r="C906" s="5">
        <f>DATE(2025, 4, 7) + TIME(13, 4, 48)</f>
        <v>45754.544999999998</v>
      </c>
      <c r="D906" s="1" t="s">
        <v>566</v>
      </c>
      <c r="E906" s="1" t="s">
        <v>865</v>
      </c>
    </row>
    <row r="907" spans="1:5" x14ac:dyDescent="0.2">
      <c r="A907" s="1" t="s">
        <v>1</v>
      </c>
      <c r="B907" s="1" t="s">
        <v>60</v>
      </c>
      <c r="C907" s="5">
        <f>DATE(2025, 4, 7) + TIME(12, 57, 21)</f>
        <v>45754.539826388886</v>
      </c>
      <c r="D907" s="1" t="s">
        <v>144</v>
      </c>
      <c r="E907" s="1" t="s">
        <v>695</v>
      </c>
    </row>
    <row r="908" spans="1:5" x14ac:dyDescent="0.2">
      <c r="A908" s="1" t="s">
        <v>1</v>
      </c>
      <c r="B908" s="1" t="s">
        <v>866</v>
      </c>
      <c r="C908" s="5">
        <f>DATE(2025, 4, 3) + TIME(15, 58, 35)</f>
        <v>45750.665682870371</v>
      </c>
      <c r="D908" s="1" t="s">
        <v>638</v>
      </c>
      <c r="E908" s="1" t="s">
        <v>362</v>
      </c>
    </row>
    <row r="909" spans="1:5" x14ac:dyDescent="0.2">
      <c r="A909" s="1" t="s">
        <v>1</v>
      </c>
      <c r="B909" s="1" t="s">
        <v>60</v>
      </c>
      <c r="C909" s="5">
        <f>DATE(2025, 4, 3) + TIME(15, 14, 17)</f>
        <v>45750.634918981479</v>
      </c>
      <c r="D909" s="1" t="s">
        <v>269</v>
      </c>
      <c r="E909" s="1" t="s">
        <v>339</v>
      </c>
    </row>
    <row r="910" spans="1:5" x14ac:dyDescent="0.2">
      <c r="A910" s="1" t="s">
        <v>1</v>
      </c>
      <c r="B910" s="1" t="s">
        <v>60</v>
      </c>
      <c r="C910" s="5">
        <f>DATE(2025, 4, 3) + TIME(15, 8, 19)</f>
        <v>45750.63077546296</v>
      </c>
      <c r="D910" s="1" t="s">
        <v>640</v>
      </c>
      <c r="E910" s="1" t="s">
        <v>838</v>
      </c>
    </row>
    <row r="911" spans="1:5" x14ac:dyDescent="0.2">
      <c r="A911" s="1" t="s">
        <v>1</v>
      </c>
      <c r="B911" s="1" t="s">
        <v>60</v>
      </c>
      <c r="C911" s="5">
        <f>DATE(2025, 4, 3) + TIME(14, 22, 37)</f>
        <v>45750.599039351851</v>
      </c>
      <c r="D911" s="1" t="s">
        <v>640</v>
      </c>
      <c r="E911" s="1" t="s">
        <v>520</v>
      </c>
    </row>
    <row r="912" spans="1:5" x14ac:dyDescent="0.2">
      <c r="A912" s="1" t="s">
        <v>1</v>
      </c>
      <c r="B912" s="1" t="s">
        <v>323</v>
      </c>
      <c r="C912" s="5">
        <f>DATE(2025, 4, 3) + TIME(12, 18, 45)</f>
        <v>45750.513020833336</v>
      </c>
      <c r="D912" s="1" t="s">
        <v>269</v>
      </c>
      <c r="E912" s="1" t="s">
        <v>748</v>
      </c>
    </row>
    <row r="913" spans="1:5" x14ac:dyDescent="0.2">
      <c r="A913" s="1" t="s">
        <v>1</v>
      </c>
      <c r="B913" s="1" t="s">
        <v>60</v>
      </c>
      <c r="C913" s="5">
        <f>DATE(2025, 4, 3) + TIME(12, 13, 46)</f>
        <v>45750.509560185186</v>
      </c>
      <c r="D913" s="1" t="s">
        <v>459</v>
      </c>
      <c r="E913" s="1" t="s">
        <v>574</v>
      </c>
    </row>
    <row r="914" spans="1:5" x14ac:dyDescent="0.2">
      <c r="A914" s="1" t="s">
        <v>1</v>
      </c>
      <c r="B914" s="1" t="s">
        <v>4</v>
      </c>
      <c r="C914" s="5">
        <f>DATE(2025, 4, 3) + TIME(11, 13, 3)</f>
        <v>45750.467395833337</v>
      </c>
      <c r="D914" s="1" t="s">
        <v>921</v>
      </c>
      <c r="E914" s="1" t="s">
        <v>990</v>
      </c>
    </row>
    <row r="915" spans="1:5" x14ac:dyDescent="0.2">
      <c r="A915" s="1" t="s">
        <v>1</v>
      </c>
      <c r="B915" s="1" t="s">
        <v>60</v>
      </c>
      <c r="C915" s="5">
        <f>DATE(2025, 4, 2) + TIME(15, 50, 21)</f>
        <v>45749.65996527778</v>
      </c>
      <c r="D915" s="1" t="s">
        <v>459</v>
      </c>
      <c r="E915" s="1" t="s">
        <v>522</v>
      </c>
    </row>
    <row r="916" spans="1:5" x14ac:dyDescent="0.2">
      <c r="A916" s="1" t="s">
        <v>1</v>
      </c>
      <c r="B916" s="1" t="s">
        <v>60</v>
      </c>
      <c r="C916" s="5">
        <f>DATE(2025, 4, 2) + TIME(14, 3, 57)</f>
        <v>45749.586076388892</v>
      </c>
      <c r="D916" s="1" t="s">
        <v>506</v>
      </c>
      <c r="E916" s="1" t="s">
        <v>702</v>
      </c>
    </row>
    <row r="917" spans="1:5" x14ac:dyDescent="0.2">
      <c r="A917" s="1" t="s">
        <v>1</v>
      </c>
      <c r="B917" s="1" t="s">
        <v>60</v>
      </c>
      <c r="C917" s="5">
        <f>DATE(2025, 4, 2) + TIME(12, 4, 10)</f>
        <v>45749.502893518518</v>
      </c>
      <c r="D917" s="1" t="s">
        <v>216</v>
      </c>
      <c r="E917" s="1" t="s">
        <v>321</v>
      </c>
    </row>
    <row r="918" spans="1:5" x14ac:dyDescent="0.2">
      <c r="A918" s="1" t="s">
        <v>1</v>
      </c>
      <c r="B918" s="1" t="s">
        <v>60</v>
      </c>
      <c r="C918" s="5">
        <f>DATE(2025, 4, 2) + TIME(11, 56, 0)</f>
        <v>45749.49722222222</v>
      </c>
      <c r="D918" s="1" t="s">
        <v>396</v>
      </c>
      <c r="E918" s="1" t="s">
        <v>88</v>
      </c>
    </row>
    <row r="919" spans="1:5" x14ac:dyDescent="0.2">
      <c r="A919" s="1" t="s">
        <v>1</v>
      </c>
      <c r="B919" s="1" t="s">
        <v>60</v>
      </c>
      <c r="C919" s="5">
        <f>DATE(2025, 4, 1) + TIME(15, 34, 45)</f>
        <v>45748.649131944447</v>
      </c>
      <c r="D919" s="1" t="s">
        <v>459</v>
      </c>
      <c r="E919" s="1" t="s">
        <v>49</v>
      </c>
    </row>
    <row r="920" spans="1:5" x14ac:dyDescent="0.2">
      <c r="A920" s="1" t="s">
        <v>1</v>
      </c>
      <c r="B920" s="1" t="s">
        <v>323</v>
      </c>
      <c r="C920" s="5">
        <f>DATE(2025, 4, 1) + TIME(15, 34, 44)</f>
        <v>45748.64912037037</v>
      </c>
      <c r="D920" s="1" t="s">
        <v>459</v>
      </c>
      <c r="E920" s="1" t="s">
        <v>171</v>
      </c>
    </row>
    <row r="921" spans="1:5" x14ac:dyDescent="0.2">
      <c r="A921" s="1" t="s">
        <v>1</v>
      </c>
      <c r="B921" s="1" t="s">
        <v>323</v>
      </c>
      <c r="C921" s="5">
        <f>DATE(2025, 4, 1) + TIME(12, 59, 33)</f>
        <v>45748.541354166664</v>
      </c>
      <c r="D921" s="1" t="s">
        <v>341</v>
      </c>
      <c r="E921" s="1" t="s">
        <v>107</v>
      </c>
    </row>
    <row r="922" spans="1:5" x14ac:dyDescent="0.2">
      <c r="A922" s="1" t="s">
        <v>1</v>
      </c>
      <c r="B922" s="1" t="s">
        <v>60</v>
      </c>
      <c r="C922" s="5">
        <f>DATE(2025, 4, 1) + TIME(12, 5, 7)</f>
        <v>45748.503553240742</v>
      </c>
      <c r="D922" s="1" t="s">
        <v>566</v>
      </c>
      <c r="E922" s="1" t="s">
        <v>997</v>
      </c>
    </row>
    <row r="923" spans="1:5" x14ac:dyDescent="0.2">
      <c r="A923" s="1" t="s">
        <v>1</v>
      </c>
      <c r="B923" s="1" t="s">
        <v>60</v>
      </c>
      <c r="C923" s="5">
        <f>DATE(2025, 3, 31) + TIME(15, 16, 19)</f>
        <v>45747.636331018519</v>
      </c>
      <c r="D923" s="1" t="s">
        <v>64</v>
      </c>
      <c r="E923" s="1" t="s">
        <v>630</v>
      </c>
    </row>
    <row r="924" spans="1:5" x14ac:dyDescent="0.2">
      <c r="A924" s="1" t="s">
        <v>1</v>
      </c>
      <c r="B924" s="1" t="s">
        <v>60</v>
      </c>
      <c r="C924" s="5">
        <f>DATE(2025, 3, 31) + TIME(14, 43, 31)</f>
        <v>45747.613553240742</v>
      </c>
      <c r="D924" s="1" t="s">
        <v>144</v>
      </c>
      <c r="E924" s="1" t="s">
        <v>946</v>
      </c>
    </row>
    <row r="925" spans="1:5" x14ac:dyDescent="0.2">
      <c r="A925" s="1" t="s">
        <v>1</v>
      </c>
      <c r="B925" s="1" t="s">
        <v>60</v>
      </c>
      <c r="C925" s="5">
        <f>DATE(2025, 3, 31) + TIME(12, 36, 34)</f>
        <v>45747.525393518517</v>
      </c>
      <c r="D925" s="1" t="s">
        <v>566</v>
      </c>
      <c r="E925" s="1" t="s">
        <v>865</v>
      </c>
    </row>
    <row r="926" spans="1:5" x14ac:dyDescent="0.2">
      <c r="A926" s="1" t="s">
        <v>1</v>
      </c>
      <c r="B926" s="1" t="s">
        <v>60</v>
      </c>
      <c r="C926" s="5">
        <f>DATE(2025, 3, 31) + TIME(11, 14, 46)</f>
        <v>45747.468587962961</v>
      </c>
      <c r="D926" s="1" t="s">
        <v>269</v>
      </c>
      <c r="E926" s="1" t="s">
        <v>748</v>
      </c>
    </row>
    <row r="927" spans="1:5" x14ac:dyDescent="0.2">
      <c r="A927" s="1" t="s">
        <v>1</v>
      </c>
      <c r="B927" s="1" t="s">
        <v>866</v>
      </c>
      <c r="C927" s="5">
        <f>DATE(2025, 3, 31) + TIME(10, 59, 42)</f>
        <v>45747.458124999997</v>
      </c>
      <c r="D927" s="1" t="s">
        <v>3</v>
      </c>
      <c r="E927" s="1" t="s">
        <v>168</v>
      </c>
    </row>
    <row r="928" spans="1:5" x14ac:dyDescent="0.2">
      <c r="A928" s="1" t="s">
        <v>1</v>
      </c>
      <c r="B928" s="1" t="s">
        <v>60</v>
      </c>
      <c r="C928" s="5">
        <f>DATE(2025, 3, 31) + TIME(9, 36, 4)</f>
        <v>45747.400046296294</v>
      </c>
      <c r="D928" s="1" t="s">
        <v>5</v>
      </c>
      <c r="E928" s="1" t="s">
        <v>795</v>
      </c>
    </row>
    <row r="929" spans="1:5" x14ac:dyDescent="0.2">
      <c r="A929" s="1" t="s">
        <v>1</v>
      </c>
      <c r="B929" s="1" t="s">
        <v>60</v>
      </c>
      <c r="C929" s="5">
        <f>DATE(2025, 3, 27) + TIME(13, 48, 37)</f>
        <v>45743.575428240743</v>
      </c>
      <c r="D929" s="1" t="s">
        <v>356</v>
      </c>
      <c r="E929" s="1" t="s">
        <v>657</v>
      </c>
    </row>
    <row r="930" spans="1:5" x14ac:dyDescent="0.2">
      <c r="A930" s="1" t="s">
        <v>1</v>
      </c>
      <c r="B930" s="1" t="s">
        <v>866</v>
      </c>
      <c r="C930" s="5">
        <f>DATE(2025, 3, 26) + TIME(14, 3, 43)</f>
        <v>45742.585914351854</v>
      </c>
      <c r="D930" s="1" t="s">
        <v>396</v>
      </c>
      <c r="E930" s="1" t="s">
        <v>88</v>
      </c>
    </row>
    <row r="931" spans="1:5" x14ac:dyDescent="0.2">
      <c r="A931" s="1" t="s">
        <v>1</v>
      </c>
      <c r="B931" s="1" t="s">
        <v>564</v>
      </c>
      <c r="C931" s="5">
        <f>DATE(2025, 3, 26) + TIME(14, 0, 18)</f>
        <v>45742.583541666667</v>
      </c>
      <c r="D931" s="1" t="s">
        <v>320</v>
      </c>
      <c r="E931" s="1" t="s">
        <v>2</v>
      </c>
    </row>
    <row r="932" spans="1:5" x14ac:dyDescent="0.2">
      <c r="A932" s="1" t="s">
        <v>1</v>
      </c>
      <c r="B932" s="1" t="s">
        <v>1004</v>
      </c>
      <c r="C932" s="5">
        <f>DATE(2025, 3, 26) + TIME(13, 26, 54)</f>
        <v>45742.560347222221</v>
      </c>
      <c r="D932" s="1" t="s">
        <v>396</v>
      </c>
      <c r="E932" s="1" t="s">
        <v>507</v>
      </c>
    </row>
    <row r="933" spans="1:5" x14ac:dyDescent="0.2">
      <c r="A933" s="1" t="s">
        <v>1</v>
      </c>
      <c r="B933" s="1" t="s">
        <v>564</v>
      </c>
      <c r="C933" s="5">
        <f>DATE(2025, 3, 26) + TIME(13, 20, 54)</f>
        <v>45742.556180555555</v>
      </c>
      <c r="D933" s="1" t="s">
        <v>320</v>
      </c>
      <c r="E933" s="1" t="s">
        <v>845</v>
      </c>
    </row>
    <row r="934" spans="1:5" x14ac:dyDescent="0.2">
      <c r="A934" s="1" t="s">
        <v>1</v>
      </c>
      <c r="B934" s="1" t="s">
        <v>564</v>
      </c>
      <c r="C934" s="5">
        <f>DATE(2025, 3, 26) + TIME(13, 18, 3)</f>
        <v>45742.554201388892</v>
      </c>
      <c r="D934" s="1" t="s">
        <v>320</v>
      </c>
      <c r="E934" s="1" t="s">
        <v>201</v>
      </c>
    </row>
    <row r="935" spans="1:5" x14ac:dyDescent="0.2">
      <c r="A935" s="1" t="s">
        <v>1</v>
      </c>
      <c r="B935" s="1" t="s">
        <v>60</v>
      </c>
      <c r="C935" s="5">
        <f>DATE(2025, 3, 26) + TIME(10, 50, 18)</f>
        <v>45742.451597222222</v>
      </c>
      <c r="D935" s="1" t="s">
        <v>640</v>
      </c>
      <c r="E935" s="1" t="s">
        <v>611</v>
      </c>
    </row>
    <row r="936" spans="1:5" x14ac:dyDescent="0.2">
      <c r="A936" s="1" t="s">
        <v>1</v>
      </c>
      <c r="B936" s="1" t="s">
        <v>60</v>
      </c>
      <c r="C936" s="5">
        <f>DATE(2025, 3, 25) + TIME(13, 58, 22)</f>
        <v>45741.582199074073</v>
      </c>
      <c r="D936" s="1" t="s">
        <v>3</v>
      </c>
      <c r="E936" s="1" t="s">
        <v>571</v>
      </c>
    </row>
    <row r="937" spans="1:5" x14ac:dyDescent="0.2">
      <c r="A937" s="1" t="s">
        <v>1</v>
      </c>
      <c r="B937" s="1" t="s">
        <v>564</v>
      </c>
      <c r="C937" s="5">
        <f>DATE(2025, 3, 24) + TIME(15, 46, 35)</f>
        <v>45740.657349537039</v>
      </c>
      <c r="D937" s="1" t="s">
        <v>320</v>
      </c>
      <c r="E937" s="1" t="s">
        <v>687</v>
      </c>
    </row>
    <row r="938" spans="1:5" x14ac:dyDescent="0.2">
      <c r="A938" s="1" t="s">
        <v>1</v>
      </c>
      <c r="B938" s="1" t="s">
        <v>866</v>
      </c>
      <c r="C938" s="5">
        <f>DATE(2025, 3, 24) + TIME(14, 52, 6)</f>
        <v>45740.619513888887</v>
      </c>
      <c r="D938" s="1" t="s">
        <v>576</v>
      </c>
      <c r="E938" s="1" t="s">
        <v>630</v>
      </c>
    </row>
    <row r="939" spans="1:5" x14ac:dyDescent="0.2">
      <c r="A939" s="1" t="s">
        <v>1</v>
      </c>
      <c r="B939" s="1" t="s">
        <v>564</v>
      </c>
      <c r="C939" s="5">
        <f>DATE(2025, 3, 24) + TIME(14, 8, 16)</f>
        <v>45740.589074074072</v>
      </c>
      <c r="D939" s="1" t="s">
        <v>320</v>
      </c>
      <c r="E939" s="1" t="s">
        <v>698</v>
      </c>
    </row>
    <row r="940" spans="1:5" x14ac:dyDescent="0.2">
      <c r="A940" s="1" t="s">
        <v>1</v>
      </c>
      <c r="B940" s="1" t="s">
        <v>60</v>
      </c>
      <c r="C940" s="5">
        <f>DATE(2025, 3, 24) + TIME(11, 28, 11)</f>
        <v>45740.477905092594</v>
      </c>
      <c r="D940" s="1" t="s">
        <v>566</v>
      </c>
      <c r="E940" s="1" t="s">
        <v>865</v>
      </c>
    </row>
    <row r="941" spans="1:5" x14ac:dyDescent="0.2">
      <c r="A941" s="1" t="s">
        <v>1</v>
      </c>
      <c r="B941" s="1" t="s">
        <v>60</v>
      </c>
      <c r="C941" s="5">
        <f>DATE(2025, 3, 24) + TIME(11, 20, 56)</f>
        <v>45740.472870370373</v>
      </c>
      <c r="D941" s="1" t="s">
        <v>754</v>
      </c>
      <c r="E941" s="1" t="s">
        <v>941</v>
      </c>
    </row>
    <row r="942" spans="1:5" x14ac:dyDescent="0.2">
      <c r="A942" s="1" t="s">
        <v>1</v>
      </c>
      <c r="B942" s="1" t="s">
        <v>60</v>
      </c>
      <c r="C942" s="5">
        <f>DATE(2025, 3, 20) + TIME(14, 9, 27)</f>
        <v>45736.589895833335</v>
      </c>
      <c r="D942" s="1" t="s">
        <v>450</v>
      </c>
      <c r="E942" s="1" t="s">
        <v>345</v>
      </c>
    </row>
    <row r="943" spans="1:5" x14ac:dyDescent="0.2">
      <c r="A943" s="1" t="s">
        <v>1</v>
      </c>
      <c r="B943" s="1" t="s">
        <v>60</v>
      </c>
      <c r="C943" s="5">
        <f>DATE(2025, 3, 20) + TIME(13, 30, 57)</f>
        <v>45736.563159722224</v>
      </c>
      <c r="D943" s="1" t="s">
        <v>450</v>
      </c>
      <c r="E943" s="1" t="s">
        <v>691</v>
      </c>
    </row>
    <row r="944" spans="1:5" x14ac:dyDescent="0.2">
      <c r="A944" s="1" t="s">
        <v>1</v>
      </c>
      <c r="B944" s="1" t="s">
        <v>60</v>
      </c>
      <c r="C944" s="5">
        <f>DATE(2025, 3, 20) + TIME(11, 11, 33)</f>
        <v>45736.466354166667</v>
      </c>
      <c r="D944" s="1" t="s">
        <v>269</v>
      </c>
      <c r="E944" s="1" t="s">
        <v>748</v>
      </c>
    </row>
    <row r="945" spans="1:5" x14ac:dyDescent="0.2">
      <c r="A945" s="1" t="s">
        <v>1</v>
      </c>
      <c r="B945" s="1" t="s">
        <v>60</v>
      </c>
      <c r="C945" s="5">
        <f>DATE(2025, 3, 19) + TIME(10, 47, 55)</f>
        <v>45735.449942129628</v>
      </c>
      <c r="D945" s="1" t="s">
        <v>450</v>
      </c>
      <c r="E945" s="1" t="s">
        <v>185</v>
      </c>
    </row>
    <row r="946" spans="1:5" x14ac:dyDescent="0.2">
      <c r="A946" s="1" t="s">
        <v>1</v>
      </c>
      <c r="B946" s="1" t="s">
        <v>60</v>
      </c>
      <c r="C946" s="5">
        <f>DATE(2025, 3, 18) + TIME(14, 10, 37)</f>
        <v>45734.59070601852</v>
      </c>
      <c r="D946" s="1" t="s">
        <v>3</v>
      </c>
      <c r="E946" s="1" t="s">
        <v>571</v>
      </c>
    </row>
    <row r="947" spans="1:5" x14ac:dyDescent="0.2">
      <c r="A947" s="1" t="s">
        <v>1</v>
      </c>
      <c r="B947" s="1" t="s">
        <v>60</v>
      </c>
      <c r="C947" s="5">
        <f>DATE(2025, 3, 18) + TIME(13, 23, 12)</f>
        <v>45734.55777777778</v>
      </c>
      <c r="D947" s="1" t="s">
        <v>65</v>
      </c>
      <c r="E947" s="1" t="s">
        <v>227</v>
      </c>
    </row>
    <row r="948" spans="1:5" x14ac:dyDescent="0.2">
      <c r="A948" s="1" t="s">
        <v>1</v>
      </c>
      <c r="B948" s="1" t="s">
        <v>60</v>
      </c>
      <c r="C948" s="5">
        <f>DATE(2025, 3, 18) + TIME(12, 36, 50)</f>
        <v>45734.525578703702</v>
      </c>
      <c r="D948" s="1" t="s">
        <v>566</v>
      </c>
      <c r="E948" s="1" t="s">
        <v>997</v>
      </c>
    </row>
    <row r="949" spans="1:5" x14ac:dyDescent="0.2">
      <c r="A949" s="1" t="s">
        <v>1</v>
      </c>
      <c r="B949" s="1" t="s">
        <v>60</v>
      </c>
      <c r="C949" s="5">
        <f>DATE(2025, 3, 17) + TIME(16, 7, 57)</f>
        <v>45733.6721875</v>
      </c>
      <c r="D949" s="1" t="s">
        <v>126</v>
      </c>
      <c r="E949" s="1" t="s">
        <v>1014</v>
      </c>
    </row>
    <row r="950" spans="1:5" x14ac:dyDescent="0.2">
      <c r="A950" s="1" t="s">
        <v>1</v>
      </c>
      <c r="B950" s="1" t="s">
        <v>60</v>
      </c>
      <c r="C950" s="5">
        <f>DATE(2025, 3, 17) + TIME(14, 27, 18)</f>
        <v>45733.60229166667</v>
      </c>
      <c r="D950" s="1" t="s">
        <v>126</v>
      </c>
      <c r="E950" s="1" t="s">
        <v>942</v>
      </c>
    </row>
    <row r="951" spans="1:5" x14ac:dyDescent="0.2">
      <c r="A951" s="1" t="s">
        <v>1</v>
      </c>
      <c r="B951" s="1" t="s">
        <v>60</v>
      </c>
      <c r="C951" s="5">
        <f>DATE(2025, 3, 17) + TIME(14, 6, 33)</f>
        <v>45733.587881944448</v>
      </c>
      <c r="D951" s="1" t="s">
        <v>144</v>
      </c>
      <c r="E951" s="1" t="s">
        <v>695</v>
      </c>
    </row>
    <row r="952" spans="1:5" x14ac:dyDescent="0.2">
      <c r="A952" s="1" t="s">
        <v>1</v>
      </c>
      <c r="B952" s="1" t="s">
        <v>60</v>
      </c>
      <c r="C952" s="5">
        <f>DATE(2025, 3, 17) + TIME(12, 4, 36)</f>
        <v>45733.503194444442</v>
      </c>
      <c r="D952" s="1" t="s">
        <v>566</v>
      </c>
      <c r="E952" s="1" t="s">
        <v>865</v>
      </c>
    </row>
    <row r="953" spans="1:5" x14ac:dyDescent="0.2">
      <c r="A953" s="1" t="s">
        <v>1</v>
      </c>
      <c r="B953" s="1" t="s">
        <v>60</v>
      </c>
      <c r="C953" s="5">
        <f>DATE(2025, 3, 17) + TIME(11, 41, 36)</f>
        <v>45733.487222222226</v>
      </c>
      <c r="D953" s="1" t="s">
        <v>3</v>
      </c>
      <c r="E953" s="1" t="s">
        <v>168</v>
      </c>
    </row>
    <row r="954" spans="1:5" x14ac:dyDescent="0.2">
      <c r="A954" s="1" t="s">
        <v>1</v>
      </c>
      <c r="B954" s="1" t="s">
        <v>60</v>
      </c>
      <c r="C954" s="5">
        <f>DATE(2025, 3, 12) + TIME(15, 22, 45)</f>
        <v>45728.640798611108</v>
      </c>
      <c r="D954" s="1" t="s">
        <v>566</v>
      </c>
      <c r="E954" s="1" t="s">
        <v>865</v>
      </c>
    </row>
    <row r="955" spans="1:5" x14ac:dyDescent="0.2">
      <c r="A955" s="1" t="s">
        <v>1</v>
      </c>
      <c r="B955" s="1" t="s">
        <v>60</v>
      </c>
      <c r="C955" s="5">
        <f>DATE(2025, 3, 12) + TIME(13, 45, 46)</f>
        <v>45728.573449074072</v>
      </c>
      <c r="D955" s="1" t="s">
        <v>921</v>
      </c>
      <c r="E955" s="1" t="s">
        <v>474</v>
      </c>
    </row>
    <row r="956" spans="1:5" x14ac:dyDescent="0.2">
      <c r="A956" s="1" t="s">
        <v>1</v>
      </c>
      <c r="B956" s="1" t="s">
        <v>60</v>
      </c>
      <c r="C956" s="5">
        <f>DATE(2025, 3, 12) + TIME(13, 7, 0)</f>
        <v>45728.546527777777</v>
      </c>
      <c r="D956" s="1" t="s">
        <v>64</v>
      </c>
      <c r="E956" s="1" t="s">
        <v>213</v>
      </c>
    </row>
    <row r="957" spans="1:5" x14ac:dyDescent="0.2">
      <c r="A957" s="1" t="s">
        <v>1</v>
      </c>
      <c r="B957" s="1" t="s">
        <v>60</v>
      </c>
      <c r="C957" s="5">
        <f>DATE(2025, 3, 11) + TIME(13, 45, 25)</f>
        <v>45727.573206018518</v>
      </c>
      <c r="D957" s="1" t="s">
        <v>3</v>
      </c>
      <c r="E957" s="1" t="s">
        <v>571</v>
      </c>
    </row>
    <row r="958" spans="1:5" x14ac:dyDescent="0.2">
      <c r="A958" s="1" t="s">
        <v>1</v>
      </c>
      <c r="B958" s="1" t="s">
        <v>60</v>
      </c>
      <c r="C958" s="5">
        <f>DATE(2025, 3, 10) + TIME(15, 16, 8)</f>
        <v>45726.636203703703</v>
      </c>
      <c r="D958" s="1" t="s">
        <v>144</v>
      </c>
      <c r="E958" s="1" t="s">
        <v>695</v>
      </c>
    </row>
    <row r="959" spans="1:5" x14ac:dyDescent="0.2">
      <c r="A959" s="1" t="s">
        <v>1</v>
      </c>
      <c r="B959" s="1" t="s">
        <v>866</v>
      </c>
      <c r="C959" s="5">
        <f>DATE(2025, 3, 10) + TIME(14, 8, 57)</f>
        <v>45726.589548611111</v>
      </c>
      <c r="D959" s="1" t="s">
        <v>576</v>
      </c>
      <c r="E959" s="1" t="s">
        <v>630</v>
      </c>
    </row>
    <row r="960" spans="1:5" x14ac:dyDescent="0.2">
      <c r="A960" s="1" t="s">
        <v>1</v>
      </c>
      <c r="B960" s="1" t="s">
        <v>60</v>
      </c>
      <c r="C960" s="5">
        <f>DATE(2025, 3, 10) + TIME(12, 36, 23)</f>
        <v>45726.525266203702</v>
      </c>
      <c r="D960" s="1" t="s">
        <v>269</v>
      </c>
      <c r="E960" s="1" t="s">
        <v>748</v>
      </c>
    </row>
    <row r="961" spans="1:5" x14ac:dyDescent="0.2">
      <c r="A961" s="1" t="s">
        <v>1</v>
      </c>
      <c r="B961" s="1" t="s">
        <v>60</v>
      </c>
      <c r="C961" s="5">
        <f>DATE(2025, 3, 10) + TIME(11, 21, 15)</f>
        <v>45726.473090277781</v>
      </c>
      <c r="D961" s="1" t="s">
        <v>566</v>
      </c>
      <c r="E961" s="1" t="s">
        <v>865</v>
      </c>
    </row>
    <row r="962" spans="1:5" x14ac:dyDescent="0.2">
      <c r="A962" s="1" t="s">
        <v>1</v>
      </c>
      <c r="B962" s="1" t="s">
        <v>60</v>
      </c>
      <c r="C962" s="5">
        <f>DATE(2025, 3, 6) + TIME(15, 15, 38)</f>
        <v>45722.63585648148</v>
      </c>
      <c r="D962" s="1" t="s">
        <v>638</v>
      </c>
      <c r="E962" s="1" t="s">
        <v>362</v>
      </c>
    </row>
    <row r="963" spans="1:5" x14ac:dyDescent="0.2">
      <c r="A963" s="1" t="s">
        <v>1</v>
      </c>
      <c r="B963" s="1" t="s">
        <v>60</v>
      </c>
      <c r="C963" s="5">
        <f>DATE(2025, 3, 6) + TIME(13, 26, 29)</f>
        <v>45722.560057870367</v>
      </c>
      <c r="D963" s="1" t="s">
        <v>638</v>
      </c>
      <c r="E963" s="1" t="s">
        <v>940</v>
      </c>
    </row>
    <row r="964" spans="1:5" x14ac:dyDescent="0.2">
      <c r="A964" s="1" t="s">
        <v>1</v>
      </c>
      <c r="B964" s="1" t="s">
        <v>60</v>
      </c>
      <c r="C964" s="5">
        <f>DATE(2025, 3, 6) + TIME(13, 23, 27)</f>
        <v>45722.557951388888</v>
      </c>
      <c r="D964" s="1" t="s">
        <v>216</v>
      </c>
      <c r="E964" s="1" t="s">
        <v>466</v>
      </c>
    </row>
    <row r="965" spans="1:5" x14ac:dyDescent="0.2">
      <c r="A965" s="1" t="s">
        <v>1</v>
      </c>
      <c r="B965" s="1" t="s">
        <v>60</v>
      </c>
      <c r="C965" s="5">
        <f>DATE(2025, 3, 6) + TIME(12, 55, 35)</f>
        <v>45722.538599537038</v>
      </c>
      <c r="D965" s="1" t="s">
        <v>320</v>
      </c>
      <c r="E965" s="1" t="s">
        <v>767</v>
      </c>
    </row>
    <row r="966" spans="1:5" x14ac:dyDescent="0.2">
      <c r="A966" s="1" t="s">
        <v>1</v>
      </c>
      <c r="B966" s="1" t="s">
        <v>60</v>
      </c>
      <c r="C966" s="5">
        <f>DATE(2025, 3, 6) + TIME(12, 55, 18)</f>
        <v>45722.538402777776</v>
      </c>
      <c r="D966" s="1" t="s">
        <v>320</v>
      </c>
      <c r="E966" s="1" t="s">
        <v>902</v>
      </c>
    </row>
    <row r="967" spans="1:5" x14ac:dyDescent="0.2">
      <c r="A967" s="1" t="s">
        <v>1</v>
      </c>
      <c r="B967" s="1" t="s">
        <v>60</v>
      </c>
      <c r="C967" s="5">
        <f>DATE(2025, 3, 6) + TIME(12, 54, 58)</f>
        <v>45722.538171296299</v>
      </c>
      <c r="D967" s="1" t="s">
        <v>320</v>
      </c>
      <c r="E967" s="1" t="s">
        <v>698</v>
      </c>
    </row>
    <row r="968" spans="1:5" x14ac:dyDescent="0.2">
      <c r="A968" s="1" t="s">
        <v>1</v>
      </c>
      <c r="B968" s="1" t="s">
        <v>60</v>
      </c>
      <c r="C968" s="5">
        <f>DATE(2025, 3, 6) + TIME(12, 54, 38)</f>
        <v>45722.537939814814</v>
      </c>
      <c r="D968" s="1" t="s">
        <v>320</v>
      </c>
      <c r="E968" s="1" t="s">
        <v>565</v>
      </c>
    </row>
    <row r="969" spans="1:5" x14ac:dyDescent="0.2">
      <c r="A969" s="1" t="s">
        <v>1</v>
      </c>
      <c r="B969" s="1" t="s">
        <v>60</v>
      </c>
      <c r="C969" s="5">
        <f>DATE(2025, 3, 6) + TIME(12, 54, 18)</f>
        <v>45722.537708333337</v>
      </c>
      <c r="D969" s="1" t="s">
        <v>320</v>
      </c>
      <c r="E969" s="1" t="s">
        <v>2</v>
      </c>
    </row>
    <row r="970" spans="1:5" x14ac:dyDescent="0.2">
      <c r="A970" s="1" t="s">
        <v>1</v>
      </c>
      <c r="B970" s="1" t="s">
        <v>60</v>
      </c>
      <c r="C970" s="5">
        <f>DATE(2025, 3, 6) + TIME(12, 10, 16)</f>
        <v>45722.50712962963</v>
      </c>
      <c r="D970" s="1" t="s">
        <v>216</v>
      </c>
      <c r="E970" s="1" t="s">
        <v>466</v>
      </c>
    </row>
    <row r="971" spans="1:5" x14ac:dyDescent="0.2">
      <c r="A971" s="1" t="s">
        <v>1</v>
      </c>
      <c r="B971" s="1" t="s">
        <v>60</v>
      </c>
      <c r="C971" s="5">
        <f>DATE(2025, 3, 6) + TIME(12, 2, 13)</f>
        <v>45722.501539351855</v>
      </c>
      <c r="D971" s="1" t="s">
        <v>216</v>
      </c>
      <c r="E971" s="1" t="s">
        <v>372</v>
      </c>
    </row>
    <row r="972" spans="1:5" x14ac:dyDescent="0.2">
      <c r="A972" s="1" t="s">
        <v>1</v>
      </c>
      <c r="B972" s="1" t="s">
        <v>60</v>
      </c>
      <c r="C972" s="5">
        <f>DATE(2025, 3, 6) + TIME(11, 34, 20)</f>
        <v>45722.482175925928</v>
      </c>
      <c r="D972" s="1" t="s">
        <v>269</v>
      </c>
      <c r="E972" s="1" t="s">
        <v>743</v>
      </c>
    </row>
    <row r="973" spans="1:5" x14ac:dyDescent="0.2">
      <c r="A973" s="1" t="s">
        <v>1</v>
      </c>
      <c r="B973" s="1" t="s">
        <v>60</v>
      </c>
      <c r="C973" s="5">
        <f>DATE(2025, 3, 6) + TIME(10, 46, 23)</f>
        <v>45722.448877314811</v>
      </c>
      <c r="D973" s="1" t="s">
        <v>506</v>
      </c>
      <c r="E973" s="1" t="s">
        <v>697</v>
      </c>
    </row>
    <row r="974" spans="1:5" x14ac:dyDescent="0.2">
      <c r="A974" s="1" t="s">
        <v>1</v>
      </c>
      <c r="B974" s="1" t="s">
        <v>60</v>
      </c>
      <c r="C974" s="5">
        <f>DATE(2025, 3, 5) + TIME(13, 49, 57)</f>
        <v>45721.576354166667</v>
      </c>
      <c r="D974" s="1" t="s">
        <v>576</v>
      </c>
      <c r="E974" s="1" t="s">
        <v>56</v>
      </c>
    </row>
    <row r="975" spans="1:5" x14ac:dyDescent="0.2">
      <c r="A975" s="1" t="s">
        <v>1</v>
      </c>
      <c r="B975" s="1" t="s">
        <v>60</v>
      </c>
      <c r="C975" s="5">
        <f>DATE(2025, 3, 4) + TIME(14, 22, 15)</f>
        <v>45720.59878472222</v>
      </c>
      <c r="D975" s="1" t="s">
        <v>506</v>
      </c>
      <c r="E975" s="1" t="s">
        <v>712</v>
      </c>
    </row>
    <row r="976" spans="1:5" x14ac:dyDescent="0.2">
      <c r="A976" s="1" t="s">
        <v>1</v>
      </c>
      <c r="B976" s="1" t="s">
        <v>60</v>
      </c>
      <c r="C976" s="5">
        <f>DATE(2025, 3, 4) + TIME(13, 46, 34)</f>
        <v>45720.574004629627</v>
      </c>
      <c r="D976" s="1" t="s">
        <v>506</v>
      </c>
      <c r="E976" s="1" t="s">
        <v>884</v>
      </c>
    </row>
    <row r="977" spans="1:5" x14ac:dyDescent="0.2">
      <c r="A977" s="1" t="s">
        <v>1</v>
      </c>
      <c r="B977" s="1" t="s">
        <v>60</v>
      </c>
      <c r="C977" s="5">
        <f>DATE(2025, 3, 4) + TIME(13, 8, 36)</f>
        <v>45720.547638888886</v>
      </c>
      <c r="D977" s="1" t="s">
        <v>566</v>
      </c>
      <c r="E977" s="1" t="s">
        <v>997</v>
      </c>
    </row>
    <row r="978" spans="1:5" x14ac:dyDescent="0.2">
      <c r="A978" s="1" t="s">
        <v>1</v>
      </c>
      <c r="B978" s="1" t="s">
        <v>60</v>
      </c>
      <c r="C978" s="5">
        <f>DATE(2025, 3, 4) + TIME(13, 7, 47)</f>
        <v>45720.547071759262</v>
      </c>
      <c r="D978" s="1" t="s">
        <v>65</v>
      </c>
      <c r="E978" s="1" t="s">
        <v>227</v>
      </c>
    </row>
    <row r="979" spans="1:5" x14ac:dyDescent="0.2">
      <c r="A979" s="1" t="s">
        <v>1</v>
      </c>
      <c r="B979" s="1" t="s">
        <v>60</v>
      </c>
      <c r="C979" s="5">
        <f>DATE(2025, 3, 4) + TIME(8, 57, 38)</f>
        <v>45720.373356481483</v>
      </c>
      <c r="D979" s="1" t="s">
        <v>216</v>
      </c>
      <c r="E979" s="1" t="s">
        <v>101</v>
      </c>
    </row>
    <row r="980" spans="1:5" x14ac:dyDescent="0.2">
      <c r="A980" s="1" t="s">
        <v>1</v>
      </c>
      <c r="B980" s="1" t="s">
        <v>60</v>
      </c>
      <c r="C980" s="5">
        <f>DATE(2025, 3, 3) + TIME(14, 31, 17)</f>
        <v>45719.605057870373</v>
      </c>
      <c r="D980" s="1" t="s">
        <v>64</v>
      </c>
      <c r="E980" s="1" t="s">
        <v>630</v>
      </c>
    </row>
    <row r="981" spans="1:5" x14ac:dyDescent="0.2">
      <c r="A981" s="1" t="s">
        <v>1</v>
      </c>
      <c r="B981" s="1" t="s">
        <v>60</v>
      </c>
      <c r="C981" s="5">
        <f>DATE(2025, 3, 3) + TIME(14, 6, 50)</f>
        <v>45719.588078703702</v>
      </c>
      <c r="D981" s="1" t="s">
        <v>731</v>
      </c>
      <c r="E981" s="1" t="s">
        <v>75</v>
      </c>
    </row>
    <row r="982" spans="1:5" x14ac:dyDescent="0.2">
      <c r="A982" s="1" t="s">
        <v>1</v>
      </c>
      <c r="B982" s="1" t="s">
        <v>60</v>
      </c>
      <c r="C982" s="5">
        <f>DATE(2025, 3, 3) + TIME(13, 47, 52)</f>
        <v>45719.574907407405</v>
      </c>
      <c r="D982" s="1" t="s">
        <v>640</v>
      </c>
      <c r="E982" s="1" t="s">
        <v>520</v>
      </c>
    </row>
    <row r="983" spans="1:5" x14ac:dyDescent="0.2">
      <c r="A983" s="1" t="s">
        <v>1</v>
      </c>
      <c r="B983" s="1" t="s">
        <v>60</v>
      </c>
      <c r="C983" s="5">
        <f>DATE(2025, 3, 3) + TIME(11, 43, 31)</f>
        <v>45719.488553240742</v>
      </c>
      <c r="D983" s="1" t="s">
        <v>396</v>
      </c>
      <c r="E983" s="1" t="s">
        <v>256</v>
      </c>
    </row>
    <row r="984" spans="1:5" x14ac:dyDescent="0.2">
      <c r="A984" s="1" t="s">
        <v>1</v>
      </c>
      <c r="B984" s="1" t="s">
        <v>60</v>
      </c>
      <c r="C984" s="5">
        <f>DATE(2025, 3, 3) + TIME(11, 7, 29)</f>
        <v>45719.463530092595</v>
      </c>
      <c r="D984" s="1" t="s">
        <v>566</v>
      </c>
      <c r="E984" s="1" t="s">
        <v>865</v>
      </c>
    </row>
    <row r="985" spans="1:5" x14ac:dyDescent="0.2">
      <c r="A985" s="1" t="s">
        <v>1</v>
      </c>
      <c r="B985" s="1" t="s">
        <v>60</v>
      </c>
      <c r="C985" s="5">
        <f>DATE(2025, 3, 3) + TIME(10, 50, 58)</f>
        <v>45719.452060185184</v>
      </c>
      <c r="D985" s="1" t="s">
        <v>3</v>
      </c>
      <c r="E985" s="1" t="s">
        <v>168</v>
      </c>
    </row>
    <row r="986" spans="1:5" x14ac:dyDescent="0.2">
      <c r="A986" s="1" t="s">
        <v>1</v>
      </c>
      <c r="B986" s="1" t="s">
        <v>60</v>
      </c>
      <c r="C986" s="5">
        <f>DATE(2025, 2, 27) + TIME(15, 6, 9)</f>
        <v>45715.629270833335</v>
      </c>
      <c r="D986" s="1" t="s">
        <v>320</v>
      </c>
      <c r="E986" s="1" t="s">
        <v>90</v>
      </c>
    </row>
    <row r="987" spans="1:5" x14ac:dyDescent="0.2">
      <c r="A987" s="1" t="s">
        <v>1</v>
      </c>
      <c r="B987" s="1" t="s">
        <v>60</v>
      </c>
      <c r="C987" s="5">
        <f>DATE(2025, 2, 27) + TIME(11, 42, 37)</f>
        <v>45715.487928240742</v>
      </c>
      <c r="D987" s="1" t="s">
        <v>269</v>
      </c>
      <c r="E987" s="1" t="s">
        <v>748</v>
      </c>
    </row>
    <row r="988" spans="1:5" x14ac:dyDescent="0.2">
      <c r="A988" s="1" t="s">
        <v>1</v>
      </c>
      <c r="B988" s="1" t="s">
        <v>60</v>
      </c>
      <c r="C988" s="5">
        <f>DATE(2025, 2, 26) + TIME(14, 42, 56)</f>
        <v>45714.61314814815</v>
      </c>
      <c r="D988" s="1" t="s">
        <v>459</v>
      </c>
      <c r="E988" s="1" t="s">
        <v>19</v>
      </c>
    </row>
    <row r="989" spans="1:5" x14ac:dyDescent="0.2">
      <c r="A989" s="1" t="s">
        <v>1</v>
      </c>
      <c r="B989" s="1" t="s">
        <v>60</v>
      </c>
      <c r="C989" s="5">
        <f>DATE(2025, 2, 26) + TIME(11, 33, 51)</f>
        <v>45714.481840277775</v>
      </c>
      <c r="D989" s="1" t="s">
        <v>320</v>
      </c>
      <c r="E989" s="1" t="s">
        <v>917</v>
      </c>
    </row>
    <row r="990" spans="1:5" x14ac:dyDescent="0.2">
      <c r="A990" s="1" t="s">
        <v>1</v>
      </c>
      <c r="B990" s="1" t="s">
        <v>60</v>
      </c>
      <c r="C990" s="5">
        <f>DATE(2025, 2, 25) + TIME(14, 43, 38)</f>
        <v>45713.613634259258</v>
      </c>
      <c r="D990" s="1" t="s">
        <v>216</v>
      </c>
      <c r="E990" s="1" t="s">
        <v>912</v>
      </c>
    </row>
    <row r="991" spans="1:5" x14ac:dyDescent="0.2">
      <c r="A991" s="1" t="s">
        <v>1</v>
      </c>
      <c r="B991" s="1" t="s">
        <v>60</v>
      </c>
      <c r="C991" s="5">
        <f>DATE(2025, 2, 25) + TIME(14, 36, 8)</f>
        <v>45713.608425925922</v>
      </c>
      <c r="D991" s="1" t="s">
        <v>863</v>
      </c>
      <c r="E991" s="1" t="s">
        <v>170</v>
      </c>
    </row>
    <row r="992" spans="1:5" x14ac:dyDescent="0.2">
      <c r="A992" s="1" t="s">
        <v>1</v>
      </c>
      <c r="B992" s="1" t="s">
        <v>60</v>
      </c>
      <c r="C992" s="5">
        <f>DATE(2025, 2, 25) + TIME(14, 2, 32)</f>
        <v>45713.585092592592</v>
      </c>
      <c r="D992" s="1" t="s">
        <v>320</v>
      </c>
      <c r="E992" s="1" t="s">
        <v>95</v>
      </c>
    </row>
    <row r="993" spans="1:5" x14ac:dyDescent="0.2">
      <c r="A993" s="1" t="s">
        <v>1</v>
      </c>
      <c r="B993" s="1" t="s">
        <v>60</v>
      </c>
      <c r="C993" s="5">
        <f>DATE(2025, 2, 25) + TIME(13, 20, 5)</f>
        <v>45713.555613425924</v>
      </c>
      <c r="D993" s="1" t="s">
        <v>65</v>
      </c>
      <c r="E993" s="1" t="s">
        <v>227</v>
      </c>
    </row>
    <row r="994" spans="1:5" x14ac:dyDescent="0.2">
      <c r="A994" s="1" t="s">
        <v>1</v>
      </c>
      <c r="B994" s="1" t="s">
        <v>60</v>
      </c>
      <c r="C994" s="5">
        <f>DATE(2025, 2, 25) + TIME(12, 43, 37)</f>
        <v>45713.530289351853</v>
      </c>
      <c r="D994" s="1" t="s">
        <v>566</v>
      </c>
      <c r="E994" s="1" t="s">
        <v>997</v>
      </c>
    </row>
    <row r="995" spans="1:5" x14ac:dyDescent="0.2">
      <c r="A995" s="1" t="s">
        <v>1</v>
      </c>
      <c r="B995" s="1" t="s">
        <v>60</v>
      </c>
      <c r="C995" s="5">
        <f>DATE(2025, 2, 25) + TIME(10, 38, 25)</f>
        <v>45713.443344907406</v>
      </c>
      <c r="D995" s="1" t="s">
        <v>3</v>
      </c>
      <c r="E995" s="1" t="s">
        <v>571</v>
      </c>
    </row>
    <row r="996" spans="1:5" x14ac:dyDescent="0.2">
      <c r="A996" s="1" t="s">
        <v>1</v>
      </c>
      <c r="B996" s="1" t="s">
        <v>60</v>
      </c>
      <c r="C996" s="5">
        <f>DATE(2025, 2, 24) + TIME(15, 56, 1)</f>
        <v>45712.663900462961</v>
      </c>
      <c r="D996" s="1" t="s">
        <v>64</v>
      </c>
      <c r="E996" s="1" t="s">
        <v>630</v>
      </c>
    </row>
    <row r="997" spans="1:5" x14ac:dyDescent="0.2">
      <c r="A997" s="1" t="s">
        <v>1</v>
      </c>
      <c r="B997" s="1" t="s">
        <v>60</v>
      </c>
      <c r="C997" s="5">
        <f>DATE(2025, 2, 24) + TIME(12, 52, 15)</f>
        <v>45712.53628472222</v>
      </c>
      <c r="D997" s="1" t="s">
        <v>450</v>
      </c>
      <c r="E997" s="1" t="s">
        <v>573</v>
      </c>
    </row>
    <row r="998" spans="1:5" x14ac:dyDescent="0.2">
      <c r="A998" s="1" t="s">
        <v>1</v>
      </c>
      <c r="B998" s="1" t="s">
        <v>60</v>
      </c>
      <c r="C998" s="5">
        <f>DATE(2025, 2, 24) + TIME(12, 15, 47)</f>
        <v>45712.510960648149</v>
      </c>
      <c r="D998" s="1" t="s">
        <v>566</v>
      </c>
      <c r="E998" s="1" t="s">
        <v>865</v>
      </c>
    </row>
    <row r="999" spans="1:5" x14ac:dyDescent="0.2">
      <c r="A999" s="1" t="s">
        <v>1</v>
      </c>
      <c r="B999" s="1" t="s">
        <v>60</v>
      </c>
      <c r="C999" s="5">
        <f>DATE(2025, 2, 24) + TIME(12, 1, 23)</f>
        <v>45712.500960648147</v>
      </c>
      <c r="D999" s="1" t="s">
        <v>269</v>
      </c>
      <c r="E999" s="1" t="s">
        <v>748</v>
      </c>
    </row>
    <row r="1000" spans="1:5" x14ac:dyDescent="0.2">
      <c r="A1000" s="1" t="s">
        <v>1</v>
      </c>
      <c r="B1000" s="1" t="s">
        <v>60</v>
      </c>
      <c r="C1000" s="5">
        <f>DATE(2025, 2, 24) + TIME(10, 49, 20)</f>
        <v>45712.450925925928</v>
      </c>
      <c r="D1000" s="1" t="s">
        <v>3</v>
      </c>
      <c r="E1000" s="1" t="s">
        <v>168</v>
      </c>
    </row>
    <row r="1001" spans="1:5" x14ac:dyDescent="0.2">
      <c r="A1001" s="1" t="s">
        <v>1</v>
      </c>
      <c r="B1001" s="1" t="s">
        <v>60</v>
      </c>
      <c r="C1001" s="5">
        <f>DATE(2025, 2, 20) + TIME(14, 27, 17)</f>
        <v>45708.602280092593</v>
      </c>
      <c r="D1001" s="1" t="s">
        <v>216</v>
      </c>
      <c r="E1001" s="1" t="s">
        <v>466</v>
      </c>
    </row>
    <row r="1002" spans="1:5" x14ac:dyDescent="0.2">
      <c r="A1002" s="1" t="s">
        <v>1</v>
      </c>
      <c r="B1002" s="1" t="s">
        <v>60</v>
      </c>
      <c r="C1002" s="5">
        <f>DATE(2025, 2, 20) + TIME(13, 13, 44)</f>
        <v>45708.551203703704</v>
      </c>
      <c r="D1002" s="1" t="s">
        <v>216</v>
      </c>
      <c r="E1002" s="1" t="s">
        <v>372</v>
      </c>
    </row>
    <row r="1003" spans="1:5" x14ac:dyDescent="0.2">
      <c r="A1003" s="1" t="s">
        <v>1</v>
      </c>
      <c r="B1003" s="1" t="s">
        <v>60</v>
      </c>
      <c r="C1003" s="5">
        <f>DATE(2025, 2, 20) + TIME(12, 46, 43)</f>
        <v>45708.532442129632</v>
      </c>
      <c r="D1003" s="1" t="s">
        <v>450</v>
      </c>
      <c r="E1003" s="1" t="s">
        <v>691</v>
      </c>
    </row>
    <row r="1004" spans="1:5" x14ac:dyDescent="0.2">
      <c r="A1004" s="1" t="s">
        <v>1</v>
      </c>
      <c r="B1004" s="1" t="s">
        <v>60</v>
      </c>
      <c r="C1004" s="5">
        <f>DATE(2025, 2, 20) + TIME(12, 46, 43)</f>
        <v>45708.532442129632</v>
      </c>
      <c r="D1004" s="1" t="s">
        <v>450</v>
      </c>
      <c r="E1004" s="1" t="s">
        <v>345</v>
      </c>
    </row>
    <row r="1005" spans="1:5" x14ac:dyDescent="0.2">
      <c r="A1005" s="1" t="s">
        <v>1</v>
      </c>
      <c r="B1005" s="1" t="s">
        <v>60</v>
      </c>
      <c r="C1005" s="5">
        <f>DATE(2025, 2, 20) + TIME(12, 28, 42)</f>
        <v>45708.519930555558</v>
      </c>
      <c r="D1005" s="1" t="s">
        <v>5</v>
      </c>
      <c r="E1005" s="1" t="s">
        <v>763</v>
      </c>
    </row>
    <row r="1006" spans="1:5" x14ac:dyDescent="0.2">
      <c r="A1006" s="1" t="s">
        <v>1</v>
      </c>
      <c r="B1006" s="1" t="s">
        <v>60</v>
      </c>
      <c r="C1006" s="5">
        <f>DATE(2025, 2, 20) + TIME(11, 39, 58)</f>
        <v>45708.486087962963</v>
      </c>
      <c r="D1006" s="1" t="s">
        <v>640</v>
      </c>
      <c r="E1006" s="1" t="s">
        <v>283</v>
      </c>
    </row>
    <row r="1007" spans="1:5" x14ac:dyDescent="0.2">
      <c r="A1007" s="1" t="s">
        <v>1</v>
      </c>
      <c r="B1007" s="1" t="s">
        <v>60</v>
      </c>
      <c r="C1007" s="5">
        <f>DATE(2025, 2, 20) + TIME(10, 29, 49)</f>
        <v>45708.437372685185</v>
      </c>
      <c r="D1007" s="1" t="s">
        <v>356</v>
      </c>
      <c r="E1007" s="1" t="s">
        <v>748</v>
      </c>
    </row>
    <row r="1008" spans="1:5" x14ac:dyDescent="0.2">
      <c r="A1008" s="1" t="s">
        <v>1</v>
      </c>
      <c r="B1008" s="1" t="s">
        <v>60</v>
      </c>
      <c r="C1008" s="5">
        <f>DATE(2025, 2, 19) + TIME(13, 55, 25)</f>
        <v>45707.580150462964</v>
      </c>
      <c r="D1008" s="1" t="s">
        <v>320</v>
      </c>
      <c r="E1008" s="1" t="s">
        <v>565</v>
      </c>
    </row>
    <row r="1009" spans="1:5" x14ac:dyDescent="0.2">
      <c r="A1009" s="1" t="s">
        <v>1</v>
      </c>
      <c r="B1009" s="1" t="s">
        <v>60</v>
      </c>
      <c r="C1009" s="5">
        <f>DATE(2025, 2, 19) + TIME(12, 29, 59)</f>
        <v>45707.520821759259</v>
      </c>
      <c r="D1009" s="1" t="s">
        <v>320</v>
      </c>
      <c r="E1009" s="1" t="s">
        <v>917</v>
      </c>
    </row>
    <row r="1010" spans="1:5" x14ac:dyDescent="0.2">
      <c r="A1010" s="1" t="s">
        <v>1</v>
      </c>
      <c r="B1010" s="1" t="s">
        <v>866</v>
      </c>
      <c r="C1010" s="5">
        <f>DATE(2025, 2, 19) + TIME(10, 35, 27)</f>
        <v>45707.441284722219</v>
      </c>
      <c r="D1010" s="1" t="s">
        <v>65</v>
      </c>
      <c r="E1010" s="1" t="s">
        <v>918</v>
      </c>
    </row>
    <row r="1011" spans="1:5" x14ac:dyDescent="0.2">
      <c r="A1011" s="1" t="s">
        <v>1</v>
      </c>
      <c r="B1011" s="1" t="s">
        <v>60</v>
      </c>
      <c r="C1011" s="5">
        <f>DATE(2025, 2, 19) + TIME(10, 35, 27)</f>
        <v>45707.441284722219</v>
      </c>
      <c r="D1011" s="1" t="s">
        <v>65</v>
      </c>
      <c r="E1011" s="1" t="s">
        <v>918</v>
      </c>
    </row>
    <row r="1012" spans="1:5" x14ac:dyDescent="0.2">
      <c r="A1012" s="1" t="s">
        <v>1</v>
      </c>
      <c r="B1012" s="1" t="s">
        <v>323</v>
      </c>
      <c r="C1012" s="5">
        <f>DATE(2025, 2, 19) + TIME(9, 5, 54)</f>
        <v>45707.37909722222</v>
      </c>
      <c r="D1012" s="1" t="s">
        <v>64</v>
      </c>
      <c r="E1012" s="1" t="s">
        <v>433</v>
      </c>
    </row>
    <row r="1013" spans="1:5" x14ac:dyDescent="0.2">
      <c r="A1013" s="1" t="s">
        <v>1</v>
      </c>
      <c r="B1013" s="1" t="s">
        <v>60</v>
      </c>
      <c r="C1013" s="5">
        <f>DATE(2025, 2, 18) + TIME(14, 7, 11)</f>
        <v>45706.588321759256</v>
      </c>
      <c r="D1013" s="1" t="s">
        <v>869</v>
      </c>
      <c r="E1013" s="1" t="s">
        <v>327</v>
      </c>
    </row>
    <row r="1014" spans="1:5" x14ac:dyDescent="0.2">
      <c r="A1014" s="1" t="s">
        <v>1</v>
      </c>
      <c r="B1014" s="1" t="s">
        <v>564</v>
      </c>
      <c r="C1014" s="5">
        <f>DATE(2025, 2, 18) + TIME(13, 11, 9)</f>
        <v>45706.549409722225</v>
      </c>
      <c r="D1014" s="1" t="s">
        <v>467</v>
      </c>
      <c r="E1014" s="1" t="s">
        <v>997</v>
      </c>
    </row>
    <row r="1015" spans="1:5" x14ac:dyDescent="0.2">
      <c r="A1015" s="1" t="s">
        <v>1</v>
      </c>
      <c r="B1015" s="1" t="s">
        <v>866</v>
      </c>
      <c r="C1015" s="5">
        <f>DATE(2025, 2, 18) + TIME(9, 3, 9)</f>
        <v>45706.377187500002</v>
      </c>
      <c r="D1015" s="1" t="s">
        <v>869</v>
      </c>
      <c r="E1015" s="1" t="s">
        <v>842</v>
      </c>
    </row>
    <row r="1016" spans="1:5" x14ac:dyDescent="0.2">
      <c r="A1016" s="1" t="s">
        <v>1</v>
      </c>
      <c r="B1016" s="1" t="s">
        <v>60</v>
      </c>
      <c r="C1016" s="5">
        <f>DATE(2025, 2, 17) + TIME(13, 11, 28)</f>
        <v>45705.549629629626</v>
      </c>
      <c r="D1016" s="1" t="s">
        <v>450</v>
      </c>
      <c r="E1016" s="1" t="s">
        <v>573</v>
      </c>
    </row>
    <row r="1017" spans="1:5" x14ac:dyDescent="0.2">
      <c r="A1017" s="1" t="s">
        <v>1</v>
      </c>
      <c r="B1017" s="1" t="s">
        <v>60</v>
      </c>
      <c r="C1017" s="5">
        <f>DATE(2025, 2, 15) + TIME(14, 33, 8)</f>
        <v>45703.606342592589</v>
      </c>
      <c r="D1017" s="1" t="s">
        <v>65</v>
      </c>
      <c r="E1017" s="1" t="s">
        <v>555</v>
      </c>
    </row>
    <row r="1018" spans="1:5" x14ac:dyDescent="0.2">
      <c r="A1018" s="1" t="s">
        <v>1</v>
      </c>
      <c r="B1018" s="1" t="s">
        <v>60</v>
      </c>
      <c r="C1018" s="5">
        <f>DATE(2025, 2, 15) + TIME(12, 43, 50)</f>
        <v>45703.530439814815</v>
      </c>
      <c r="D1018" s="1" t="s">
        <v>65</v>
      </c>
      <c r="E1018" s="1" t="s">
        <v>804</v>
      </c>
    </row>
    <row r="1019" spans="1:5" x14ac:dyDescent="0.2">
      <c r="A1019" s="1" t="s">
        <v>1</v>
      </c>
      <c r="B1019" s="1" t="s">
        <v>60</v>
      </c>
      <c r="C1019" s="5">
        <f>DATE(2025, 2, 15) + TIME(11, 1, 49)</f>
        <v>45703.459594907406</v>
      </c>
      <c r="D1019" s="1" t="s">
        <v>65</v>
      </c>
      <c r="E1019" s="1" t="s">
        <v>227</v>
      </c>
    </row>
    <row r="1020" spans="1:5" x14ac:dyDescent="0.2">
      <c r="A1020" s="1" t="s">
        <v>1</v>
      </c>
      <c r="B1020" s="1" t="s">
        <v>60</v>
      </c>
      <c r="C1020" s="5">
        <f>DATE(2025, 2, 15) + TIME(10, 48, 10)</f>
        <v>45703.450115740743</v>
      </c>
      <c r="D1020" s="1" t="s">
        <v>65</v>
      </c>
      <c r="E1020" s="1" t="s">
        <v>329</v>
      </c>
    </row>
    <row r="1021" spans="1:5" x14ac:dyDescent="0.2">
      <c r="A1021" s="1" t="s">
        <v>1</v>
      </c>
      <c r="B1021" s="1" t="s">
        <v>60</v>
      </c>
      <c r="C1021" s="5">
        <f>DATE(2025, 2, 13) + TIME(16, 5, 33)</f>
        <v>45701.670520833337</v>
      </c>
      <c r="D1021" s="1" t="s">
        <v>863</v>
      </c>
      <c r="E1021" s="1" t="s">
        <v>170</v>
      </c>
    </row>
    <row r="1022" spans="1:5" x14ac:dyDescent="0.2">
      <c r="A1022" s="1" t="s">
        <v>1</v>
      </c>
      <c r="B1022" s="1" t="s">
        <v>60</v>
      </c>
      <c r="C1022" s="5">
        <f>DATE(2025, 2, 13) + TIME(13, 7, 58)</f>
        <v>45701.547199074077</v>
      </c>
      <c r="D1022" s="1" t="s">
        <v>5</v>
      </c>
      <c r="E1022" s="1" t="s">
        <v>763</v>
      </c>
    </row>
    <row r="1023" spans="1:5" x14ac:dyDescent="0.2">
      <c r="A1023" s="1" t="s">
        <v>1</v>
      </c>
      <c r="B1023" s="1" t="s">
        <v>60</v>
      </c>
      <c r="C1023" s="5">
        <f>DATE(2025, 2, 13) + TIME(13, 4, 27)</f>
        <v>45701.544756944444</v>
      </c>
      <c r="D1023" s="1" t="s">
        <v>640</v>
      </c>
      <c r="E1023" s="1" t="s">
        <v>838</v>
      </c>
    </row>
    <row r="1024" spans="1:5" x14ac:dyDescent="0.2">
      <c r="A1024" s="1" t="s">
        <v>1</v>
      </c>
      <c r="B1024" s="1" t="s">
        <v>60</v>
      </c>
      <c r="C1024" s="5">
        <f>DATE(2025, 2, 13) + TIME(12, 33, 41)</f>
        <v>45701.5233912037</v>
      </c>
      <c r="D1024" s="1" t="s">
        <v>450</v>
      </c>
      <c r="E1024" s="1" t="s">
        <v>345</v>
      </c>
    </row>
    <row r="1025" spans="1:5" x14ac:dyDescent="0.2">
      <c r="A1025" s="1" t="s">
        <v>1</v>
      </c>
      <c r="B1025" s="1" t="s">
        <v>60</v>
      </c>
      <c r="C1025" s="5">
        <f>DATE(2025, 2, 13) + TIME(12, 33, 41)</f>
        <v>45701.5233912037</v>
      </c>
      <c r="D1025" s="1" t="s">
        <v>450</v>
      </c>
      <c r="E1025" s="1" t="s">
        <v>691</v>
      </c>
    </row>
    <row r="1026" spans="1:5" x14ac:dyDescent="0.2">
      <c r="A1026" s="1" t="s">
        <v>1</v>
      </c>
      <c r="B1026" s="1" t="s">
        <v>60</v>
      </c>
      <c r="C1026" s="5">
        <f>DATE(2025, 2, 12) + TIME(14, 34, 4)</f>
        <v>45700.606990740744</v>
      </c>
      <c r="D1026" s="1" t="s">
        <v>341</v>
      </c>
      <c r="E1026" s="1" t="s">
        <v>397</v>
      </c>
    </row>
    <row r="1027" spans="1:5" x14ac:dyDescent="0.2">
      <c r="A1027" s="1" t="s">
        <v>1</v>
      </c>
      <c r="B1027" s="1" t="s">
        <v>60</v>
      </c>
      <c r="C1027" s="5">
        <f>DATE(2025, 2, 12) + TIME(13, 20, 37)</f>
        <v>45700.555983796294</v>
      </c>
      <c r="D1027" s="1" t="s">
        <v>396</v>
      </c>
      <c r="E1027" s="1" t="s">
        <v>797</v>
      </c>
    </row>
    <row r="1028" spans="1:5" x14ac:dyDescent="0.2">
      <c r="A1028" s="1" t="s">
        <v>1</v>
      </c>
      <c r="B1028" s="1" t="s">
        <v>60</v>
      </c>
      <c r="C1028" s="5">
        <f>DATE(2025, 2, 12) + TIME(12, 7, 58)</f>
        <v>45700.505532407406</v>
      </c>
      <c r="D1028" s="1" t="s">
        <v>566</v>
      </c>
      <c r="E1028" s="1" t="s">
        <v>865</v>
      </c>
    </row>
    <row r="1029" spans="1:5" x14ac:dyDescent="0.2">
      <c r="A1029" s="1" t="s">
        <v>1</v>
      </c>
      <c r="B1029" s="1" t="s">
        <v>323</v>
      </c>
      <c r="C1029" s="5">
        <f>DATE(2025, 2, 11) + TIME(12, 3, 10)</f>
        <v>45699.502199074072</v>
      </c>
      <c r="D1029" s="1" t="s">
        <v>320</v>
      </c>
      <c r="E1029" s="1" t="s">
        <v>95</v>
      </c>
    </row>
    <row r="1030" spans="1:5" x14ac:dyDescent="0.2">
      <c r="A1030" s="1" t="s">
        <v>1</v>
      </c>
      <c r="B1030" s="1" t="s">
        <v>60</v>
      </c>
      <c r="C1030" s="5">
        <f>DATE(2025, 2, 10) + TIME(15, 28, 51)</f>
        <v>45698.64503472222</v>
      </c>
      <c r="D1030" s="1" t="s">
        <v>144</v>
      </c>
      <c r="E1030" s="1" t="s">
        <v>695</v>
      </c>
    </row>
    <row r="1031" spans="1:5" x14ac:dyDescent="0.2">
      <c r="A1031" s="1" t="s">
        <v>1</v>
      </c>
      <c r="B1031" s="1" t="s">
        <v>60</v>
      </c>
      <c r="C1031" s="5">
        <f>DATE(2025, 2, 10) + TIME(12, 44, 50)</f>
        <v>45698.531134259261</v>
      </c>
      <c r="D1031" s="1" t="s">
        <v>341</v>
      </c>
      <c r="E1031" s="1" t="s">
        <v>940</v>
      </c>
    </row>
    <row r="1032" spans="1:5" x14ac:dyDescent="0.2">
      <c r="A1032" s="1" t="s">
        <v>1</v>
      </c>
      <c r="B1032" s="1" t="s">
        <v>60</v>
      </c>
      <c r="C1032" s="5">
        <f>DATE(2025, 2, 10) + TIME(11, 9, 23)</f>
        <v>45698.464849537035</v>
      </c>
      <c r="D1032" s="1" t="s">
        <v>3</v>
      </c>
      <c r="E1032" s="1" t="s">
        <v>168</v>
      </c>
    </row>
    <row r="1033" spans="1:5" x14ac:dyDescent="0.2">
      <c r="A1033" s="1" t="s">
        <v>1</v>
      </c>
      <c r="B1033" s="1" t="s">
        <v>60</v>
      </c>
      <c r="C1033" s="5">
        <f>DATE(2025, 2, 6) + TIME(12, 52, 3)</f>
        <v>45694.536145833335</v>
      </c>
      <c r="D1033" s="1" t="s">
        <v>450</v>
      </c>
      <c r="E1033" s="1" t="s">
        <v>691</v>
      </c>
    </row>
    <row r="1034" spans="1:5" x14ac:dyDescent="0.2">
      <c r="A1034" s="1" t="s">
        <v>1</v>
      </c>
      <c r="B1034" s="1" t="s">
        <v>60</v>
      </c>
      <c r="C1034" s="5">
        <f>DATE(2025, 2, 6) + TIME(12, 52, 2)</f>
        <v>45694.536134259259</v>
      </c>
      <c r="D1034" s="1" t="s">
        <v>450</v>
      </c>
      <c r="E1034" s="1" t="s">
        <v>345</v>
      </c>
    </row>
    <row r="1035" spans="1:5" x14ac:dyDescent="0.2">
      <c r="A1035" s="1" t="s">
        <v>1</v>
      </c>
      <c r="B1035" s="1" t="s">
        <v>60</v>
      </c>
      <c r="C1035" s="5">
        <f>DATE(2025, 2, 6) + TIME(12, 10, 17)</f>
        <v>45694.507141203707</v>
      </c>
      <c r="D1035" s="1" t="s">
        <v>576</v>
      </c>
      <c r="E1035" s="1" t="s">
        <v>763</v>
      </c>
    </row>
    <row r="1036" spans="1:5" x14ac:dyDescent="0.2">
      <c r="A1036" s="1" t="s">
        <v>1</v>
      </c>
      <c r="B1036" s="1" t="s">
        <v>60</v>
      </c>
      <c r="C1036" s="5">
        <f>DATE(2025, 2, 6) + TIME(12, 2, 52)</f>
        <v>45694.50199074074</v>
      </c>
      <c r="D1036" s="1" t="s">
        <v>269</v>
      </c>
      <c r="E1036" s="1" t="s">
        <v>743</v>
      </c>
    </row>
    <row r="1037" spans="1:5" x14ac:dyDescent="0.2">
      <c r="A1037" s="1" t="s">
        <v>1</v>
      </c>
      <c r="B1037" s="1" t="s">
        <v>60</v>
      </c>
      <c r="C1037" s="5">
        <f>DATE(2025, 2, 5) + TIME(14, 45, 38)</f>
        <v>45693.615023148152</v>
      </c>
      <c r="D1037" s="1" t="s">
        <v>506</v>
      </c>
      <c r="E1037" s="1" t="s">
        <v>6</v>
      </c>
    </row>
    <row r="1038" spans="1:5" x14ac:dyDescent="0.2">
      <c r="A1038" s="1" t="s">
        <v>1</v>
      </c>
      <c r="B1038" s="1" t="s">
        <v>60</v>
      </c>
      <c r="C1038" s="5">
        <f>DATE(2025, 2, 5) + TIME(11, 44, 53)</f>
        <v>45693.489502314813</v>
      </c>
      <c r="D1038" s="1" t="s">
        <v>396</v>
      </c>
      <c r="E1038" s="1" t="s">
        <v>1009</v>
      </c>
    </row>
    <row r="1039" spans="1:5" x14ac:dyDescent="0.2">
      <c r="A1039" s="1" t="s">
        <v>1</v>
      </c>
      <c r="B1039" s="1" t="s">
        <v>60</v>
      </c>
      <c r="C1039" s="5">
        <f>DATE(2025, 2, 4) + TIME(15, 47, 22)</f>
        <v>45692.657893518517</v>
      </c>
      <c r="D1039" s="1" t="s">
        <v>216</v>
      </c>
      <c r="E1039" s="1" t="s">
        <v>101</v>
      </c>
    </row>
    <row r="1040" spans="1:5" x14ac:dyDescent="0.2">
      <c r="A1040" s="1" t="s">
        <v>1</v>
      </c>
      <c r="B1040" s="1" t="s">
        <v>60</v>
      </c>
      <c r="C1040" s="5">
        <f>DATE(2025, 2, 4) + TIME(14, 23, 0)</f>
        <v>45692.599305555559</v>
      </c>
      <c r="D1040" s="1" t="s">
        <v>126</v>
      </c>
      <c r="E1040" s="1" t="s">
        <v>770</v>
      </c>
    </row>
    <row r="1041" spans="1:5" x14ac:dyDescent="0.2">
      <c r="A1041" s="1" t="s">
        <v>1</v>
      </c>
      <c r="B1041" s="1" t="s">
        <v>60</v>
      </c>
      <c r="C1041" s="5">
        <f>DATE(2025, 2, 4) + TIME(14, 4, 50)</f>
        <v>45692.586689814816</v>
      </c>
      <c r="D1041" s="1" t="s">
        <v>506</v>
      </c>
      <c r="E1041" s="1" t="s">
        <v>884</v>
      </c>
    </row>
    <row r="1042" spans="1:5" x14ac:dyDescent="0.2">
      <c r="A1042" s="1" t="s">
        <v>1</v>
      </c>
      <c r="B1042" s="1" t="s">
        <v>60</v>
      </c>
      <c r="C1042" s="5">
        <f>DATE(2025, 2, 4) + TIME(13, 41, 50)</f>
        <v>45692.570717592593</v>
      </c>
      <c r="D1042" s="1" t="s">
        <v>3</v>
      </c>
      <c r="E1042" s="1" t="s">
        <v>571</v>
      </c>
    </row>
    <row r="1043" spans="1:5" x14ac:dyDescent="0.2">
      <c r="A1043" s="1" t="s">
        <v>1</v>
      </c>
      <c r="B1043" s="1" t="s">
        <v>60</v>
      </c>
      <c r="C1043" s="5">
        <f>DATE(2025, 2, 4) + TIME(13, 36, 37)</f>
        <v>45692.567094907405</v>
      </c>
      <c r="D1043" s="1" t="s">
        <v>148</v>
      </c>
      <c r="E1043" s="1" t="s">
        <v>361</v>
      </c>
    </row>
    <row r="1044" spans="1:5" x14ac:dyDescent="0.2">
      <c r="A1044" s="1" t="s">
        <v>1</v>
      </c>
      <c r="B1044" s="1" t="s">
        <v>60</v>
      </c>
      <c r="C1044" s="5">
        <f>DATE(2025, 2, 4) + TIME(13, 29, 53)</f>
        <v>45692.562418981484</v>
      </c>
      <c r="D1044" s="1" t="s">
        <v>65</v>
      </c>
      <c r="E1044" s="1" t="s">
        <v>227</v>
      </c>
    </row>
    <row r="1045" spans="1:5" x14ac:dyDescent="0.2">
      <c r="A1045" s="1" t="s">
        <v>1</v>
      </c>
      <c r="B1045" s="1" t="s">
        <v>60</v>
      </c>
      <c r="C1045" s="5">
        <f>DATE(2025, 2, 4) + TIME(13, 5, 58)</f>
        <v>45692.545810185184</v>
      </c>
      <c r="D1045" s="1" t="s">
        <v>65</v>
      </c>
      <c r="E1045" s="1" t="s">
        <v>694</v>
      </c>
    </row>
    <row r="1046" spans="1:5" x14ac:dyDescent="0.2">
      <c r="A1046" s="1" t="s">
        <v>1</v>
      </c>
      <c r="B1046" s="1" t="s">
        <v>60</v>
      </c>
      <c r="C1046" s="5">
        <f>DATE(2025, 2, 4) + TIME(11, 24, 56)</f>
        <v>45692.475648148145</v>
      </c>
      <c r="D1046" s="1" t="s">
        <v>65</v>
      </c>
      <c r="E1046" s="1" t="s">
        <v>758</v>
      </c>
    </row>
    <row r="1047" spans="1:5" x14ac:dyDescent="0.2">
      <c r="A1047" s="1" t="s">
        <v>1</v>
      </c>
      <c r="B1047" s="1" t="s">
        <v>323</v>
      </c>
      <c r="C1047" s="5">
        <f>DATE(2025, 2, 3) + TIME(14, 45, 6)</f>
        <v>45691.614652777775</v>
      </c>
      <c r="D1047" s="1" t="s">
        <v>64</v>
      </c>
      <c r="E1047" s="1" t="s">
        <v>630</v>
      </c>
    </row>
    <row r="1048" spans="1:5" x14ac:dyDescent="0.2">
      <c r="A1048" s="1" t="s">
        <v>1</v>
      </c>
      <c r="B1048" s="1" t="s">
        <v>60</v>
      </c>
      <c r="C1048" s="5">
        <f>DATE(2025, 2, 3) + TIME(14, 9, 20)</f>
        <v>45691.589814814812</v>
      </c>
      <c r="D1048" s="1" t="s">
        <v>65</v>
      </c>
      <c r="E1048" s="1" t="s">
        <v>400</v>
      </c>
    </row>
    <row r="1049" spans="1:5" x14ac:dyDescent="0.2">
      <c r="A1049" s="1" t="s">
        <v>1</v>
      </c>
      <c r="B1049" s="1" t="s">
        <v>60</v>
      </c>
      <c r="C1049" s="5">
        <f>DATE(2025, 2, 3) + TIME(11, 37, 4)</f>
        <v>45691.484074074076</v>
      </c>
      <c r="D1049" s="1" t="s">
        <v>566</v>
      </c>
      <c r="E1049" s="1" t="s">
        <v>865</v>
      </c>
    </row>
    <row r="1050" spans="1:5" x14ac:dyDescent="0.2">
      <c r="A1050" s="1" t="s">
        <v>1</v>
      </c>
      <c r="B1050" s="1" t="s">
        <v>60</v>
      </c>
      <c r="C1050" s="5">
        <f>DATE(2025, 2, 3) + TIME(10, 40, 28)</f>
        <v>45691.444768518515</v>
      </c>
      <c r="D1050" s="1" t="s">
        <v>754</v>
      </c>
      <c r="E1050" s="1" t="s">
        <v>245</v>
      </c>
    </row>
    <row r="1051" spans="1:5" x14ac:dyDescent="0.2">
      <c r="A1051" s="1" t="s">
        <v>1</v>
      </c>
      <c r="B1051" s="1" t="s">
        <v>60</v>
      </c>
      <c r="C1051" s="5">
        <f>DATE(2025, 1, 30) + TIME(14, 12, 56)</f>
        <v>45687.592314814814</v>
      </c>
      <c r="D1051" s="1" t="s">
        <v>638</v>
      </c>
      <c r="E1051" s="1" t="s">
        <v>887</v>
      </c>
    </row>
    <row r="1052" spans="1:5" x14ac:dyDescent="0.2">
      <c r="A1052" s="1" t="s">
        <v>1</v>
      </c>
      <c r="B1052" s="1" t="s">
        <v>539</v>
      </c>
      <c r="C1052" s="5">
        <f>DATE(2025, 1, 30) + TIME(10, 7, 10)</f>
        <v>45687.421643518515</v>
      </c>
      <c r="D1052" s="1" t="s">
        <v>269</v>
      </c>
      <c r="E1052" s="1" t="s">
        <v>461</v>
      </c>
    </row>
    <row r="1053" spans="1:5" x14ac:dyDescent="0.2">
      <c r="A1053" s="1" t="s">
        <v>1</v>
      </c>
      <c r="B1053" s="1" t="s">
        <v>60</v>
      </c>
      <c r="C1053" s="5">
        <f>DATE(2025, 1, 30) + TIME(10, 6, 34)</f>
        <v>45687.421226851853</v>
      </c>
      <c r="D1053" s="1" t="s">
        <v>269</v>
      </c>
      <c r="E1053" s="1" t="s">
        <v>748</v>
      </c>
    </row>
    <row r="1054" spans="1:5" x14ac:dyDescent="0.2">
      <c r="A1054" s="1" t="s">
        <v>1</v>
      </c>
      <c r="B1054" s="1" t="s">
        <v>866</v>
      </c>
      <c r="C1054" s="5">
        <f>DATE(2025, 1, 29) + TIME(14, 41, 29)</f>
        <v>45686.612141203703</v>
      </c>
      <c r="D1054" s="1" t="s">
        <v>754</v>
      </c>
      <c r="E1054" s="1" t="s">
        <v>760</v>
      </c>
    </row>
    <row r="1055" spans="1:5" x14ac:dyDescent="0.2">
      <c r="A1055" s="1" t="s">
        <v>1</v>
      </c>
      <c r="B1055" s="1" t="s">
        <v>323</v>
      </c>
      <c r="C1055" s="5">
        <f>DATE(2025, 1, 28) + TIME(15, 45, 0)</f>
        <v>45685.65625</v>
      </c>
      <c r="D1055" s="1" t="s">
        <v>320</v>
      </c>
      <c r="E1055" s="1" t="s">
        <v>687</v>
      </c>
    </row>
    <row r="1056" spans="1:5" x14ac:dyDescent="0.2">
      <c r="A1056" s="1" t="s">
        <v>1</v>
      </c>
      <c r="B1056" s="1" t="s">
        <v>60</v>
      </c>
      <c r="C1056" s="5">
        <f>DATE(2025, 1, 28) + TIME(15, 3, 35)</f>
        <v>45685.627488425926</v>
      </c>
      <c r="D1056" s="1" t="s">
        <v>506</v>
      </c>
      <c r="E1056" s="1" t="s">
        <v>83</v>
      </c>
    </row>
    <row r="1057" spans="1:5" x14ac:dyDescent="0.2">
      <c r="A1057" s="1" t="s">
        <v>1</v>
      </c>
      <c r="B1057" s="1" t="s">
        <v>60</v>
      </c>
      <c r="C1057" s="5">
        <f>DATE(2025, 1, 28) + TIME(14, 9, 50)</f>
        <v>45685.590162037035</v>
      </c>
      <c r="D1057" s="1" t="s">
        <v>148</v>
      </c>
      <c r="E1057" s="1" t="s">
        <v>17</v>
      </c>
    </row>
    <row r="1058" spans="1:5" x14ac:dyDescent="0.2">
      <c r="A1058" s="1" t="s">
        <v>1</v>
      </c>
      <c r="B1058" s="1" t="s">
        <v>60</v>
      </c>
      <c r="C1058" s="5">
        <f>DATE(2025, 1, 28) + TIME(13, 15, 19)</f>
        <v>45685.552303240744</v>
      </c>
      <c r="D1058" s="1" t="s">
        <v>459</v>
      </c>
      <c r="E1058" s="1" t="s">
        <v>1050</v>
      </c>
    </row>
    <row r="1059" spans="1:5" x14ac:dyDescent="0.2">
      <c r="A1059" s="1" t="s">
        <v>1</v>
      </c>
      <c r="B1059" s="1" t="s">
        <v>60</v>
      </c>
      <c r="C1059" s="5">
        <f>DATE(2025, 1, 28) + TIME(12, 36, 16)</f>
        <v>45685.525185185186</v>
      </c>
      <c r="D1059" s="1" t="s">
        <v>566</v>
      </c>
      <c r="E1059" s="1" t="s">
        <v>997</v>
      </c>
    </row>
    <row r="1060" spans="1:5" x14ac:dyDescent="0.2">
      <c r="A1060" s="1" t="s">
        <v>1</v>
      </c>
      <c r="B1060" s="1" t="s">
        <v>323</v>
      </c>
      <c r="C1060" s="5">
        <f>DATE(2025, 1, 27) + TIME(15, 58, 11)</f>
        <v>45684.665405092594</v>
      </c>
      <c r="D1060" s="1" t="s">
        <v>64</v>
      </c>
      <c r="E1060" s="1" t="s">
        <v>630</v>
      </c>
    </row>
    <row r="1061" spans="1:5" x14ac:dyDescent="0.2">
      <c r="A1061" s="1" t="s">
        <v>1</v>
      </c>
      <c r="B1061" s="1" t="s">
        <v>60</v>
      </c>
      <c r="C1061" s="5">
        <f>DATE(2025, 1, 27) + TIME(15, 49, 5)</f>
        <v>45684.659085648149</v>
      </c>
      <c r="D1061" s="1" t="s">
        <v>506</v>
      </c>
      <c r="E1061" s="1" t="s">
        <v>808</v>
      </c>
    </row>
    <row r="1062" spans="1:5" x14ac:dyDescent="0.2">
      <c r="A1062" s="1" t="s">
        <v>1</v>
      </c>
      <c r="B1062" s="1" t="s">
        <v>60</v>
      </c>
      <c r="C1062" s="5">
        <f>DATE(2025, 1, 27) + TIME(15, 38, 29)</f>
        <v>45684.651724537034</v>
      </c>
      <c r="D1062" s="1" t="s">
        <v>398</v>
      </c>
      <c r="E1062" s="1" t="s">
        <v>142</v>
      </c>
    </row>
    <row r="1063" spans="1:5" x14ac:dyDescent="0.2">
      <c r="A1063" s="1" t="s">
        <v>1</v>
      </c>
      <c r="B1063" s="1" t="s">
        <v>60</v>
      </c>
      <c r="C1063" s="5">
        <f>DATE(2025, 1, 27) + TIME(14, 46, 18)</f>
        <v>45684.615486111114</v>
      </c>
      <c r="D1063" s="1" t="s">
        <v>391</v>
      </c>
      <c r="E1063" s="1" t="s">
        <v>619</v>
      </c>
    </row>
    <row r="1064" spans="1:5" x14ac:dyDescent="0.2">
      <c r="A1064" s="1" t="s">
        <v>1</v>
      </c>
      <c r="B1064" s="1" t="s">
        <v>69</v>
      </c>
      <c r="C1064" s="5">
        <f>DATE(2025, 1, 27) + TIME(14, 44, 59)</f>
        <v>45684.614571759259</v>
      </c>
      <c r="D1064" s="1" t="s">
        <v>341</v>
      </c>
      <c r="E1064" s="1" t="s">
        <v>806</v>
      </c>
    </row>
    <row r="1065" spans="1:5" x14ac:dyDescent="0.2">
      <c r="A1065" s="1" t="s">
        <v>1</v>
      </c>
      <c r="B1065" s="1" t="s">
        <v>60</v>
      </c>
      <c r="C1065" s="5">
        <f>DATE(2025, 1, 27) + TIME(12, 28, 13)</f>
        <v>45684.519594907404</v>
      </c>
      <c r="D1065" s="1" t="s">
        <v>640</v>
      </c>
      <c r="E1065" s="1" t="s">
        <v>608</v>
      </c>
    </row>
    <row r="1066" spans="1:5" x14ac:dyDescent="0.2">
      <c r="A1066" s="1" t="s">
        <v>1</v>
      </c>
      <c r="B1066" s="1" t="s">
        <v>60</v>
      </c>
      <c r="C1066" s="5">
        <f>DATE(2025, 1, 27) + TIME(11, 57, 19)</f>
        <v>45684.498136574075</v>
      </c>
      <c r="D1066" s="1" t="s">
        <v>640</v>
      </c>
      <c r="E1066" s="1" t="s">
        <v>520</v>
      </c>
    </row>
    <row r="1067" spans="1:5" x14ac:dyDescent="0.2">
      <c r="A1067" s="1" t="s">
        <v>1</v>
      </c>
      <c r="B1067" s="1" t="s">
        <v>60</v>
      </c>
      <c r="C1067" s="5">
        <f>DATE(2025, 1, 27) + TIME(11, 52, 30)</f>
        <v>45684.494791666664</v>
      </c>
      <c r="D1067" s="1" t="s">
        <v>506</v>
      </c>
      <c r="E1067" s="1" t="s">
        <v>649</v>
      </c>
    </row>
    <row r="1068" spans="1:5" x14ac:dyDescent="0.2">
      <c r="A1068" s="1" t="s">
        <v>1</v>
      </c>
      <c r="B1068" s="1" t="s">
        <v>60</v>
      </c>
      <c r="C1068" s="5">
        <f>DATE(2025, 1, 27) + TIME(11, 30, 38)</f>
        <v>45684.47960648148</v>
      </c>
      <c r="D1068" s="1" t="s">
        <v>356</v>
      </c>
      <c r="E1068" s="1" t="s">
        <v>942</v>
      </c>
    </row>
    <row r="1069" spans="1:5" x14ac:dyDescent="0.2">
      <c r="A1069" s="1" t="s">
        <v>1</v>
      </c>
      <c r="B1069" s="1" t="s">
        <v>60</v>
      </c>
      <c r="C1069" s="5">
        <f>DATE(2025, 1, 27) + TIME(10, 47, 33)</f>
        <v>45684.449687499997</v>
      </c>
      <c r="D1069" s="1" t="s">
        <v>3</v>
      </c>
      <c r="E1069" s="1" t="s">
        <v>168</v>
      </c>
    </row>
    <row r="1070" spans="1:5" x14ac:dyDescent="0.2">
      <c r="A1070" s="1" t="s">
        <v>1</v>
      </c>
      <c r="B1070" s="1" t="s">
        <v>60</v>
      </c>
      <c r="C1070" s="5">
        <f>DATE(2025, 1, 27) + TIME(10, 24, 7)</f>
        <v>45684.43341435185</v>
      </c>
      <c r="D1070" s="1" t="s">
        <v>754</v>
      </c>
      <c r="E1070" s="1" t="s">
        <v>941</v>
      </c>
    </row>
    <row r="1071" spans="1:5" x14ac:dyDescent="0.2">
      <c r="A1071" s="1" t="s">
        <v>1</v>
      </c>
      <c r="B1071" s="1" t="s">
        <v>60</v>
      </c>
      <c r="C1071" s="5">
        <f>DATE(2025, 1, 23) + TIME(15, 10, 22)</f>
        <v>45680.632199074076</v>
      </c>
      <c r="D1071" s="1" t="s">
        <v>391</v>
      </c>
      <c r="E1071" s="1" t="s">
        <v>619</v>
      </c>
    </row>
    <row r="1072" spans="1:5" x14ac:dyDescent="0.2">
      <c r="A1072" s="1" t="s">
        <v>1</v>
      </c>
      <c r="B1072" s="1" t="s">
        <v>323</v>
      </c>
      <c r="C1072" s="5">
        <f>DATE(2025, 1, 23) + TIME(15, 4, 54)</f>
        <v>45680.62840277778</v>
      </c>
      <c r="D1072" s="1" t="s">
        <v>320</v>
      </c>
      <c r="E1072" s="1" t="s">
        <v>565</v>
      </c>
    </row>
    <row r="1073" spans="1:5" x14ac:dyDescent="0.2">
      <c r="A1073" s="1" t="s">
        <v>1</v>
      </c>
      <c r="B1073" s="1" t="s">
        <v>564</v>
      </c>
      <c r="C1073" s="5">
        <f>DATE(2025, 1, 23) + TIME(14, 16, 25)</f>
        <v>45680.594733796293</v>
      </c>
      <c r="D1073" s="1" t="s">
        <v>396</v>
      </c>
      <c r="E1073" s="1" t="s">
        <v>567</v>
      </c>
    </row>
    <row r="1074" spans="1:5" x14ac:dyDescent="0.2">
      <c r="A1074" s="1" t="s">
        <v>1</v>
      </c>
      <c r="B1074" s="1" t="s">
        <v>564</v>
      </c>
      <c r="C1074" s="5">
        <f>DATE(2025, 1, 23) + TIME(13, 33, 8)</f>
        <v>45680.564675925925</v>
      </c>
      <c r="D1074" s="1" t="s">
        <v>506</v>
      </c>
      <c r="E1074" s="1" t="s">
        <v>649</v>
      </c>
    </row>
    <row r="1075" spans="1:5" x14ac:dyDescent="0.2">
      <c r="A1075" s="1" t="s">
        <v>1</v>
      </c>
      <c r="B1075" s="1" t="s">
        <v>60</v>
      </c>
      <c r="C1075" s="5">
        <f>DATE(2025, 1, 23) + TIME(12, 51, 45)</f>
        <v>45680.535937499997</v>
      </c>
      <c r="D1075" s="1" t="s">
        <v>216</v>
      </c>
      <c r="E1075" s="1" t="s">
        <v>466</v>
      </c>
    </row>
    <row r="1076" spans="1:5" x14ac:dyDescent="0.2">
      <c r="A1076" s="1" t="s">
        <v>1</v>
      </c>
      <c r="B1076" s="1" t="s">
        <v>60</v>
      </c>
      <c r="C1076" s="5">
        <f>DATE(2025, 1, 23) + TIME(12, 2, 9)</f>
        <v>45680.501493055555</v>
      </c>
      <c r="D1076" s="1" t="s">
        <v>450</v>
      </c>
      <c r="E1076" s="1" t="s">
        <v>345</v>
      </c>
    </row>
    <row r="1077" spans="1:5" x14ac:dyDescent="0.2">
      <c r="A1077" s="1" t="s">
        <v>1</v>
      </c>
      <c r="B1077" s="1" t="s">
        <v>60</v>
      </c>
      <c r="C1077" s="5">
        <f>DATE(2025, 1, 23) + TIME(11, 44, 28)</f>
        <v>45680.489212962966</v>
      </c>
      <c r="D1077" s="1" t="s">
        <v>450</v>
      </c>
      <c r="E1077" s="1" t="s">
        <v>691</v>
      </c>
    </row>
    <row r="1078" spans="1:5" x14ac:dyDescent="0.2">
      <c r="A1078" s="1" t="s">
        <v>1</v>
      </c>
      <c r="B1078" s="1" t="s">
        <v>60</v>
      </c>
      <c r="C1078" s="5">
        <f>DATE(2025, 1, 23) + TIME(10, 39, 5)</f>
        <v>45680.443807870368</v>
      </c>
      <c r="D1078" s="1" t="s">
        <v>754</v>
      </c>
      <c r="E1078" s="1" t="s">
        <v>245</v>
      </c>
    </row>
    <row r="1079" spans="1:5" x14ac:dyDescent="0.2">
      <c r="A1079" s="1" t="s">
        <v>1</v>
      </c>
      <c r="B1079" s="1" t="s">
        <v>564</v>
      </c>
      <c r="C1079" s="5">
        <f>DATE(2025, 1, 23) + TIME(5, 57, 32)</f>
        <v>45680.248287037037</v>
      </c>
      <c r="D1079" s="1" t="s">
        <v>506</v>
      </c>
      <c r="E1079" s="1" t="s">
        <v>510</v>
      </c>
    </row>
    <row r="1080" spans="1:5" x14ac:dyDescent="0.2">
      <c r="A1080" s="1" t="s">
        <v>1</v>
      </c>
      <c r="B1080" s="1" t="s">
        <v>323</v>
      </c>
      <c r="C1080" s="5">
        <f>DATE(2025, 1, 22) + TIME(12, 14, 25)</f>
        <v>45679.510011574072</v>
      </c>
      <c r="D1080" s="1" t="s">
        <v>65</v>
      </c>
      <c r="E1080" s="1" t="s">
        <v>432</v>
      </c>
    </row>
    <row r="1081" spans="1:5" x14ac:dyDescent="0.2">
      <c r="A1081" s="1" t="s">
        <v>1</v>
      </c>
      <c r="B1081" s="1" t="s">
        <v>323</v>
      </c>
      <c r="C1081" s="5">
        <f>DATE(2025, 1, 22) + TIME(11, 32, 47)</f>
        <v>45679.481099537035</v>
      </c>
      <c r="D1081" s="1" t="s">
        <v>320</v>
      </c>
      <c r="E1081" s="1" t="s">
        <v>917</v>
      </c>
    </row>
    <row r="1082" spans="1:5" x14ac:dyDescent="0.2">
      <c r="A1082" s="1" t="s">
        <v>1</v>
      </c>
      <c r="B1082" s="1" t="s">
        <v>323</v>
      </c>
      <c r="C1082" s="5">
        <f>DATE(2025, 1, 21) + TIME(15, 14, 59)</f>
        <v>45678.635405092595</v>
      </c>
      <c r="D1082" s="1" t="s">
        <v>320</v>
      </c>
      <c r="E1082" s="1" t="s">
        <v>95</v>
      </c>
    </row>
    <row r="1083" spans="1:5" x14ac:dyDescent="0.2">
      <c r="A1083" s="1" t="s">
        <v>1</v>
      </c>
      <c r="B1083" s="1" t="s">
        <v>323</v>
      </c>
      <c r="C1083" s="5">
        <f>DATE(2025, 1, 21) + TIME(15, 14, 32)</f>
        <v>45678.635092592594</v>
      </c>
      <c r="D1083" s="1" t="s">
        <v>320</v>
      </c>
      <c r="E1083" s="1" t="s">
        <v>687</v>
      </c>
    </row>
    <row r="1084" spans="1:5" x14ac:dyDescent="0.2">
      <c r="A1084" s="1" t="s">
        <v>1</v>
      </c>
      <c r="B1084" s="1" t="s">
        <v>323</v>
      </c>
      <c r="C1084" s="5">
        <f>DATE(2025, 1, 21) + TIME(15, 14, 10)</f>
        <v>45678.634837962964</v>
      </c>
      <c r="D1084" s="1" t="s">
        <v>320</v>
      </c>
      <c r="E1084" s="1" t="s">
        <v>214</v>
      </c>
    </row>
    <row r="1085" spans="1:5" x14ac:dyDescent="0.2">
      <c r="A1085" s="1" t="s">
        <v>1</v>
      </c>
      <c r="B1085" s="1" t="s">
        <v>60</v>
      </c>
      <c r="C1085" s="5">
        <f>DATE(2025, 1, 21) + TIME(15, 10, 8)</f>
        <v>45678.632037037038</v>
      </c>
      <c r="D1085" s="1" t="s">
        <v>506</v>
      </c>
      <c r="E1085" s="1" t="s">
        <v>83</v>
      </c>
    </row>
    <row r="1086" spans="1:5" x14ac:dyDescent="0.2">
      <c r="A1086" s="1" t="s">
        <v>1</v>
      </c>
      <c r="B1086" s="1" t="s">
        <v>60</v>
      </c>
      <c r="C1086" s="5">
        <f>DATE(2025, 1, 21) + TIME(13, 34, 56)</f>
        <v>45678.565925925926</v>
      </c>
      <c r="D1086" s="1" t="s">
        <v>148</v>
      </c>
      <c r="E1086" s="1" t="s">
        <v>361</v>
      </c>
    </row>
    <row r="1087" spans="1:5" x14ac:dyDescent="0.2">
      <c r="A1087" s="1" t="s">
        <v>1</v>
      </c>
      <c r="B1087" s="1" t="s">
        <v>60</v>
      </c>
      <c r="C1087" s="5">
        <f>DATE(2025, 1, 21) + TIME(13, 23, 40)</f>
        <v>45678.55810185185</v>
      </c>
      <c r="D1087" s="1" t="s">
        <v>3</v>
      </c>
      <c r="E1087" s="1" t="s">
        <v>571</v>
      </c>
    </row>
    <row r="1088" spans="1:5" x14ac:dyDescent="0.2">
      <c r="A1088" s="1" t="s">
        <v>1</v>
      </c>
      <c r="B1088" s="1" t="s">
        <v>60</v>
      </c>
      <c r="C1088" s="5">
        <f>DATE(2025, 1, 21) + TIME(12, 50, 27)</f>
        <v>45678.535034722219</v>
      </c>
      <c r="D1088" s="1" t="s">
        <v>506</v>
      </c>
      <c r="E1088" s="1" t="s">
        <v>702</v>
      </c>
    </row>
    <row r="1089" spans="1:5" x14ac:dyDescent="0.2">
      <c r="A1089" s="1" t="s">
        <v>1</v>
      </c>
      <c r="B1089" s="1" t="s">
        <v>60</v>
      </c>
      <c r="C1089" s="5">
        <f>DATE(2025, 1, 21) + TIME(12, 38, 42)</f>
        <v>45678.526875000003</v>
      </c>
      <c r="D1089" s="1" t="s">
        <v>566</v>
      </c>
      <c r="E1089" s="1" t="s">
        <v>924</v>
      </c>
    </row>
    <row r="1090" spans="1:5" x14ac:dyDescent="0.2">
      <c r="A1090" s="1" t="s">
        <v>1</v>
      </c>
      <c r="B1090" s="1" t="s">
        <v>323</v>
      </c>
      <c r="C1090" s="5">
        <f>DATE(2025, 1, 21) + TIME(10, 33, 24)</f>
        <v>45678.43986111111</v>
      </c>
      <c r="D1090" s="1" t="s">
        <v>126</v>
      </c>
      <c r="E1090" s="1" t="s">
        <v>143</v>
      </c>
    </row>
    <row r="1091" spans="1:5" x14ac:dyDescent="0.2">
      <c r="A1091" s="1" t="s">
        <v>1</v>
      </c>
      <c r="B1091" s="1" t="s">
        <v>60</v>
      </c>
      <c r="C1091" s="5">
        <f>DATE(2025, 1, 20) + TIME(14, 4, 10)</f>
        <v>45677.586226851854</v>
      </c>
      <c r="D1091" s="1" t="s">
        <v>216</v>
      </c>
      <c r="E1091" s="1" t="s">
        <v>607</v>
      </c>
    </row>
    <row r="1092" spans="1:5" x14ac:dyDescent="0.2">
      <c r="A1092" s="1" t="s">
        <v>1</v>
      </c>
      <c r="B1092" s="1" t="s">
        <v>60</v>
      </c>
      <c r="C1092" s="5">
        <f>DATE(2025, 1, 20) + TIME(14, 0, 22)</f>
        <v>45677.583587962959</v>
      </c>
      <c r="D1092" s="1" t="s">
        <v>450</v>
      </c>
      <c r="E1092" s="1" t="s">
        <v>573</v>
      </c>
    </row>
    <row r="1093" spans="1:5" x14ac:dyDescent="0.2">
      <c r="A1093" s="1" t="s">
        <v>1</v>
      </c>
      <c r="B1093" s="1" t="s">
        <v>564</v>
      </c>
      <c r="C1093" s="5">
        <f>DATE(2025, 1, 20) + TIME(13, 58, 44)</f>
        <v>45677.582453703704</v>
      </c>
      <c r="D1093" s="1" t="s">
        <v>506</v>
      </c>
      <c r="E1093" s="1" t="s">
        <v>510</v>
      </c>
    </row>
    <row r="1094" spans="1:5" x14ac:dyDescent="0.2">
      <c r="A1094" s="1" t="s">
        <v>1</v>
      </c>
      <c r="B1094" s="1" t="s">
        <v>60</v>
      </c>
      <c r="C1094" s="5">
        <f>DATE(2025, 1, 20) + TIME(13, 58, 30)</f>
        <v>45677.582291666666</v>
      </c>
      <c r="D1094" s="1" t="s">
        <v>640</v>
      </c>
      <c r="E1094" s="1" t="s">
        <v>520</v>
      </c>
    </row>
    <row r="1095" spans="1:5" x14ac:dyDescent="0.2">
      <c r="A1095" s="1" t="s">
        <v>1</v>
      </c>
      <c r="B1095" s="1" t="s">
        <v>60</v>
      </c>
      <c r="C1095" s="5">
        <f>DATE(2025, 1, 20) + TIME(12, 37, 35)</f>
        <v>45677.526099537034</v>
      </c>
      <c r="D1095" s="1" t="s">
        <v>269</v>
      </c>
      <c r="E1095" s="1" t="s">
        <v>748</v>
      </c>
    </row>
    <row r="1096" spans="1:5" x14ac:dyDescent="0.2">
      <c r="A1096" s="1" t="s">
        <v>1</v>
      </c>
      <c r="B1096" s="1" t="s">
        <v>60</v>
      </c>
      <c r="C1096" s="5">
        <f>DATE(2025, 1, 20) + TIME(10, 24, 21)</f>
        <v>45677.433576388888</v>
      </c>
      <c r="D1096" s="1" t="s">
        <v>450</v>
      </c>
      <c r="E1096" s="1" t="s">
        <v>691</v>
      </c>
    </row>
    <row r="1097" spans="1:5" x14ac:dyDescent="0.2">
      <c r="A1097" s="1" t="s">
        <v>1</v>
      </c>
      <c r="B1097" s="1" t="s">
        <v>564</v>
      </c>
      <c r="C1097" s="5">
        <f>DATE(2025, 1, 16) + TIME(14, 51, 3)</f>
        <v>45673.618784722225</v>
      </c>
      <c r="D1097" s="1" t="s">
        <v>506</v>
      </c>
      <c r="E1097" s="1" t="s">
        <v>867</v>
      </c>
    </row>
    <row r="1098" spans="1:5" x14ac:dyDescent="0.2">
      <c r="A1098" s="1" t="s">
        <v>1</v>
      </c>
      <c r="B1098" s="1" t="s">
        <v>323</v>
      </c>
      <c r="C1098" s="5">
        <f>DATE(2025, 1, 16) + TIME(14, 36, 7)</f>
        <v>45673.608414351853</v>
      </c>
      <c r="D1098" s="1" t="s">
        <v>126</v>
      </c>
      <c r="E1098" s="1" t="s">
        <v>360</v>
      </c>
    </row>
    <row r="1099" spans="1:5" x14ac:dyDescent="0.2">
      <c r="A1099" s="1" t="s">
        <v>1</v>
      </c>
      <c r="B1099" s="1" t="s">
        <v>564</v>
      </c>
      <c r="C1099" s="5">
        <f>DATE(2025, 1, 16) + TIME(13, 53, 47)</f>
        <v>45673.579016203701</v>
      </c>
      <c r="D1099" s="1" t="s">
        <v>506</v>
      </c>
      <c r="E1099" s="1" t="s">
        <v>510</v>
      </c>
    </row>
    <row r="1100" spans="1:5" x14ac:dyDescent="0.2">
      <c r="A1100" s="1" t="s">
        <v>1</v>
      </c>
      <c r="B1100" s="1" t="s">
        <v>323</v>
      </c>
      <c r="C1100" s="5">
        <f>DATE(2025, 1, 16) + TIME(12, 47, 40)</f>
        <v>45673.533101851855</v>
      </c>
      <c r="D1100" s="1" t="s">
        <v>396</v>
      </c>
      <c r="E1100" s="1" t="s">
        <v>567</v>
      </c>
    </row>
    <row r="1101" spans="1:5" x14ac:dyDescent="0.2">
      <c r="A1101" s="1" t="s">
        <v>1</v>
      </c>
      <c r="B1101" s="1" t="s">
        <v>60</v>
      </c>
      <c r="C1101" s="5">
        <f>DATE(2025, 1, 16) + TIME(12, 40, 55)</f>
        <v>45673.528414351851</v>
      </c>
      <c r="D1101" s="1" t="s">
        <v>638</v>
      </c>
      <c r="E1101" s="1" t="s">
        <v>157</v>
      </c>
    </row>
    <row r="1102" spans="1:5" x14ac:dyDescent="0.2">
      <c r="A1102" s="1" t="s">
        <v>1</v>
      </c>
      <c r="B1102" s="1" t="s">
        <v>60</v>
      </c>
      <c r="C1102" s="5">
        <f>DATE(2025, 1, 16) + TIME(11, 54, 42)</f>
        <v>45673.496319444443</v>
      </c>
      <c r="D1102" s="1" t="s">
        <v>640</v>
      </c>
      <c r="E1102" s="1" t="s">
        <v>283</v>
      </c>
    </row>
    <row r="1103" spans="1:5" x14ac:dyDescent="0.2">
      <c r="A1103" s="1" t="s">
        <v>1</v>
      </c>
      <c r="B1103" s="1" t="s">
        <v>564</v>
      </c>
      <c r="C1103" s="5">
        <f>DATE(2025, 1, 16) + TIME(10, 34, 21)</f>
        <v>45673.440520833334</v>
      </c>
      <c r="D1103" s="1" t="s">
        <v>269</v>
      </c>
      <c r="E1103" s="1" t="s">
        <v>748</v>
      </c>
    </row>
    <row r="1104" spans="1:5" x14ac:dyDescent="0.2">
      <c r="A1104" s="1" t="s">
        <v>1</v>
      </c>
      <c r="B1104" s="1" t="s">
        <v>564</v>
      </c>
      <c r="C1104" s="5">
        <f>DATE(2025, 1, 15) + TIME(15, 10, 39)</f>
        <v>45672.632395833331</v>
      </c>
      <c r="D1104" s="1" t="s">
        <v>506</v>
      </c>
      <c r="E1104" s="1" t="s">
        <v>6</v>
      </c>
    </row>
    <row r="1105" spans="1:5" x14ac:dyDescent="0.2">
      <c r="A1105" s="1" t="s">
        <v>1</v>
      </c>
      <c r="B1105" s="1" t="s">
        <v>60</v>
      </c>
      <c r="C1105" s="5">
        <f>DATE(2025, 1, 15) + TIME(15, 8, 28)</f>
        <v>45672.630879629629</v>
      </c>
      <c r="D1105" s="1" t="s">
        <v>506</v>
      </c>
      <c r="E1105" s="1" t="s">
        <v>158</v>
      </c>
    </row>
    <row r="1106" spans="1:5" x14ac:dyDescent="0.2">
      <c r="A1106" s="1" t="s">
        <v>1</v>
      </c>
      <c r="B1106" s="1" t="s">
        <v>60</v>
      </c>
      <c r="C1106" s="5">
        <f>DATE(2025, 1, 15) + TIME(14, 9, 16)</f>
        <v>45672.589768518519</v>
      </c>
      <c r="D1106" s="1" t="s">
        <v>638</v>
      </c>
      <c r="E1106" s="1" t="s">
        <v>962</v>
      </c>
    </row>
    <row r="1107" spans="1:5" x14ac:dyDescent="0.2">
      <c r="A1107" s="1" t="s">
        <v>1</v>
      </c>
      <c r="B1107" s="1" t="s">
        <v>60</v>
      </c>
      <c r="C1107" s="5">
        <f>DATE(2025, 1, 15) + TIME(12, 54, 37)</f>
        <v>45672.537928240738</v>
      </c>
      <c r="D1107" s="1" t="s">
        <v>341</v>
      </c>
      <c r="E1107" s="1" t="s">
        <v>185</v>
      </c>
    </row>
    <row r="1108" spans="1:5" x14ac:dyDescent="0.2">
      <c r="A1108" s="1" t="s">
        <v>1</v>
      </c>
      <c r="B1108" s="1" t="s">
        <v>60</v>
      </c>
      <c r="C1108" s="5">
        <f>DATE(2025, 1, 14) + TIME(15, 2, 47)</f>
        <v>45671.626932870371</v>
      </c>
      <c r="D1108" s="1" t="s">
        <v>506</v>
      </c>
      <c r="E1108" s="1" t="s">
        <v>83</v>
      </c>
    </row>
    <row r="1109" spans="1:5" x14ac:dyDescent="0.2">
      <c r="A1109" s="1" t="s">
        <v>1</v>
      </c>
      <c r="B1109" s="1" t="s">
        <v>60</v>
      </c>
      <c r="C1109" s="5">
        <f>DATE(2025, 1, 14) + TIME(14, 14, 48)</f>
        <v>45671.593611111108</v>
      </c>
      <c r="D1109" s="1" t="s">
        <v>391</v>
      </c>
      <c r="E1109" s="1" t="s">
        <v>1065</v>
      </c>
    </row>
    <row r="1110" spans="1:5" x14ac:dyDescent="0.2">
      <c r="A1110" s="1" t="s">
        <v>1</v>
      </c>
      <c r="B1110" s="1" t="s">
        <v>60</v>
      </c>
      <c r="C1110" s="5">
        <f>DATE(2025, 1, 14) + TIME(14, 13, 33)</f>
        <v>45671.592743055553</v>
      </c>
      <c r="D1110" s="1" t="s">
        <v>506</v>
      </c>
      <c r="E1110" s="1" t="s">
        <v>712</v>
      </c>
    </row>
    <row r="1111" spans="1:5" x14ac:dyDescent="0.2">
      <c r="A1111" s="1" t="s">
        <v>1</v>
      </c>
      <c r="B1111" s="1" t="s">
        <v>60</v>
      </c>
      <c r="C1111" s="5">
        <f>DATE(2025, 1, 14) + TIME(14, 8, 3)</f>
        <v>45671.588923611111</v>
      </c>
      <c r="D1111" s="1" t="s">
        <v>65</v>
      </c>
      <c r="E1111" s="1" t="s">
        <v>555</v>
      </c>
    </row>
    <row r="1112" spans="1:5" x14ac:dyDescent="0.2">
      <c r="A1112" s="1" t="s">
        <v>1</v>
      </c>
      <c r="B1112" s="1" t="s">
        <v>60</v>
      </c>
      <c r="C1112" s="5">
        <f>DATE(2025, 1, 14) + TIME(13, 58, 10)</f>
        <v>45671.582060185188</v>
      </c>
      <c r="D1112" s="1" t="s">
        <v>148</v>
      </c>
      <c r="E1112" s="1" t="s">
        <v>361</v>
      </c>
    </row>
    <row r="1113" spans="1:5" x14ac:dyDescent="0.2">
      <c r="A1113" s="1" t="s">
        <v>1</v>
      </c>
      <c r="B1113" s="1" t="s">
        <v>60</v>
      </c>
      <c r="C1113" s="5">
        <f>DATE(2025, 1, 14) + TIME(11, 15, 45)</f>
        <v>45671.469270833331</v>
      </c>
      <c r="D1113" s="1" t="s">
        <v>3</v>
      </c>
      <c r="E1113" s="1" t="s">
        <v>571</v>
      </c>
    </row>
    <row r="1114" spans="1:5" x14ac:dyDescent="0.2">
      <c r="A1114" s="1" t="s">
        <v>1</v>
      </c>
      <c r="B1114" s="1" t="s">
        <v>323</v>
      </c>
      <c r="C1114" s="5">
        <f>DATE(2025, 1, 13) + TIME(15, 34, 20)</f>
        <v>45670.648842592593</v>
      </c>
      <c r="D1114" s="1" t="s">
        <v>64</v>
      </c>
      <c r="E1114" s="1" t="s">
        <v>630</v>
      </c>
    </row>
    <row r="1115" spans="1:5" x14ac:dyDescent="0.2">
      <c r="A1115" s="1" t="s">
        <v>1</v>
      </c>
      <c r="B1115" s="1" t="s">
        <v>60</v>
      </c>
      <c r="C1115" s="5">
        <f>DATE(2025, 1, 13) + TIME(14, 24, 31)</f>
        <v>45670.600358796299</v>
      </c>
      <c r="D1115" s="1" t="s">
        <v>65</v>
      </c>
      <c r="E1115" s="1" t="s">
        <v>219</v>
      </c>
    </row>
    <row r="1116" spans="1:5" x14ac:dyDescent="0.2">
      <c r="A1116" s="1" t="s">
        <v>1</v>
      </c>
      <c r="B1116" s="1" t="s">
        <v>60</v>
      </c>
      <c r="C1116" s="5">
        <f>DATE(2025, 1, 13) + TIME(14, 9, 23)</f>
        <v>45670.589849537035</v>
      </c>
      <c r="D1116" s="1" t="s">
        <v>566</v>
      </c>
      <c r="E1116" s="1" t="s">
        <v>865</v>
      </c>
    </row>
    <row r="1117" spans="1:5" x14ac:dyDescent="0.2">
      <c r="A1117" s="1" t="s">
        <v>1</v>
      </c>
      <c r="B1117" s="1" t="s">
        <v>60</v>
      </c>
      <c r="C1117" s="5">
        <f>DATE(2025, 1, 13) + TIME(13, 4, 36)</f>
        <v>45670.544861111113</v>
      </c>
      <c r="D1117" s="1" t="s">
        <v>3</v>
      </c>
      <c r="E1117" s="1" t="s">
        <v>168</v>
      </c>
    </row>
    <row r="1118" spans="1:5" x14ac:dyDescent="0.2">
      <c r="A1118" s="1" t="s">
        <v>1</v>
      </c>
      <c r="B1118" s="1" t="s">
        <v>60</v>
      </c>
      <c r="C1118" s="5">
        <f>DATE(2025, 1, 13) + TIME(12, 17, 16)</f>
        <v>45670.511990740742</v>
      </c>
      <c r="D1118" s="1" t="s">
        <v>269</v>
      </c>
      <c r="E1118" s="1" t="s">
        <v>79</v>
      </c>
    </row>
    <row r="1119" spans="1:5" x14ac:dyDescent="0.2">
      <c r="A1119" s="1" t="s">
        <v>1</v>
      </c>
      <c r="B1119" s="1" t="s">
        <v>60</v>
      </c>
      <c r="C1119" s="5">
        <f>DATE(2025, 1, 13) + TIME(12, 7, 43)</f>
        <v>45670.505358796298</v>
      </c>
      <c r="D1119" s="1" t="s">
        <v>506</v>
      </c>
      <c r="E1119" s="1" t="s">
        <v>697</v>
      </c>
    </row>
    <row r="1120" spans="1:5" x14ac:dyDescent="0.2">
      <c r="A1120" s="1" t="s">
        <v>1</v>
      </c>
      <c r="B1120" s="1" t="s">
        <v>60</v>
      </c>
      <c r="C1120" s="5">
        <f>DATE(2025, 1, 13) + TIME(11, 45, 20)</f>
        <v>45670.489814814813</v>
      </c>
      <c r="D1120" s="1" t="s">
        <v>269</v>
      </c>
      <c r="E1120" s="1" t="s">
        <v>748</v>
      </c>
    </row>
    <row r="1121" spans="1:5" x14ac:dyDescent="0.2">
      <c r="A1121" s="1" t="s">
        <v>1</v>
      </c>
      <c r="B1121" s="1" t="s">
        <v>60</v>
      </c>
      <c r="C1121" s="5">
        <f>DATE(2025, 1, 9) + TIME(14, 33, 55)</f>
        <v>45666.606886574074</v>
      </c>
      <c r="D1121" s="1" t="s">
        <v>144</v>
      </c>
      <c r="E1121" s="1" t="s">
        <v>728</v>
      </c>
    </row>
    <row r="1122" spans="1:5" x14ac:dyDescent="0.2">
      <c r="A1122" s="1" t="s">
        <v>1</v>
      </c>
      <c r="B1122" s="1" t="s">
        <v>60</v>
      </c>
      <c r="C1122" s="5">
        <f>DATE(2025, 1, 9) + TIME(13, 53, 10)</f>
        <v>45666.578587962962</v>
      </c>
      <c r="D1122" s="1" t="s">
        <v>638</v>
      </c>
      <c r="E1122" s="1" t="s">
        <v>362</v>
      </c>
    </row>
    <row r="1123" spans="1:5" x14ac:dyDescent="0.2">
      <c r="A1123" s="1" t="s">
        <v>1</v>
      </c>
      <c r="B1123" s="1" t="s">
        <v>60</v>
      </c>
      <c r="C1123" s="5">
        <f>DATE(2025, 1, 9) + TIME(13, 32, 50)</f>
        <v>45666.564467592594</v>
      </c>
      <c r="D1123" s="1" t="s">
        <v>1054</v>
      </c>
      <c r="E1123" s="1" t="s">
        <v>809</v>
      </c>
    </row>
    <row r="1124" spans="1:5" x14ac:dyDescent="0.2">
      <c r="A1124" s="1" t="s">
        <v>1</v>
      </c>
      <c r="B1124" s="1" t="s">
        <v>60</v>
      </c>
      <c r="C1124" s="5">
        <f>DATE(2025, 1, 9) + TIME(12, 52, 56)</f>
        <v>45666.536759259259</v>
      </c>
      <c r="D1124" s="1" t="s">
        <v>396</v>
      </c>
      <c r="E1124" s="1" t="s">
        <v>567</v>
      </c>
    </row>
    <row r="1125" spans="1:5" x14ac:dyDescent="0.2">
      <c r="A1125" s="1" t="s">
        <v>1</v>
      </c>
      <c r="B1125" s="1" t="s">
        <v>60</v>
      </c>
      <c r="C1125" s="5">
        <f>DATE(2025, 1, 9) + TIME(11, 26, 20)</f>
        <v>45666.476620370369</v>
      </c>
      <c r="D1125" s="1" t="s">
        <v>269</v>
      </c>
      <c r="E1125" s="1" t="s">
        <v>743</v>
      </c>
    </row>
    <row r="1126" spans="1:5" x14ac:dyDescent="0.2">
      <c r="A1126" s="1" t="s">
        <v>1</v>
      </c>
      <c r="B1126" s="1" t="s">
        <v>60</v>
      </c>
      <c r="C1126" s="5">
        <f>DATE(2025, 1, 9) + TIME(10, 55, 49)</f>
        <v>45666.455428240741</v>
      </c>
      <c r="D1126" s="1" t="s">
        <v>269</v>
      </c>
      <c r="E1126" s="1" t="s">
        <v>748</v>
      </c>
    </row>
    <row r="1127" spans="1:5" x14ac:dyDescent="0.2">
      <c r="A1127" s="1" t="s">
        <v>1</v>
      </c>
      <c r="B1127" s="1" t="s">
        <v>60</v>
      </c>
      <c r="C1127" s="5">
        <f>DATE(2025, 1, 8) + TIME(14, 16, 32)</f>
        <v>45665.594814814816</v>
      </c>
      <c r="D1127" s="1" t="s">
        <v>921</v>
      </c>
      <c r="E1127" s="1" t="s">
        <v>474</v>
      </c>
    </row>
    <row r="1128" spans="1:5" x14ac:dyDescent="0.2">
      <c r="A1128" s="1" t="s">
        <v>1</v>
      </c>
      <c r="B1128" s="1" t="s">
        <v>60</v>
      </c>
      <c r="C1128" s="5">
        <f>DATE(2025, 1, 8) + TIME(13, 21, 22)</f>
        <v>45665.556504629632</v>
      </c>
      <c r="D1128" s="1" t="s">
        <v>396</v>
      </c>
      <c r="E1128" s="1" t="s">
        <v>256</v>
      </c>
    </row>
    <row r="1129" spans="1:5" x14ac:dyDescent="0.2">
      <c r="A1129" s="1" t="s">
        <v>1</v>
      </c>
      <c r="B1129" s="1" t="s">
        <v>60</v>
      </c>
      <c r="C1129" s="5">
        <f>DATE(2025, 1, 7) + TIME(15, 18, 18)</f>
        <v>45664.637708333335</v>
      </c>
      <c r="D1129" s="1" t="s">
        <v>506</v>
      </c>
      <c r="E1129" s="1" t="s">
        <v>83</v>
      </c>
    </row>
    <row r="1130" spans="1:5" x14ac:dyDescent="0.2">
      <c r="A1130" s="1" t="s">
        <v>1</v>
      </c>
      <c r="B1130" s="1" t="s">
        <v>60</v>
      </c>
      <c r="C1130" s="5">
        <f>DATE(2025, 1, 7) + TIME(13, 59, 53)</f>
        <v>45664.583252314813</v>
      </c>
      <c r="D1130" s="1" t="s">
        <v>566</v>
      </c>
      <c r="E1130" s="1" t="s">
        <v>1071</v>
      </c>
    </row>
    <row r="1131" spans="1:5" x14ac:dyDescent="0.2">
      <c r="A1131" s="1" t="s">
        <v>1</v>
      </c>
      <c r="B1131" s="1" t="s">
        <v>60</v>
      </c>
      <c r="C1131" s="5">
        <f>DATE(2025, 1, 7) + TIME(13, 50, 18)</f>
        <v>45664.576597222222</v>
      </c>
      <c r="D1131" s="1" t="s">
        <v>506</v>
      </c>
      <c r="E1131" s="1" t="s">
        <v>702</v>
      </c>
    </row>
    <row r="1132" spans="1:5" x14ac:dyDescent="0.2">
      <c r="A1132" s="1" t="s">
        <v>1</v>
      </c>
      <c r="B1132" s="1" t="s">
        <v>60</v>
      </c>
      <c r="C1132" s="5">
        <f>DATE(2025, 1, 7) + TIME(13, 45, 27)</f>
        <v>45664.573229166665</v>
      </c>
      <c r="D1132" s="1" t="s">
        <v>3</v>
      </c>
      <c r="E1132" s="1" t="s">
        <v>571</v>
      </c>
    </row>
    <row r="1133" spans="1:5" x14ac:dyDescent="0.2">
      <c r="A1133" s="1" t="s">
        <v>1</v>
      </c>
      <c r="B1133" s="1" t="s">
        <v>564</v>
      </c>
      <c r="C1133" s="5">
        <f>DATE(2025, 1, 7) + TIME(13, 38, 38)</f>
        <v>45664.568495370368</v>
      </c>
      <c r="D1133" s="1" t="s">
        <v>65</v>
      </c>
      <c r="E1133" s="1" t="s">
        <v>404</v>
      </c>
    </row>
    <row r="1134" spans="1:5" x14ac:dyDescent="0.2">
      <c r="A1134" s="1" t="s">
        <v>1</v>
      </c>
      <c r="B1134" s="1" t="s">
        <v>60</v>
      </c>
      <c r="C1134" s="5">
        <f>DATE(2025, 1, 7) + TIME(13, 24, 21)</f>
        <v>45664.558576388888</v>
      </c>
      <c r="D1134" s="1" t="s">
        <v>65</v>
      </c>
      <c r="E1134" s="1" t="s">
        <v>227</v>
      </c>
    </row>
    <row r="1135" spans="1:5" x14ac:dyDescent="0.2">
      <c r="A1135" s="1" t="s">
        <v>1</v>
      </c>
      <c r="B1135" s="1" t="s">
        <v>60</v>
      </c>
      <c r="C1135" s="5">
        <f>DATE(2025, 1, 7) + TIME(13, 11, 30)</f>
        <v>45664.54965277778</v>
      </c>
      <c r="D1135" s="1" t="s">
        <v>65</v>
      </c>
      <c r="E1135" s="1" t="s">
        <v>694</v>
      </c>
    </row>
    <row r="1136" spans="1:5" x14ac:dyDescent="0.2">
      <c r="A1136" s="1" t="s">
        <v>1</v>
      </c>
      <c r="B1136" s="1" t="s">
        <v>323</v>
      </c>
      <c r="C1136" s="5">
        <f>DATE(2025, 1, 7) + TIME(11, 59, 45)</f>
        <v>45664.499826388892</v>
      </c>
      <c r="D1136" s="1" t="s">
        <v>320</v>
      </c>
      <c r="E1136" s="1" t="s">
        <v>95</v>
      </c>
    </row>
    <row r="1137" spans="1:5" x14ac:dyDescent="0.2">
      <c r="A1137" s="1" t="s">
        <v>1</v>
      </c>
      <c r="B1137" s="1" t="s">
        <v>323</v>
      </c>
      <c r="C1137" s="5">
        <f>DATE(2025, 1, 6) + TIME(15, 42, 58)</f>
        <v>45663.65483796296</v>
      </c>
      <c r="D1137" s="1" t="s">
        <v>320</v>
      </c>
      <c r="E1137" s="1" t="s">
        <v>687</v>
      </c>
    </row>
    <row r="1138" spans="1:5" x14ac:dyDescent="0.2">
      <c r="A1138" s="1" t="s">
        <v>1</v>
      </c>
      <c r="B1138" s="1" t="s">
        <v>1074</v>
      </c>
      <c r="C1138" s="5">
        <f>DATE(2025, 1, 6) + TIME(14, 8, 28)</f>
        <v>45663.589212962965</v>
      </c>
      <c r="D1138" s="1" t="s">
        <v>396</v>
      </c>
      <c r="E1138" s="1" t="s">
        <v>567</v>
      </c>
    </row>
    <row r="1139" spans="1:5" x14ac:dyDescent="0.2">
      <c r="A1139" s="1" t="s">
        <v>1</v>
      </c>
      <c r="B1139" s="1" t="s">
        <v>60</v>
      </c>
      <c r="C1139" s="5">
        <f>DATE(2025, 1, 6) + TIME(12, 54, 23)</f>
        <v>45663.537766203706</v>
      </c>
      <c r="D1139" s="1" t="s">
        <v>216</v>
      </c>
      <c r="E1139" s="1" t="s">
        <v>607</v>
      </c>
    </row>
    <row r="1140" spans="1:5" x14ac:dyDescent="0.2">
      <c r="A1140" s="1" t="s">
        <v>1</v>
      </c>
      <c r="B1140" s="1" t="s">
        <v>60</v>
      </c>
      <c r="C1140" s="5">
        <f>DATE(2025, 1, 6) + TIME(12, 22, 40)</f>
        <v>45663.515740740739</v>
      </c>
      <c r="D1140" s="1" t="s">
        <v>269</v>
      </c>
      <c r="E1140" s="1" t="s">
        <v>748</v>
      </c>
    </row>
    <row r="1141" spans="1:5" x14ac:dyDescent="0.2">
      <c r="A1141" s="1" t="s">
        <v>1</v>
      </c>
      <c r="B1141" s="1" t="s">
        <v>866</v>
      </c>
      <c r="C1141" s="5">
        <f>DATE(2025, 1, 6) + TIME(12, 22, 4)</f>
        <v>45663.515324074076</v>
      </c>
      <c r="D1141" s="1" t="s">
        <v>65</v>
      </c>
      <c r="E1141" s="1" t="s">
        <v>404</v>
      </c>
    </row>
    <row r="1142" spans="1:5" x14ac:dyDescent="0.2">
      <c r="A1142" s="1" t="s">
        <v>1</v>
      </c>
      <c r="B1142" s="1" t="s">
        <v>60</v>
      </c>
      <c r="C1142" s="5">
        <f>DATE(2025, 1, 6) + TIME(12, 15, 16)</f>
        <v>45663.510601851849</v>
      </c>
      <c r="D1142" s="1" t="s">
        <v>144</v>
      </c>
      <c r="E1142" s="1" t="s">
        <v>695</v>
      </c>
    </row>
    <row r="1143" spans="1:5" x14ac:dyDescent="0.2">
      <c r="A1143" s="1" t="s">
        <v>1</v>
      </c>
      <c r="B1143" s="1" t="s">
        <v>60</v>
      </c>
      <c r="C1143" s="5">
        <f>DATE(2025, 1, 6) + TIME(11, 31, 20)</f>
        <v>45663.480092592596</v>
      </c>
      <c r="D1143" s="1" t="s">
        <v>566</v>
      </c>
      <c r="E1143" s="1" t="s">
        <v>865</v>
      </c>
    </row>
    <row r="1144" spans="1:5" x14ac:dyDescent="0.2">
      <c r="A1144" s="1" t="s">
        <v>1</v>
      </c>
      <c r="B1144" s="1" t="s">
        <v>60</v>
      </c>
      <c r="C1144" s="5">
        <f>DATE(2025, 1, 6) + TIME(10, 52, 16)</f>
        <v>45663.452962962961</v>
      </c>
      <c r="D1144" s="1" t="s">
        <v>754</v>
      </c>
      <c r="E1144" s="1" t="s">
        <v>245</v>
      </c>
    </row>
    <row r="1145" spans="1:5" x14ac:dyDescent="0.2">
      <c r="A1145" s="1" t="s">
        <v>1</v>
      </c>
      <c r="B1145" s="1" t="s">
        <v>60</v>
      </c>
      <c r="C1145" s="5">
        <f>DATE(2025, 1, 2) + TIME(11, 47, 28)</f>
        <v>45659.491296296299</v>
      </c>
      <c r="D1145" s="1" t="s">
        <v>506</v>
      </c>
      <c r="E1145" s="1" t="s">
        <v>697</v>
      </c>
    </row>
    <row r="1146" spans="1:5" x14ac:dyDescent="0.2">
      <c r="A1146" s="1" t="s">
        <v>1</v>
      </c>
      <c r="B1146" s="1" t="s">
        <v>60</v>
      </c>
      <c r="C1146" s="5">
        <f>DATE(2025, 1, 2) + TIME(11, 47, 9)</f>
        <v>45659.491076388891</v>
      </c>
      <c r="D1146" s="1" t="s">
        <v>506</v>
      </c>
      <c r="E1146" s="1" t="s">
        <v>6</v>
      </c>
    </row>
    <row r="1147" spans="1:5" x14ac:dyDescent="0.2">
      <c r="A1147" s="1" t="s">
        <v>1</v>
      </c>
      <c r="B1147" s="1" t="s">
        <v>323</v>
      </c>
      <c r="C1147" s="5">
        <f>DATE(2025, 1, 2) + TIME(11, 21, 22)</f>
        <v>45659.473171296297</v>
      </c>
      <c r="D1147" s="1" t="s">
        <v>269</v>
      </c>
      <c r="E1147" s="1" t="s">
        <v>748</v>
      </c>
    </row>
    <row r="1148" spans="1:5" x14ac:dyDescent="0.2">
      <c r="A1148" s="1" t="s">
        <v>1</v>
      </c>
      <c r="B1148" s="1" t="s">
        <v>866</v>
      </c>
      <c r="C1148" s="5">
        <f>DATE(2024, 12, 31) + TIME(14, 41, 27)</f>
        <v>45657.612118055556</v>
      </c>
      <c r="D1148" s="1" t="s">
        <v>576</v>
      </c>
      <c r="E1148" s="1" t="s">
        <v>1008</v>
      </c>
    </row>
    <row r="1149" spans="1:5" x14ac:dyDescent="0.2">
      <c r="A1149" s="1" t="s">
        <v>1</v>
      </c>
      <c r="B1149" s="1" t="s">
        <v>866</v>
      </c>
      <c r="C1149" s="5">
        <f>DATE(2024, 12, 31) + TIME(14, 41, 22)</f>
        <v>45657.612060185187</v>
      </c>
      <c r="D1149" s="1" t="s">
        <v>576</v>
      </c>
      <c r="E1149" s="1" t="s">
        <v>1008</v>
      </c>
    </row>
    <row r="1150" spans="1:5" x14ac:dyDescent="0.2">
      <c r="A1150" s="1" t="s">
        <v>1</v>
      </c>
      <c r="B1150" s="1" t="s">
        <v>866</v>
      </c>
      <c r="C1150" s="5">
        <f>DATE(2024, 12, 31) + TIME(13, 9, 41)</f>
        <v>45657.548391203702</v>
      </c>
      <c r="D1150" s="1" t="s">
        <v>576</v>
      </c>
      <c r="E1150" s="1" t="s">
        <v>213</v>
      </c>
    </row>
    <row r="1151" spans="1:5" x14ac:dyDescent="0.2">
      <c r="A1151" s="1" t="s">
        <v>1</v>
      </c>
      <c r="B1151" s="1" t="s">
        <v>60</v>
      </c>
      <c r="C1151" s="5">
        <f>DATE(2024, 12, 31) + TIME(13, 9, 25)</f>
        <v>45657.548206018517</v>
      </c>
      <c r="D1151" s="1" t="s">
        <v>506</v>
      </c>
      <c r="E1151" s="1" t="s">
        <v>712</v>
      </c>
    </row>
    <row r="1152" spans="1:5" x14ac:dyDescent="0.2">
      <c r="A1152" s="1" t="s">
        <v>1</v>
      </c>
      <c r="B1152" s="1" t="s">
        <v>60</v>
      </c>
      <c r="C1152" s="5">
        <f>DATE(2024, 12, 31) + TIME(12, 13, 52)</f>
        <v>45657.509629629632</v>
      </c>
      <c r="D1152" s="1" t="s">
        <v>65</v>
      </c>
      <c r="E1152" s="1" t="s">
        <v>432</v>
      </c>
    </row>
    <row r="1153" spans="1:5" x14ac:dyDescent="0.2">
      <c r="A1153" s="1" t="s">
        <v>1</v>
      </c>
      <c r="B1153" s="1" t="s">
        <v>60</v>
      </c>
      <c r="C1153" s="5">
        <f>DATE(2024, 12, 30) + TIME(14, 20, 17)</f>
        <v>45656.597418981481</v>
      </c>
      <c r="D1153" s="1" t="s">
        <v>459</v>
      </c>
      <c r="E1153" s="1" t="s">
        <v>49</v>
      </c>
    </row>
    <row r="1154" spans="1:5" x14ac:dyDescent="0.2">
      <c r="A1154" s="1" t="s">
        <v>1</v>
      </c>
      <c r="B1154" s="1" t="s">
        <v>60</v>
      </c>
      <c r="C1154" s="5">
        <f>DATE(2024, 12, 30) + TIME(12, 17, 46)</f>
        <v>45656.512337962966</v>
      </c>
      <c r="D1154" s="1" t="s">
        <v>566</v>
      </c>
      <c r="E1154" s="1" t="s">
        <v>997</v>
      </c>
    </row>
    <row r="1155" spans="1:5" x14ac:dyDescent="0.2">
      <c r="A1155" s="1" t="s">
        <v>1</v>
      </c>
      <c r="B1155" s="1" t="s">
        <v>60</v>
      </c>
      <c r="C1155" s="5">
        <f>DATE(2024, 12, 30) + TIME(11, 51, 13)</f>
        <v>45656.493900462963</v>
      </c>
      <c r="D1155" s="1" t="s">
        <v>3</v>
      </c>
      <c r="E1155" s="1" t="s">
        <v>571</v>
      </c>
    </row>
    <row r="1156" spans="1:5" x14ac:dyDescent="0.2">
      <c r="A1156" s="1" t="s">
        <v>1</v>
      </c>
      <c r="B1156" s="1" t="s">
        <v>323</v>
      </c>
      <c r="C1156" s="5">
        <f>DATE(2024, 12, 29) + TIME(14, 4, 52)</f>
        <v>45655.586712962962</v>
      </c>
      <c r="D1156" s="1" t="s">
        <v>64</v>
      </c>
      <c r="E1156" s="1" t="s">
        <v>630</v>
      </c>
    </row>
    <row r="1157" spans="1:5" x14ac:dyDescent="0.2">
      <c r="A1157" s="1" t="s">
        <v>1</v>
      </c>
      <c r="B1157" s="1" t="s">
        <v>60</v>
      </c>
      <c r="C1157" s="5">
        <f>DATE(2024, 12, 29) + TIME(13, 18, 55)</f>
        <v>45655.554803240739</v>
      </c>
      <c r="D1157" s="1" t="s">
        <v>450</v>
      </c>
      <c r="E1157" s="1" t="s">
        <v>573</v>
      </c>
    </row>
    <row r="1158" spans="1:5" x14ac:dyDescent="0.2">
      <c r="A1158" s="1" t="s">
        <v>1</v>
      </c>
      <c r="B1158" s="1" t="s">
        <v>60</v>
      </c>
      <c r="C1158" s="5">
        <f>DATE(2024, 12, 29) + TIME(13, 5, 20)</f>
        <v>45655.545370370368</v>
      </c>
      <c r="D1158" s="1" t="s">
        <v>450</v>
      </c>
      <c r="E1158" s="1" t="s">
        <v>691</v>
      </c>
    </row>
    <row r="1159" spans="1:5" x14ac:dyDescent="0.2">
      <c r="A1159" s="1" t="s">
        <v>1</v>
      </c>
      <c r="B1159" s="1" t="s">
        <v>60</v>
      </c>
      <c r="C1159" s="5">
        <f>DATE(2024, 12, 26) + TIME(13, 8, 15)</f>
        <v>45652.547395833331</v>
      </c>
      <c r="D1159" s="1" t="s">
        <v>269</v>
      </c>
      <c r="E1159" s="1" t="s">
        <v>339</v>
      </c>
    </row>
    <row r="1160" spans="1:5" x14ac:dyDescent="0.2">
      <c r="A1160" s="1" t="s">
        <v>1</v>
      </c>
      <c r="B1160" s="1" t="s">
        <v>60</v>
      </c>
      <c r="C1160" s="5">
        <f>DATE(2024, 12, 24) + TIME(11, 42, 46)</f>
        <v>45650.488032407404</v>
      </c>
      <c r="D1160" s="1" t="s">
        <v>506</v>
      </c>
      <c r="E1160" s="1" t="s">
        <v>712</v>
      </c>
    </row>
    <row r="1161" spans="1:5" x14ac:dyDescent="0.2">
      <c r="A1161" s="1" t="s">
        <v>1</v>
      </c>
      <c r="B1161" s="1" t="s">
        <v>60</v>
      </c>
      <c r="C1161" s="5">
        <f>DATE(2024, 12, 22) + TIME(10, 32, 29)</f>
        <v>45648.43922453704</v>
      </c>
      <c r="D1161" s="1" t="s">
        <v>566</v>
      </c>
      <c r="E1161" s="1" t="s">
        <v>865</v>
      </c>
    </row>
    <row r="1162" spans="1:5" x14ac:dyDescent="0.2">
      <c r="A1162" s="1" t="s">
        <v>1</v>
      </c>
      <c r="B1162" s="1" t="s">
        <v>60</v>
      </c>
      <c r="C1162" s="5">
        <f>DATE(2024, 12, 19) + TIME(14, 45, 22)</f>
        <v>45645.614837962959</v>
      </c>
      <c r="D1162" s="1" t="s">
        <v>638</v>
      </c>
      <c r="E1162" s="1" t="s">
        <v>315</v>
      </c>
    </row>
    <row r="1163" spans="1:5" x14ac:dyDescent="0.2">
      <c r="A1163" s="1" t="s">
        <v>1</v>
      </c>
      <c r="B1163" s="1" t="s">
        <v>60</v>
      </c>
      <c r="C1163" s="5">
        <f>DATE(2024, 12, 19) + TIME(12, 25, 42)</f>
        <v>45645.517847222225</v>
      </c>
      <c r="D1163" s="1" t="s">
        <v>216</v>
      </c>
      <c r="E1163" s="1" t="s">
        <v>372</v>
      </c>
    </row>
    <row r="1164" spans="1:5" x14ac:dyDescent="0.2">
      <c r="A1164" s="1" t="s">
        <v>1</v>
      </c>
      <c r="B1164" s="1" t="s">
        <v>323</v>
      </c>
      <c r="C1164" s="5">
        <f>DATE(2024, 12, 19) + TIME(11, 34, 44)</f>
        <v>45645.482453703706</v>
      </c>
      <c r="D1164" s="1" t="s">
        <v>640</v>
      </c>
      <c r="E1164" s="1" t="s">
        <v>520</v>
      </c>
    </row>
    <row r="1165" spans="1:5" x14ac:dyDescent="0.2">
      <c r="A1165" s="1" t="s">
        <v>1</v>
      </c>
      <c r="B1165" s="1" t="s">
        <v>60</v>
      </c>
      <c r="C1165" s="5">
        <f>DATE(2024, 12, 19) + TIME(8, 14, 30)</f>
        <v>45645.343402777777</v>
      </c>
      <c r="D1165" s="1" t="s">
        <v>396</v>
      </c>
      <c r="E1165" s="1" t="s">
        <v>1086</v>
      </c>
    </row>
    <row r="1166" spans="1:5" x14ac:dyDescent="0.2">
      <c r="A1166" s="1" t="s">
        <v>1</v>
      </c>
      <c r="B1166" s="1" t="s">
        <v>60</v>
      </c>
      <c r="C1166" s="5">
        <f>DATE(2024, 12, 18) + TIME(11, 37, 22)</f>
        <v>45644.484282407408</v>
      </c>
      <c r="D1166" s="1" t="s">
        <v>640</v>
      </c>
      <c r="E1166" s="1" t="s">
        <v>426</v>
      </c>
    </row>
    <row r="1167" spans="1:5" x14ac:dyDescent="0.2">
      <c r="A1167" s="1" t="s">
        <v>1</v>
      </c>
      <c r="B1167" s="1" t="s">
        <v>60</v>
      </c>
      <c r="C1167" s="5">
        <f>DATE(2024, 12, 17) + TIME(15, 9, 36)</f>
        <v>45643.631666666668</v>
      </c>
      <c r="D1167" s="1" t="s">
        <v>459</v>
      </c>
      <c r="E1167" s="1" t="s">
        <v>49</v>
      </c>
    </row>
    <row r="1168" spans="1:5" x14ac:dyDescent="0.2">
      <c r="A1168" s="1" t="s">
        <v>1</v>
      </c>
      <c r="B1168" s="1" t="s">
        <v>60</v>
      </c>
      <c r="C1168" s="5">
        <f>DATE(2024, 12, 17) + TIME(14, 14, 31)</f>
        <v>45643.593414351853</v>
      </c>
      <c r="D1168" s="1" t="s">
        <v>640</v>
      </c>
      <c r="E1168" s="1" t="s">
        <v>1090</v>
      </c>
    </row>
    <row r="1169" spans="1:5" x14ac:dyDescent="0.2">
      <c r="A1169" s="1" t="s">
        <v>1</v>
      </c>
      <c r="B1169" s="1" t="s">
        <v>60</v>
      </c>
      <c r="C1169" s="5">
        <f>DATE(2024, 12, 17) + TIME(13, 35, 5)</f>
        <v>45643.566030092596</v>
      </c>
      <c r="D1169" s="1" t="s">
        <v>65</v>
      </c>
      <c r="E1169" s="1" t="s">
        <v>227</v>
      </c>
    </row>
    <row r="1170" spans="1:5" x14ac:dyDescent="0.2">
      <c r="A1170" s="1" t="s">
        <v>1</v>
      </c>
      <c r="B1170" s="1" t="s">
        <v>60</v>
      </c>
      <c r="C1170" s="5">
        <f>DATE(2024, 12, 17) + TIME(12, 36, 15)</f>
        <v>45643.525173611109</v>
      </c>
      <c r="D1170" s="1" t="s">
        <v>398</v>
      </c>
      <c r="E1170" s="1" t="s">
        <v>142</v>
      </c>
    </row>
    <row r="1171" spans="1:5" x14ac:dyDescent="0.2">
      <c r="A1171" s="1" t="s">
        <v>1</v>
      </c>
      <c r="B1171" s="1" t="s">
        <v>60</v>
      </c>
      <c r="C1171" s="5">
        <f>DATE(2024, 12, 17) + TIME(11, 8, 36)</f>
        <v>45643.464305555557</v>
      </c>
      <c r="D1171" s="1" t="s">
        <v>3</v>
      </c>
      <c r="E1171" s="1" t="s">
        <v>571</v>
      </c>
    </row>
    <row r="1172" spans="1:5" x14ac:dyDescent="0.2">
      <c r="A1172" s="1" t="s">
        <v>1</v>
      </c>
      <c r="B1172" s="1" t="s">
        <v>323</v>
      </c>
      <c r="C1172" s="5">
        <f>DATE(2024, 12, 16) + TIME(15, 39, 7)</f>
        <v>45642.65216435185</v>
      </c>
      <c r="D1172" s="1" t="s">
        <v>64</v>
      </c>
      <c r="E1172" s="1" t="s">
        <v>630</v>
      </c>
    </row>
    <row r="1173" spans="1:5" x14ac:dyDescent="0.2">
      <c r="A1173" s="1" t="s">
        <v>1</v>
      </c>
      <c r="B1173" s="1" t="s">
        <v>60</v>
      </c>
      <c r="C1173" s="5">
        <f>DATE(2024, 12, 16) + TIME(15, 37, 10)</f>
        <v>45642.650810185187</v>
      </c>
      <c r="D1173" s="1" t="s">
        <v>144</v>
      </c>
      <c r="E1173" s="1" t="s">
        <v>695</v>
      </c>
    </row>
    <row r="1174" spans="1:5" x14ac:dyDescent="0.2">
      <c r="A1174" s="1" t="s">
        <v>1</v>
      </c>
      <c r="B1174" s="1" t="s">
        <v>60</v>
      </c>
      <c r="C1174" s="5">
        <f>DATE(2024, 12, 16) + TIME(13, 50, 37)</f>
        <v>45642.576817129629</v>
      </c>
      <c r="D1174" s="1" t="s">
        <v>640</v>
      </c>
      <c r="E1174" s="1" t="s">
        <v>520</v>
      </c>
    </row>
    <row r="1175" spans="1:5" x14ac:dyDescent="0.2">
      <c r="A1175" s="1" t="s">
        <v>1</v>
      </c>
      <c r="B1175" s="1" t="s">
        <v>60</v>
      </c>
      <c r="C1175" s="5">
        <f>DATE(2024, 12, 16) + TIME(12, 43, 2)</f>
        <v>45642.52988425926</v>
      </c>
      <c r="D1175" s="1" t="s">
        <v>269</v>
      </c>
      <c r="E1175" s="1" t="s">
        <v>748</v>
      </c>
    </row>
    <row r="1176" spans="1:5" x14ac:dyDescent="0.2">
      <c r="A1176" s="1" t="s">
        <v>1</v>
      </c>
      <c r="B1176" s="1" t="s">
        <v>866</v>
      </c>
      <c r="C1176" s="5">
        <f>DATE(2024, 12, 16) + TIME(12, 14, 8)</f>
        <v>45642.509814814817</v>
      </c>
      <c r="D1176" s="1" t="s">
        <v>869</v>
      </c>
      <c r="E1176" s="1" t="s">
        <v>180</v>
      </c>
    </row>
    <row r="1177" spans="1:5" x14ac:dyDescent="0.2">
      <c r="A1177" s="1" t="s">
        <v>1</v>
      </c>
      <c r="B1177" s="1" t="s">
        <v>60</v>
      </c>
      <c r="C1177" s="5">
        <f>DATE(2024, 12, 16) + TIME(12, 14, 8)</f>
        <v>45642.509814814817</v>
      </c>
      <c r="D1177" s="1" t="s">
        <v>869</v>
      </c>
      <c r="E1177" s="1" t="s">
        <v>180</v>
      </c>
    </row>
    <row r="1178" spans="1:5" x14ac:dyDescent="0.2">
      <c r="A1178" s="1" t="s">
        <v>1</v>
      </c>
      <c r="B1178" s="1" t="s">
        <v>60</v>
      </c>
      <c r="C1178" s="5">
        <f>DATE(2024, 12, 16) + TIME(10, 36, 3)</f>
        <v>45642.441701388889</v>
      </c>
      <c r="D1178" s="1" t="s">
        <v>566</v>
      </c>
      <c r="E1178" s="1" t="s">
        <v>865</v>
      </c>
    </row>
    <row r="1179" spans="1:5" x14ac:dyDescent="0.2">
      <c r="A1179" s="1" t="s">
        <v>1</v>
      </c>
      <c r="B1179" s="1" t="s">
        <v>60</v>
      </c>
      <c r="C1179" s="5">
        <f>DATE(2024, 12, 12) + TIME(15, 1, 42)</f>
        <v>45638.626180555555</v>
      </c>
      <c r="D1179" s="1" t="s">
        <v>144</v>
      </c>
      <c r="E1179" s="1" t="s">
        <v>946</v>
      </c>
    </row>
    <row r="1180" spans="1:5" x14ac:dyDescent="0.2">
      <c r="A1180" s="1" t="s">
        <v>1</v>
      </c>
      <c r="B1180" s="1" t="s">
        <v>60</v>
      </c>
      <c r="C1180" s="5">
        <f>DATE(2024, 12, 12) + TIME(13, 10, 55)</f>
        <v>45638.549247685187</v>
      </c>
      <c r="D1180" s="1" t="s">
        <v>638</v>
      </c>
      <c r="E1180" s="1" t="s">
        <v>157</v>
      </c>
    </row>
    <row r="1181" spans="1:5" x14ac:dyDescent="0.2">
      <c r="A1181" s="1" t="s">
        <v>1</v>
      </c>
      <c r="B1181" s="1" t="s">
        <v>60</v>
      </c>
      <c r="C1181" s="5">
        <f>DATE(2024, 12, 11) + TIME(13, 48, 41)</f>
        <v>45637.575474537036</v>
      </c>
      <c r="D1181" s="1" t="s">
        <v>638</v>
      </c>
      <c r="E1181" s="1" t="s">
        <v>962</v>
      </c>
    </row>
    <row r="1182" spans="1:5" x14ac:dyDescent="0.2">
      <c r="A1182" s="1" t="s">
        <v>1</v>
      </c>
      <c r="B1182" s="1" t="s">
        <v>323</v>
      </c>
      <c r="C1182" s="5">
        <f>DATE(2024, 12, 11) + TIME(13, 31, 41)</f>
        <v>45637.563668981478</v>
      </c>
      <c r="D1182" s="1" t="s">
        <v>64</v>
      </c>
      <c r="E1182" s="1" t="s">
        <v>11</v>
      </c>
    </row>
    <row r="1183" spans="1:5" x14ac:dyDescent="0.2">
      <c r="A1183" s="1" t="s">
        <v>1</v>
      </c>
      <c r="B1183" s="1" t="s">
        <v>60</v>
      </c>
      <c r="C1183" s="5">
        <f>DATE(2024, 12, 11) + TIME(13, 19, 54)</f>
        <v>45637.555486111109</v>
      </c>
      <c r="D1183" s="1" t="s">
        <v>65</v>
      </c>
      <c r="E1183" s="1" t="s">
        <v>432</v>
      </c>
    </row>
    <row r="1184" spans="1:5" x14ac:dyDescent="0.2">
      <c r="A1184" s="1" t="s">
        <v>1</v>
      </c>
      <c r="B1184" s="1" t="s">
        <v>60</v>
      </c>
      <c r="C1184" s="5">
        <f>DATE(2024, 12, 11) + TIME(13, 15, 31)</f>
        <v>45637.552442129629</v>
      </c>
      <c r="D1184" s="1" t="s">
        <v>921</v>
      </c>
      <c r="E1184" s="1" t="s">
        <v>474</v>
      </c>
    </row>
    <row r="1185" spans="1:5" x14ac:dyDescent="0.2">
      <c r="A1185" s="1" t="s">
        <v>1</v>
      </c>
      <c r="B1185" s="1" t="s">
        <v>60</v>
      </c>
      <c r="C1185" s="5">
        <f>DATE(2024, 12, 11) + TIME(12, 23, 56)</f>
        <v>45637.51662037037</v>
      </c>
      <c r="D1185" s="1" t="s">
        <v>450</v>
      </c>
      <c r="E1185" s="1" t="s">
        <v>78</v>
      </c>
    </row>
    <row r="1186" spans="1:5" x14ac:dyDescent="0.2">
      <c r="A1186" s="1" t="s">
        <v>1</v>
      </c>
      <c r="B1186" s="1" t="s">
        <v>60</v>
      </c>
      <c r="C1186" s="5">
        <f>DATE(2024, 12, 11) + TIME(12, 23, 14)</f>
        <v>45637.516134259262</v>
      </c>
      <c r="D1186" s="1" t="s">
        <v>450</v>
      </c>
      <c r="E1186" s="1" t="s">
        <v>185</v>
      </c>
    </row>
    <row r="1187" spans="1:5" x14ac:dyDescent="0.2">
      <c r="A1187" s="1" t="s">
        <v>1</v>
      </c>
      <c r="B1187" s="1" t="s">
        <v>60</v>
      </c>
      <c r="C1187" s="5">
        <f>DATE(2024, 12, 11) + TIME(12, 22, 39)</f>
        <v>45637.515729166669</v>
      </c>
      <c r="D1187" s="1" t="s">
        <v>450</v>
      </c>
      <c r="E1187" s="1" t="s">
        <v>151</v>
      </c>
    </row>
    <row r="1188" spans="1:5" x14ac:dyDescent="0.2">
      <c r="A1188" s="1" t="s">
        <v>1</v>
      </c>
      <c r="B1188" s="1" t="s">
        <v>60</v>
      </c>
      <c r="C1188" s="5">
        <f>DATE(2024, 12, 11) + TIME(12, 7, 39)</f>
        <v>45637.505312499998</v>
      </c>
      <c r="D1188" s="1" t="s">
        <v>341</v>
      </c>
      <c r="E1188" s="1" t="s">
        <v>507</v>
      </c>
    </row>
    <row r="1189" spans="1:5" x14ac:dyDescent="0.2">
      <c r="A1189" s="1" t="s">
        <v>1</v>
      </c>
      <c r="B1189" s="1" t="s">
        <v>60</v>
      </c>
      <c r="C1189" s="5">
        <f>DATE(2024, 12, 11) + TIME(11, 22, 11)</f>
        <v>45637.473738425928</v>
      </c>
      <c r="D1189" s="1" t="s">
        <v>341</v>
      </c>
      <c r="E1189" s="1" t="s">
        <v>286</v>
      </c>
    </row>
    <row r="1190" spans="1:5" x14ac:dyDescent="0.2">
      <c r="A1190" s="1" t="s">
        <v>1</v>
      </c>
      <c r="B1190" s="1" t="s">
        <v>60</v>
      </c>
      <c r="C1190" s="5">
        <f>DATE(2024, 12, 10) + TIME(14, 34, 15)</f>
        <v>45636.607118055559</v>
      </c>
      <c r="D1190" s="1" t="s">
        <v>566</v>
      </c>
      <c r="E1190" s="1" t="s">
        <v>1071</v>
      </c>
    </row>
    <row r="1191" spans="1:5" x14ac:dyDescent="0.2">
      <c r="A1191" s="1" t="s">
        <v>1</v>
      </c>
      <c r="B1191" s="1" t="s">
        <v>60</v>
      </c>
      <c r="C1191" s="5">
        <f>DATE(2024, 12, 10) + TIME(14, 14, 51)</f>
        <v>45636.593645833331</v>
      </c>
      <c r="D1191" s="1" t="s">
        <v>3</v>
      </c>
      <c r="E1191" s="1" t="s">
        <v>571</v>
      </c>
    </row>
    <row r="1192" spans="1:5" x14ac:dyDescent="0.2">
      <c r="A1192" s="1" t="s">
        <v>1</v>
      </c>
      <c r="B1192" s="1" t="s">
        <v>60</v>
      </c>
      <c r="C1192" s="5">
        <f>DATE(2024, 12, 10) + TIME(13, 52, 49)</f>
        <v>45636.578344907408</v>
      </c>
      <c r="D1192" s="1" t="s">
        <v>65</v>
      </c>
      <c r="E1192" s="1" t="s">
        <v>227</v>
      </c>
    </row>
    <row r="1193" spans="1:5" x14ac:dyDescent="0.2">
      <c r="A1193" s="1" t="s">
        <v>1</v>
      </c>
      <c r="B1193" s="1" t="s">
        <v>60</v>
      </c>
      <c r="C1193" s="5">
        <f>DATE(2024, 12, 10) + TIME(11, 54, 41)</f>
        <v>45636.496307870373</v>
      </c>
      <c r="D1193" s="1" t="s">
        <v>566</v>
      </c>
      <c r="E1193" s="1" t="s">
        <v>997</v>
      </c>
    </row>
    <row r="1194" spans="1:5" x14ac:dyDescent="0.2">
      <c r="A1194" s="1" t="s">
        <v>1</v>
      </c>
      <c r="B1194" s="1" t="s">
        <v>60</v>
      </c>
      <c r="C1194" s="5">
        <f>DATE(2024, 12, 10) + TIME(11, 39, 22)</f>
        <v>45636.485671296294</v>
      </c>
      <c r="D1194" s="1" t="s">
        <v>65</v>
      </c>
      <c r="E1194" s="1" t="s">
        <v>152</v>
      </c>
    </row>
    <row r="1195" spans="1:5" x14ac:dyDescent="0.2">
      <c r="A1195" s="1" t="s">
        <v>1</v>
      </c>
      <c r="B1195" s="1" t="s">
        <v>60</v>
      </c>
      <c r="C1195" s="5">
        <f>DATE(2024, 12, 9) + TIME(15, 34, 6)</f>
        <v>45635.648680555554</v>
      </c>
      <c r="D1195" s="1" t="s">
        <v>144</v>
      </c>
      <c r="E1195" s="1" t="s">
        <v>946</v>
      </c>
    </row>
    <row r="1196" spans="1:5" x14ac:dyDescent="0.2">
      <c r="A1196" s="1" t="s">
        <v>1</v>
      </c>
      <c r="B1196" s="1" t="s">
        <v>323</v>
      </c>
      <c r="C1196" s="5">
        <f>DATE(2024, 12, 9) + TIME(14, 58, 25)</f>
        <v>45635.623900462961</v>
      </c>
      <c r="D1196" s="1" t="s">
        <v>64</v>
      </c>
      <c r="E1196" s="1" t="s">
        <v>630</v>
      </c>
    </row>
    <row r="1197" spans="1:5" x14ac:dyDescent="0.2">
      <c r="A1197" s="1" t="s">
        <v>1</v>
      </c>
      <c r="B1197" s="1" t="s">
        <v>60</v>
      </c>
      <c r="C1197" s="5">
        <f>DATE(2024, 12, 9) + TIME(14, 12, 6)</f>
        <v>45635.591736111113</v>
      </c>
      <c r="D1197" s="1" t="s">
        <v>144</v>
      </c>
      <c r="E1197" s="1" t="s">
        <v>695</v>
      </c>
    </row>
    <row r="1198" spans="1:5" x14ac:dyDescent="0.2">
      <c r="A1198" s="1" t="s">
        <v>1</v>
      </c>
      <c r="B1198" s="1" t="s">
        <v>60</v>
      </c>
      <c r="C1198" s="5">
        <f>DATE(2024, 12, 9) + TIME(12, 42, 52)</f>
        <v>45635.529768518521</v>
      </c>
      <c r="D1198" s="1" t="s">
        <v>566</v>
      </c>
      <c r="E1198" s="1" t="s">
        <v>865</v>
      </c>
    </row>
    <row r="1199" spans="1:5" x14ac:dyDescent="0.2">
      <c r="A1199" s="1" t="s">
        <v>1</v>
      </c>
      <c r="B1199" s="1" t="s">
        <v>60</v>
      </c>
      <c r="C1199" s="5">
        <f>DATE(2024, 12, 9) + TIME(12, 16, 55)</f>
        <v>45635.511747685188</v>
      </c>
      <c r="D1199" s="1" t="s">
        <v>3</v>
      </c>
      <c r="E1199" s="1" t="s">
        <v>926</v>
      </c>
    </row>
    <row r="1200" spans="1:5" x14ac:dyDescent="0.2">
      <c r="A1200" s="1" t="s">
        <v>1</v>
      </c>
      <c r="B1200" s="1" t="s">
        <v>60</v>
      </c>
      <c r="C1200" s="5">
        <f>DATE(2024, 12, 9) + TIME(12, 3, 20)</f>
        <v>45635.502314814818</v>
      </c>
      <c r="D1200" s="1" t="s">
        <v>506</v>
      </c>
      <c r="E1200" s="1" t="s">
        <v>649</v>
      </c>
    </row>
    <row r="1201" spans="1:5" x14ac:dyDescent="0.2">
      <c r="A1201" s="1" t="s">
        <v>1</v>
      </c>
      <c r="B1201" s="1" t="s">
        <v>60</v>
      </c>
      <c r="C1201" s="5">
        <f>DATE(2024, 12, 9) + TIME(11, 41, 31)</f>
        <v>45635.487164351849</v>
      </c>
      <c r="D1201" s="1" t="s">
        <v>65</v>
      </c>
      <c r="E1201" s="1" t="s">
        <v>219</v>
      </c>
    </row>
    <row r="1202" spans="1:5" x14ac:dyDescent="0.2">
      <c r="A1202" s="1" t="s">
        <v>1</v>
      </c>
      <c r="B1202" s="1" t="s">
        <v>60</v>
      </c>
      <c r="C1202" s="5">
        <f>DATE(2024, 12, 9) + TIME(10, 17, 16)</f>
        <v>45635.428657407407</v>
      </c>
      <c r="D1202" s="1" t="s">
        <v>3</v>
      </c>
      <c r="E1202" s="1" t="s">
        <v>168</v>
      </c>
    </row>
    <row r="1203" spans="1:5" x14ac:dyDescent="0.2">
      <c r="A1203" s="1" t="s">
        <v>1</v>
      </c>
      <c r="B1203" s="1" t="s">
        <v>60</v>
      </c>
      <c r="C1203" s="5">
        <f>DATE(2024, 12, 5) + TIME(16, 1, 17)</f>
        <v>45631.667557870373</v>
      </c>
      <c r="D1203" s="1" t="s">
        <v>506</v>
      </c>
      <c r="E1203" s="1" t="s">
        <v>649</v>
      </c>
    </row>
    <row r="1204" spans="1:5" x14ac:dyDescent="0.2">
      <c r="A1204" s="1" t="s">
        <v>1</v>
      </c>
      <c r="B1204" s="1" t="s">
        <v>60</v>
      </c>
      <c r="C1204" s="5">
        <f>DATE(2024, 12, 5) + TIME(13, 25, 4)</f>
        <v>45631.559074074074</v>
      </c>
      <c r="D1204" s="1" t="s">
        <v>396</v>
      </c>
      <c r="E1204" s="1" t="s">
        <v>567</v>
      </c>
    </row>
    <row r="1205" spans="1:5" x14ac:dyDescent="0.2">
      <c r="A1205" s="1" t="s">
        <v>1</v>
      </c>
      <c r="B1205" s="1" t="s">
        <v>139</v>
      </c>
      <c r="C1205" s="5">
        <f>DATE(2024, 12, 5) + TIME(12, 58, 8)</f>
        <v>45631.540370370371</v>
      </c>
      <c r="D1205" s="1" t="s">
        <v>126</v>
      </c>
      <c r="E1205" s="1" t="s">
        <v>540</v>
      </c>
    </row>
    <row r="1206" spans="1:5" x14ac:dyDescent="0.2">
      <c r="A1206" s="1" t="s">
        <v>1</v>
      </c>
      <c r="B1206" s="1" t="s">
        <v>60</v>
      </c>
      <c r="C1206" s="5">
        <f>DATE(2024, 12, 5) + TIME(12, 1, 22)</f>
        <v>45631.500949074078</v>
      </c>
      <c r="D1206" s="1" t="s">
        <v>216</v>
      </c>
      <c r="E1206" s="1" t="s">
        <v>372</v>
      </c>
    </row>
    <row r="1207" spans="1:5" x14ac:dyDescent="0.2">
      <c r="A1207" s="1" t="s">
        <v>1</v>
      </c>
      <c r="B1207" s="1" t="s">
        <v>60</v>
      </c>
      <c r="C1207" s="5">
        <f>DATE(2024, 12, 4) + TIME(13, 25, 7)</f>
        <v>45630.559108796297</v>
      </c>
      <c r="D1207" s="1" t="s">
        <v>506</v>
      </c>
      <c r="E1207" s="1" t="s">
        <v>370</v>
      </c>
    </row>
    <row r="1208" spans="1:5" x14ac:dyDescent="0.2">
      <c r="A1208" s="1" t="s">
        <v>1</v>
      </c>
      <c r="B1208" s="1" t="s">
        <v>60</v>
      </c>
      <c r="C1208" s="5">
        <f>DATE(2024, 12, 4) + TIME(11, 38, 45)</f>
        <v>45630.485243055555</v>
      </c>
      <c r="D1208" s="1" t="s">
        <v>450</v>
      </c>
      <c r="E1208" s="1" t="s">
        <v>185</v>
      </c>
    </row>
    <row r="1209" spans="1:5" x14ac:dyDescent="0.2">
      <c r="A1209" s="1" t="s">
        <v>1</v>
      </c>
      <c r="B1209" s="1" t="s">
        <v>60</v>
      </c>
      <c r="C1209" s="5">
        <f>DATE(2024, 12, 4) + TIME(11, 8, 55)</f>
        <v>45630.464525462965</v>
      </c>
      <c r="D1209" s="1" t="s">
        <v>396</v>
      </c>
      <c r="E1209" s="1" t="s">
        <v>88</v>
      </c>
    </row>
    <row r="1210" spans="1:5" x14ac:dyDescent="0.2">
      <c r="A1210" s="1" t="s">
        <v>1</v>
      </c>
      <c r="B1210" s="1" t="s">
        <v>60</v>
      </c>
      <c r="C1210" s="5">
        <f>DATE(2024, 12, 3) + TIME(14, 56, 14)</f>
        <v>45629.622384259259</v>
      </c>
      <c r="D1210" s="1" t="s">
        <v>506</v>
      </c>
      <c r="E1210" s="1" t="s">
        <v>83</v>
      </c>
    </row>
    <row r="1211" spans="1:5" x14ac:dyDescent="0.2">
      <c r="A1211" s="1" t="s">
        <v>1</v>
      </c>
      <c r="B1211" s="1" t="s">
        <v>60</v>
      </c>
      <c r="C1211" s="5">
        <f>DATE(2024, 12, 3) + TIME(14, 11, 17)</f>
        <v>45629.591168981482</v>
      </c>
      <c r="D1211" s="1" t="s">
        <v>3</v>
      </c>
      <c r="E1211" s="1" t="s">
        <v>571</v>
      </c>
    </row>
    <row r="1212" spans="1:5" x14ac:dyDescent="0.2">
      <c r="A1212" s="1" t="s">
        <v>1</v>
      </c>
      <c r="B1212" s="1" t="s">
        <v>60</v>
      </c>
      <c r="C1212" s="5">
        <f>DATE(2024, 12, 3) + TIME(13, 50, 30)</f>
        <v>45629.576736111114</v>
      </c>
      <c r="D1212" s="1" t="s">
        <v>65</v>
      </c>
      <c r="E1212" s="1" t="s">
        <v>227</v>
      </c>
    </row>
    <row r="1213" spans="1:5" x14ac:dyDescent="0.2">
      <c r="A1213" s="1" t="s">
        <v>1</v>
      </c>
      <c r="B1213" s="1" t="s">
        <v>60</v>
      </c>
      <c r="C1213" s="5">
        <f>DATE(2024, 12, 3) + TIME(13, 22, 54)</f>
        <v>45629.557569444441</v>
      </c>
      <c r="D1213" s="1" t="s">
        <v>566</v>
      </c>
      <c r="E1213" s="1" t="s">
        <v>814</v>
      </c>
    </row>
    <row r="1214" spans="1:5" x14ac:dyDescent="0.2">
      <c r="A1214" s="1" t="s">
        <v>1</v>
      </c>
      <c r="B1214" s="1" t="s">
        <v>60</v>
      </c>
      <c r="C1214" s="5">
        <f>DATE(2024, 12, 3) + TIME(13, 22, 54)</f>
        <v>45629.557569444441</v>
      </c>
      <c r="D1214" s="1" t="s">
        <v>566</v>
      </c>
      <c r="E1214" s="1" t="s">
        <v>997</v>
      </c>
    </row>
    <row r="1215" spans="1:5" x14ac:dyDescent="0.2">
      <c r="A1215" s="1" t="s">
        <v>1</v>
      </c>
      <c r="B1215" s="1" t="s">
        <v>60</v>
      </c>
      <c r="C1215" s="5">
        <f>DATE(2024, 12, 3) + TIME(9, 20, 19)</f>
        <v>45629.389108796298</v>
      </c>
      <c r="D1215" s="1" t="s">
        <v>126</v>
      </c>
      <c r="E1215" s="1" t="s">
        <v>143</v>
      </c>
    </row>
    <row r="1216" spans="1:5" x14ac:dyDescent="0.2">
      <c r="A1216" s="1" t="s">
        <v>1</v>
      </c>
      <c r="B1216" s="1" t="s">
        <v>60</v>
      </c>
      <c r="C1216" s="5">
        <f>DATE(2024, 12, 2) + TIME(16, 0, 44)</f>
        <v>45628.667175925926</v>
      </c>
      <c r="D1216" s="1" t="s">
        <v>391</v>
      </c>
      <c r="E1216" s="1" t="s">
        <v>883</v>
      </c>
    </row>
    <row r="1217" spans="1:5" x14ac:dyDescent="0.2">
      <c r="A1217" s="1" t="s">
        <v>1</v>
      </c>
      <c r="B1217" s="1" t="s">
        <v>60</v>
      </c>
      <c r="C1217" s="5">
        <f>DATE(2024, 12, 2) + TIME(15, 10, 36)</f>
        <v>45628.632361111115</v>
      </c>
      <c r="D1217" s="1" t="s">
        <v>64</v>
      </c>
      <c r="E1217" s="1" t="s">
        <v>630</v>
      </c>
    </row>
    <row r="1218" spans="1:5" x14ac:dyDescent="0.2">
      <c r="A1218" s="1" t="s">
        <v>1</v>
      </c>
      <c r="B1218" s="1" t="s">
        <v>60</v>
      </c>
      <c r="C1218" s="5">
        <f>DATE(2024, 12, 2) + TIME(13, 21, 15)</f>
        <v>45628.556423611109</v>
      </c>
      <c r="D1218" s="1" t="s">
        <v>640</v>
      </c>
      <c r="E1218" s="1" t="s">
        <v>520</v>
      </c>
    </row>
    <row r="1219" spans="1:5" x14ac:dyDescent="0.2">
      <c r="A1219" s="1" t="s">
        <v>1</v>
      </c>
      <c r="B1219" s="1" t="s">
        <v>60</v>
      </c>
      <c r="C1219" s="5">
        <f>DATE(2024, 12, 2) + TIME(13, 2, 48)</f>
        <v>45628.543611111112</v>
      </c>
      <c r="D1219" s="1" t="s">
        <v>566</v>
      </c>
      <c r="E1219" s="1" t="s">
        <v>865</v>
      </c>
    </row>
    <row r="1220" spans="1:5" x14ac:dyDescent="0.2">
      <c r="A1220" s="1" t="s">
        <v>1</v>
      </c>
      <c r="B1220" s="1" t="s">
        <v>60</v>
      </c>
      <c r="C1220" s="5">
        <f>DATE(2024, 12, 2) + TIME(11, 23, 33)</f>
        <v>45628.474687499998</v>
      </c>
      <c r="D1220" s="1" t="s">
        <v>754</v>
      </c>
      <c r="E1220" s="1" t="s">
        <v>245</v>
      </c>
    </row>
    <row r="1221" spans="1:5" x14ac:dyDescent="0.2">
      <c r="A1221" s="1" t="s">
        <v>1</v>
      </c>
      <c r="B1221" s="1" t="s">
        <v>60</v>
      </c>
      <c r="C1221" s="5">
        <f>DATE(2024, 12, 2) + TIME(11, 12, 55)</f>
        <v>45628.467303240737</v>
      </c>
      <c r="D1221" s="1" t="s">
        <v>3</v>
      </c>
      <c r="E1221" s="1" t="s">
        <v>168</v>
      </c>
    </row>
    <row r="1222" spans="1:5" x14ac:dyDescent="0.2">
      <c r="A1222" s="1" t="s">
        <v>1</v>
      </c>
      <c r="B1222" s="1" t="s">
        <v>60</v>
      </c>
      <c r="C1222" s="5">
        <f>DATE(2024, 12, 2) + TIME(9, 19, 17)</f>
        <v>45628.388391203705</v>
      </c>
      <c r="D1222" s="1" t="s">
        <v>5</v>
      </c>
      <c r="E1222" s="1" t="s">
        <v>405</v>
      </c>
    </row>
    <row r="1223" spans="1:5" x14ac:dyDescent="0.2">
      <c r="A1223" s="1" t="s">
        <v>1</v>
      </c>
      <c r="B1223" s="1" t="s">
        <v>60</v>
      </c>
      <c r="C1223" s="5">
        <f>DATE(2024, 11, 29) + TIME(12, 18, 8)</f>
        <v>45625.512592592589</v>
      </c>
      <c r="D1223" s="1" t="s">
        <v>921</v>
      </c>
      <c r="E1223" s="1" t="s">
        <v>1104</v>
      </c>
    </row>
    <row r="1224" spans="1:5" x14ac:dyDescent="0.2">
      <c r="A1224" s="1" t="s">
        <v>1</v>
      </c>
      <c r="B1224" s="1" t="s">
        <v>60</v>
      </c>
      <c r="C1224" s="5">
        <f>DATE(2024, 11, 27) + TIME(15, 12, 19)</f>
        <v>45623.633553240739</v>
      </c>
      <c r="D1224" s="1" t="s">
        <v>506</v>
      </c>
      <c r="E1224" s="1" t="s">
        <v>83</v>
      </c>
    </row>
    <row r="1225" spans="1:5" x14ac:dyDescent="0.2">
      <c r="A1225" s="1" t="s">
        <v>1</v>
      </c>
      <c r="B1225" s="1" t="s">
        <v>60</v>
      </c>
      <c r="C1225" s="5">
        <f>DATE(2024, 11, 27) + TIME(13, 57, 1)</f>
        <v>45623.581261574072</v>
      </c>
      <c r="D1225" s="1" t="s">
        <v>396</v>
      </c>
      <c r="E1225" s="1" t="s">
        <v>140</v>
      </c>
    </row>
    <row r="1226" spans="1:5" x14ac:dyDescent="0.2">
      <c r="A1226" s="1" t="s">
        <v>1</v>
      </c>
      <c r="B1226" s="1" t="s">
        <v>60</v>
      </c>
      <c r="C1226" s="5">
        <f>DATE(2024, 11, 27) + TIME(13, 33, 12)</f>
        <v>45623.564722222225</v>
      </c>
      <c r="D1226" s="1" t="s">
        <v>396</v>
      </c>
      <c r="E1226" s="1" t="s">
        <v>567</v>
      </c>
    </row>
    <row r="1227" spans="1:5" x14ac:dyDescent="0.2">
      <c r="A1227" s="1" t="s">
        <v>1</v>
      </c>
      <c r="B1227" s="1" t="s">
        <v>60</v>
      </c>
      <c r="C1227" s="5">
        <f>DATE(2024, 11, 25) + TIME(16, 12, 46)</f>
        <v>45621.675532407404</v>
      </c>
      <c r="D1227" s="1" t="s">
        <v>506</v>
      </c>
      <c r="E1227" s="1" t="s">
        <v>823</v>
      </c>
    </row>
    <row r="1228" spans="1:5" x14ac:dyDescent="0.2">
      <c r="A1228" s="1" t="s">
        <v>1</v>
      </c>
      <c r="B1228" s="1" t="s">
        <v>60</v>
      </c>
      <c r="C1228" s="5">
        <f>DATE(2024, 11, 25) + TIME(15, 11, 9)</f>
        <v>45621.632743055554</v>
      </c>
      <c r="D1228" s="1" t="s">
        <v>148</v>
      </c>
      <c r="E1228" s="1" t="s">
        <v>361</v>
      </c>
    </row>
    <row r="1229" spans="1:5" x14ac:dyDescent="0.2">
      <c r="A1229" s="1" t="s">
        <v>1</v>
      </c>
      <c r="B1229" s="1" t="s">
        <v>60</v>
      </c>
      <c r="C1229" s="5">
        <f>DATE(2024, 11, 25) + TIME(13, 18, 55)</f>
        <v>45621.554803240739</v>
      </c>
      <c r="D1229" s="1" t="s">
        <v>566</v>
      </c>
      <c r="E1229" s="1" t="s">
        <v>997</v>
      </c>
    </row>
    <row r="1230" spans="1:5" x14ac:dyDescent="0.2">
      <c r="A1230" s="1" t="s">
        <v>1</v>
      </c>
      <c r="B1230" s="1" t="s">
        <v>323</v>
      </c>
      <c r="C1230" s="5">
        <f>DATE(2024, 11, 25) + TIME(11, 57, 5)</f>
        <v>45621.497974537036</v>
      </c>
      <c r="D1230" s="1" t="s">
        <v>65</v>
      </c>
      <c r="E1230" s="1" t="s">
        <v>400</v>
      </c>
    </row>
    <row r="1231" spans="1:5" x14ac:dyDescent="0.2">
      <c r="A1231" s="1" t="s">
        <v>1</v>
      </c>
      <c r="B1231" s="1" t="s">
        <v>60</v>
      </c>
      <c r="C1231" s="5">
        <f>DATE(2024, 11, 24) + TIME(10, 58, 9)</f>
        <v>45620.457048611112</v>
      </c>
      <c r="D1231" s="1" t="s">
        <v>566</v>
      </c>
      <c r="E1231" s="1" t="s">
        <v>865</v>
      </c>
    </row>
    <row r="1232" spans="1:5" x14ac:dyDescent="0.2">
      <c r="A1232" s="1" t="s">
        <v>1</v>
      </c>
      <c r="B1232" s="1" t="s">
        <v>60</v>
      </c>
      <c r="C1232" s="5">
        <f>DATE(2024, 11, 21) + TIME(15, 34, 51)</f>
        <v>45617.649201388886</v>
      </c>
      <c r="D1232" s="1" t="s">
        <v>391</v>
      </c>
      <c r="E1232" s="1" t="s">
        <v>883</v>
      </c>
    </row>
    <row r="1233" spans="1:5" x14ac:dyDescent="0.2">
      <c r="A1233" s="1" t="s">
        <v>1</v>
      </c>
      <c r="B1233" s="1" t="s">
        <v>60</v>
      </c>
      <c r="C1233" s="5">
        <f>DATE(2024, 11, 21) + TIME(15, 29, 6)</f>
        <v>45617.645208333335</v>
      </c>
      <c r="D1233" s="1" t="s">
        <v>391</v>
      </c>
      <c r="E1233" s="1" t="s">
        <v>619</v>
      </c>
    </row>
    <row r="1234" spans="1:5" x14ac:dyDescent="0.2">
      <c r="A1234" s="1" t="s">
        <v>1</v>
      </c>
      <c r="B1234" s="1" t="s">
        <v>60</v>
      </c>
      <c r="C1234" s="5">
        <f>DATE(2024, 11, 21) + TIME(14, 55, 29)</f>
        <v>45617.621863425928</v>
      </c>
      <c r="D1234" s="1" t="s">
        <v>640</v>
      </c>
      <c r="E1234" s="1" t="s">
        <v>70</v>
      </c>
    </row>
    <row r="1235" spans="1:5" x14ac:dyDescent="0.2">
      <c r="A1235" s="1" t="s">
        <v>1</v>
      </c>
      <c r="B1235" s="1" t="s">
        <v>60</v>
      </c>
      <c r="C1235" s="5">
        <f>DATE(2024, 11, 21) + TIME(14, 52, 6)</f>
        <v>45617.619513888887</v>
      </c>
      <c r="D1235" s="1" t="s">
        <v>396</v>
      </c>
      <c r="E1235" s="1" t="s">
        <v>140</v>
      </c>
    </row>
    <row r="1236" spans="1:5" x14ac:dyDescent="0.2">
      <c r="A1236" s="1" t="s">
        <v>1</v>
      </c>
      <c r="B1236" s="1" t="s">
        <v>60</v>
      </c>
      <c r="C1236" s="5">
        <f>DATE(2024, 11, 21) + TIME(12, 43, 6)</f>
        <v>45617.529930555553</v>
      </c>
      <c r="D1236" s="1" t="s">
        <v>1054</v>
      </c>
      <c r="E1236" s="1" t="s">
        <v>657</v>
      </c>
    </row>
    <row r="1237" spans="1:5" x14ac:dyDescent="0.2">
      <c r="A1237" s="1" t="s">
        <v>1</v>
      </c>
      <c r="B1237" s="1" t="s">
        <v>60</v>
      </c>
      <c r="C1237" s="5">
        <f>DATE(2024, 11, 21) + TIME(11, 51, 38)</f>
        <v>45617.494189814817</v>
      </c>
      <c r="D1237" s="1" t="s">
        <v>640</v>
      </c>
      <c r="E1237" s="1" t="s">
        <v>283</v>
      </c>
    </row>
    <row r="1238" spans="1:5" x14ac:dyDescent="0.2">
      <c r="A1238" s="1" t="s">
        <v>1</v>
      </c>
      <c r="B1238" s="1" t="s">
        <v>927</v>
      </c>
      <c r="C1238" s="5">
        <f>DATE(2024, 11, 20) + TIME(12, 26, 59)</f>
        <v>45616.518738425926</v>
      </c>
      <c r="D1238" s="1" t="s">
        <v>396</v>
      </c>
      <c r="E1238" s="1" t="s">
        <v>88</v>
      </c>
    </row>
    <row r="1239" spans="1:5" x14ac:dyDescent="0.2">
      <c r="A1239" s="1" t="s">
        <v>1</v>
      </c>
      <c r="B1239" s="1" t="s">
        <v>60</v>
      </c>
      <c r="C1239" s="5">
        <f>DATE(2024, 11, 20) + TIME(10, 43, 59)</f>
        <v>45616.447210648148</v>
      </c>
      <c r="D1239" s="1" t="s">
        <v>396</v>
      </c>
      <c r="E1239" s="1" t="s">
        <v>1009</v>
      </c>
    </row>
    <row r="1240" spans="1:5" x14ac:dyDescent="0.2">
      <c r="A1240" s="1" t="s">
        <v>1</v>
      </c>
      <c r="B1240" s="1" t="s">
        <v>60</v>
      </c>
      <c r="C1240" s="5">
        <f>DATE(2024, 11, 19) + TIME(14, 12, 19)</f>
        <v>45615.591886574075</v>
      </c>
      <c r="D1240" s="1" t="s">
        <v>3</v>
      </c>
      <c r="E1240" s="1" t="s">
        <v>571</v>
      </c>
    </row>
    <row r="1241" spans="1:5" x14ac:dyDescent="0.2">
      <c r="A1241" s="1" t="s">
        <v>1</v>
      </c>
      <c r="B1241" s="1" t="s">
        <v>60</v>
      </c>
      <c r="C1241" s="5">
        <f>DATE(2024, 11, 19) + TIME(13, 20, 51)</f>
        <v>45615.556145833332</v>
      </c>
      <c r="D1241" s="1" t="s">
        <v>65</v>
      </c>
      <c r="E1241" s="1" t="s">
        <v>379</v>
      </c>
    </row>
    <row r="1242" spans="1:5" x14ac:dyDescent="0.2">
      <c r="A1242" s="1" t="s">
        <v>1</v>
      </c>
      <c r="B1242" s="1" t="s">
        <v>60</v>
      </c>
      <c r="C1242" s="5">
        <f>DATE(2024, 11, 19) + TIME(13, 5, 30)</f>
        <v>45615.545486111114</v>
      </c>
      <c r="D1242" s="1" t="s">
        <v>65</v>
      </c>
      <c r="E1242" s="1" t="s">
        <v>227</v>
      </c>
    </row>
    <row r="1243" spans="1:5" x14ac:dyDescent="0.2">
      <c r="A1243" s="1" t="s">
        <v>1</v>
      </c>
      <c r="B1243" s="1" t="s">
        <v>60</v>
      </c>
      <c r="C1243" s="5">
        <f>DATE(2024, 11, 19) + TIME(12, 59, 38)</f>
        <v>45615.541412037041</v>
      </c>
      <c r="D1243" s="1" t="s">
        <v>65</v>
      </c>
      <c r="E1243" s="1" t="s">
        <v>758</v>
      </c>
    </row>
    <row r="1244" spans="1:5" x14ac:dyDescent="0.2">
      <c r="A1244" s="1" t="s">
        <v>1</v>
      </c>
      <c r="B1244" s="1" t="s">
        <v>60</v>
      </c>
      <c r="C1244" s="5">
        <f>DATE(2024, 11, 19) + TIME(12, 59, 8)</f>
        <v>45615.541064814817</v>
      </c>
      <c r="D1244" s="1" t="s">
        <v>65</v>
      </c>
      <c r="E1244" s="1" t="s">
        <v>152</v>
      </c>
    </row>
    <row r="1245" spans="1:5" x14ac:dyDescent="0.2">
      <c r="A1245" s="1" t="s">
        <v>1</v>
      </c>
      <c r="B1245" s="1" t="s">
        <v>866</v>
      </c>
      <c r="C1245" s="5">
        <f>DATE(2024, 11, 19) + TIME(9, 42, 51)</f>
        <v>45615.404756944445</v>
      </c>
      <c r="D1245" s="1" t="s">
        <v>396</v>
      </c>
      <c r="E1245" s="1" t="s">
        <v>276</v>
      </c>
    </row>
    <row r="1246" spans="1:5" x14ac:dyDescent="0.2">
      <c r="A1246" s="1" t="s">
        <v>1</v>
      </c>
      <c r="B1246" s="1" t="s">
        <v>323</v>
      </c>
      <c r="C1246" s="5">
        <f>DATE(2024, 11, 18) + TIME(15, 47, 46)</f>
        <v>45614.658171296294</v>
      </c>
      <c r="D1246" s="1" t="s">
        <v>64</v>
      </c>
      <c r="E1246" s="1" t="s">
        <v>630</v>
      </c>
    </row>
    <row r="1247" spans="1:5" x14ac:dyDescent="0.2">
      <c r="A1247" s="1" t="s">
        <v>1</v>
      </c>
      <c r="B1247" s="1" t="s">
        <v>60</v>
      </c>
      <c r="C1247" s="5">
        <f>DATE(2024, 11, 18) + TIME(14, 30, 20)</f>
        <v>45614.604398148149</v>
      </c>
      <c r="D1247" s="1" t="s">
        <v>269</v>
      </c>
      <c r="E1247" s="1" t="s">
        <v>299</v>
      </c>
    </row>
    <row r="1248" spans="1:5" x14ac:dyDescent="0.2">
      <c r="A1248" s="1" t="s">
        <v>1</v>
      </c>
      <c r="B1248" s="1" t="s">
        <v>60</v>
      </c>
      <c r="C1248" s="5">
        <f>DATE(2024, 11, 18) + TIME(14, 29, 17)</f>
        <v>45614.603668981479</v>
      </c>
      <c r="D1248" s="1" t="s">
        <v>638</v>
      </c>
      <c r="E1248" s="1" t="s">
        <v>188</v>
      </c>
    </row>
    <row r="1249" spans="1:5" x14ac:dyDescent="0.2">
      <c r="A1249" s="1" t="s">
        <v>1</v>
      </c>
      <c r="B1249" s="1" t="s">
        <v>60</v>
      </c>
      <c r="C1249" s="5">
        <f>DATE(2024, 11, 18) + TIME(13, 37, 26)</f>
        <v>45614.567662037036</v>
      </c>
      <c r="D1249" s="1" t="s">
        <v>506</v>
      </c>
      <c r="E1249" s="1" t="s">
        <v>697</v>
      </c>
    </row>
    <row r="1250" spans="1:5" x14ac:dyDescent="0.2">
      <c r="A1250" s="1" t="s">
        <v>1</v>
      </c>
      <c r="B1250" s="1" t="s">
        <v>60</v>
      </c>
      <c r="C1250" s="5">
        <f>DATE(2024, 11, 18) + TIME(13, 18, 42)</f>
        <v>45614.554652777777</v>
      </c>
      <c r="D1250" s="1" t="s">
        <v>506</v>
      </c>
      <c r="E1250" s="1" t="s">
        <v>510</v>
      </c>
    </row>
    <row r="1251" spans="1:5" x14ac:dyDescent="0.2">
      <c r="A1251" s="1" t="s">
        <v>1</v>
      </c>
      <c r="B1251" s="1" t="s">
        <v>323</v>
      </c>
      <c r="C1251" s="5">
        <f>DATE(2024, 11, 18) + TIME(12, 9, 55)</f>
        <v>45614.506886574076</v>
      </c>
      <c r="D1251" s="1" t="s">
        <v>269</v>
      </c>
      <c r="E1251" s="1" t="s">
        <v>79</v>
      </c>
    </row>
    <row r="1252" spans="1:5" x14ac:dyDescent="0.2">
      <c r="A1252" s="1" t="s">
        <v>1</v>
      </c>
      <c r="B1252" s="1" t="s">
        <v>323</v>
      </c>
      <c r="C1252" s="5">
        <f>DATE(2024, 11, 18) + TIME(11, 57, 8)</f>
        <v>45614.49800925926</v>
      </c>
      <c r="D1252" s="1" t="s">
        <v>269</v>
      </c>
      <c r="E1252" s="1" t="s">
        <v>748</v>
      </c>
    </row>
    <row r="1253" spans="1:5" x14ac:dyDescent="0.2">
      <c r="A1253" s="1" t="s">
        <v>1</v>
      </c>
      <c r="B1253" s="1" t="s">
        <v>323</v>
      </c>
      <c r="C1253" s="5">
        <f>DATE(2024, 11, 18) + TIME(11, 53, 54)</f>
        <v>45614.495763888888</v>
      </c>
      <c r="D1253" s="1" t="s">
        <v>754</v>
      </c>
      <c r="E1253" s="1" t="s">
        <v>330</v>
      </c>
    </row>
    <row r="1254" spans="1:5" x14ac:dyDescent="0.2">
      <c r="A1254" s="1" t="s">
        <v>1</v>
      </c>
      <c r="B1254" s="1" t="s">
        <v>323</v>
      </c>
      <c r="C1254" s="5">
        <f>DATE(2024, 11, 14) + TIME(14, 14, 30)</f>
        <v>45610.593402777777</v>
      </c>
      <c r="D1254" s="1" t="s">
        <v>269</v>
      </c>
      <c r="E1254" s="1" t="s">
        <v>748</v>
      </c>
    </row>
    <row r="1255" spans="1:5" x14ac:dyDescent="0.2">
      <c r="A1255" s="1" t="s">
        <v>1</v>
      </c>
      <c r="B1255" s="1" t="s">
        <v>323</v>
      </c>
      <c r="C1255" s="5">
        <f>DATE(2024, 11, 14) + TIME(12, 28, 51)</f>
        <v>45610.52003472222</v>
      </c>
      <c r="D1255" s="1" t="s">
        <v>269</v>
      </c>
      <c r="E1255" s="1" t="s">
        <v>743</v>
      </c>
    </row>
    <row r="1256" spans="1:5" x14ac:dyDescent="0.2">
      <c r="A1256" s="1" t="s">
        <v>1</v>
      </c>
      <c r="B1256" s="1" t="s">
        <v>60</v>
      </c>
      <c r="C1256" s="5">
        <f>DATE(2024, 11, 13) + TIME(14, 27, 50)</f>
        <v>45609.602662037039</v>
      </c>
      <c r="D1256" s="1" t="s">
        <v>396</v>
      </c>
      <c r="E1256" s="1" t="s">
        <v>140</v>
      </c>
    </row>
    <row r="1257" spans="1:5" x14ac:dyDescent="0.2">
      <c r="A1257" s="1" t="s">
        <v>1</v>
      </c>
      <c r="B1257" s="1" t="s">
        <v>139</v>
      </c>
      <c r="C1257" s="5">
        <f>DATE(2024, 11, 13) + TIME(14, 24, 7)</f>
        <v>45609.600081018521</v>
      </c>
      <c r="D1257" s="1" t="s">
        <v>921</v>
      </c>
      <c r="E1257" s="1" t="s">
        <v>474</v>
      </c>
    </row>
    <row r="1258" spans="1:5" x14ac:dyDescent="0.2">
      <c r="A1258" s="1" t="s">
        <v>1</v>
      </c>
      <c r="B1258" s="1" t="s">
        <v>60</v>
      </c>
      <c r="C1258" s="5">
        <f>DATE(2024, 11, 13) + TIME(11, 50, 52)</f>
        <v>45609.493657407409</v>
      </c>
      <c r="D1258" s="1" t="s">
        <v>640</v>
      </c>
      <c r="E1258" s="1" t="s">
        <v>426</v>
      </c>
    </row>
    <row r="1259" spans="1:5" x14ac:dyDescent="0.2">
      <c r="A1259" s="1" t="s">
        <v>1</v>
      </c>
      <c r="B1259" s="1" t="s">
        <v>60</v>
      </c>
      <c r="C1259" s="5">
        <f>DATE(2024, 11, 13) + TIME(11, 2, 13)</f>
        <v>45609.459872685184</v>
      </c>
      <c r="D1259" s="1" t="s">
        <v>506</v>
      </c>
      <c r="E1259" s="1" t="s">
        <v>158</v>
      </c>
    </row>
    <row r="1260" spans="1:5" x14ac:dyDescent="0.2">
      <c r="A1260" s="1" t="s">
        <v>1</v>
      </c>
      <c r="B1260" s="1" t="s">
        <v>60</v>
      </c>
      <c r="C1260" s="5">
        <f>DATE(2024, 11, 12) + TIME(15, 6, 39)</f>
        <v>45608.629618055558</v>
      </c>
      <c r="D1260" s="1" t="s">
        <v>506</v>
      </c>
      <c r="E1260" s="1" t="s">
        <v>83</v>
      </c>
    </row>
    <row r="1261" spans="1:5" x14ac:dyDescent="0.2">
      <c r="A1261" s="1" t="s">
        <v>1</v>
      </c>
      <c r="B1261" s="1" t="s">
        <v>60</v>
      </c>
      <c r="C1261" s="5">
        <f>DATE(2024, 11, 12) + TIME(14, 52, 59)</f>
        <v>45608.620127314818</v>
      </c>
      <c r="D1261" s="1" t="s">
        <v>566</v>
      </c>
      <c r="E1261" s="1" t="s">
        <v>997</v>
      </c>
    </row>
    <row r="1262" spans="1:5" x14ac:dyDescent="0.2">
      <c r="A1262" s="1" t="s">
        <v>1</v>
      </c>
      <c r="B1262" s="1" t="s">
        <v>60</v>
      </c>
      <c r="C1262" s="5">
        <f>DATE(2024, 11, 12) + TIME(14, 9, 19)</f>
        <v>45608.589803240742</v>
      </c>
      <c r="D1262" s="1" t="s">
        <v>3</v>
      </c>
      <c r="E1262" s="1" t="s">
        <v>571</v>
      </c>
    </row>
    <row r="1263" spans="1:5" x14ac:dyDescent="0.2">
      <c r="A1263" s="1" t="s">
        <v>1</v>
      </c>
      <c r="B1263" s="1" t="s">
        <v>60</v>
      </c>
      <c r="C1263" s="5">
        <f>DATE(2024, 11, 12) + TIME(13, 33, 53)</f>
        <v>45608.565196759257</v>
      </c>
      <c r="D1263" s="1" t="s">
        <v>65</v>
      </c>
      <c r="E1263" s="1" t="s">
        <v>227</v>
      </c>
    </row>
    <row r="1264" spans="1:5" x14ac:dyDescent="0.2">
      <c r="A1264" s="1" t="s">
        <v>1</v>
      </c>
      <c r="B1264" s="1" t="s">
        <v>60</v>
      </c>
      <c r="C1264" s="5">
        <f>DATE(2024, 11, 12) + TIME(13, 6, 3)</f>
        <v>45608.545868055553</v>
      </c>
      <c r="D1264" s="1" t="s">
        <v>65</v>
      </c>
      <c r="E1264" s="1" t="s">
        <v>219</v>
      </c>
    </row>
    <row r="1265" spans="1:5" x14ac:dyDescent="0.2">
      <c r="A1265" s="1" t="s">
        <v>1</v>
      </c>
      <c r="B1265" s="1" t="s">
        <v>60</v>
      </c>
      <c r="C1265" s="5">
        <f>DATE(2024, 11, 12) + TIME(12, 17, 48)</f>
        <v>45608.512361111112</v>
      </c>
      <c r="D1265" s="1" t="s">
        <v>65</v>
      </c>
      <c r="E1265" s="1" t="s">
        <v>219</v>
      </c>
    </row>
    <row r="1266" spans="1:5" x14ac:dyDescent="0.2">
      <c r="A1266" s="1" t="s">
        <v>1</v>
      </c>
      <c r="B1266" s="1" t="s">
        <v>60</v>
      </c>
      <c r="C1266" s="5">
        <f>DATE(2024, 11, 12) + TIME(11, 32, 1)</f>
        <v>45608.480567129627</v>
      </c>
      <c r="D1266" s="1" t="s">
        <v>320</v>
      </c>
      <c r="E1266" s="1" t="s">
        <v>687</v>
      </c>
    </row>
    <row r="1267" spans="1:5" x14ac:dyDescent="0.2">
      <c r="A1267" s="1" t="s">
        <v>1</v>
      </c>
      <c r="B1267" s="1" t="s">
        <v>60</v>
      </c>
      <c r="C1267" s="5">
        <f>DATE(2024, 11, 12) + TIME(9, 12, 7)</f>
        <v>45608.383414351854</v>
      </c>
      <c r="D1267" s="1" t="s">
        <v>869</v>
      </c>
      <c r="E1267" s="1" t="s">
        <v>842</v>
      </c>
    </row>
    <row r="1268" spans="1:5" x14ac:dyDescent="0.2">
      <c r="A1268" s="1" t="s">
        <v>1</v>
      </c>
      <c r="B1268" s="1" t="s">
        <v>866</v>
      </c>
      <c r="C1268" s="5">
        <f>DATE(2024, 11, 12) + TIME(9, 12, 6)</f>
        <v>45608.383402777778</v>
      </c>
      <c r="D1268" s="1" t="s">
        <v>869</v>
      </c>
      <c r="E1268" s="1" t="s">
        <v>842</v>
      </c>
    </row>
    <row r="1269" spans="1:5" x14ac:dyDescent="0.2">
      <c r="A1269" s="1" t="s">
        <v>1</v>
      </c>
      <c r="B1269" s="1" t="s">
        <v>323</v>
      </c>
      <c r="C1269" s="5">
        <f>DATE(2024, 11, 11) + TIME(15, 16, 39)</f>
        <v>45607.636562500003</v>
      </c>
      <c r="D1269" s="1" t="s">
        <v>64</v>
      </c>
      <c r="E1269" s="1" t="s">
        <v>630</v>
      </c>
    </row>
    <row r="1270" spans="1:5" x14ac:dyDescent="0.2">
      <c r="A1270" s="1" t="s">
        <v>1</v>
      </c>
      <c r="B1270" s="1" t="s">
        <v>60</v>
      </c>
      <c r="C1270" s="5">
        <f>DATE(2024, 11, 11) + TIME(11, 53, 20)</f>
        <v>45607.495370370372</v>
      </c>
      <c r="D1270" s="1" t="s">
        <v>640</v>
      </c>
      <c r="E1270" s="1" t="s">
        <v>520</v>
      </c>
    </row>
    <row r="1271" spans="1:5" x14ac:dyDescent="0.2">
      <c r="A1271" s="1" t="s">
        <v>1</v>
      </c>
      <c r="B1271" s="1" t="s">
        <v>60</v>
      </c>
      <c r="C1271" s="5">
        <f>DATE(2024, 11, 11) + TIME(11, 44, 30)</f>
        <v>45607.489236111112</v>
      </c>
      <c r="D1271" s="1" t="s">
        <v>216</v>
      </c>
      <c r="E1271" s="1" t="s">
        <v>607</v>
      </c>
    </row>
    <row r="1272" spans="1:5" x14ac:dyDescent="0.2">
      <c r="A1272" s="1" t="s">
        <v>1</v>
      </c>
      <c r="B1272" s="1" t="s">
        <v>60</v>
      </c>
      <c r="C1272" s="5">
        <f>DATE(2024, 11, 11) + TIME(8, 51, 24)</f>
        <v>45607.369027777779</v>
      </c>
      <c r="D1272" s="1" t="s">
        <v>5</v>
      </c>
      <c r="E1272" s="1" t="s">
        <v>405</v>
      </c>
    </row>
    <row r="1273" spans="1:5" x14ac:dyDescent="0.2">
      <c r="A1273" s="1" t="s">
        <v>1</v>
      </c>
      <c r="B1273" s="1" t="s">
        <v>60</v>
      </c>
      <c r="C1273" s="5">
        <f>DATE(2024, 11, 11) + TIME(8, 39, 3)</f>
        <v>45607.360451388886</v>
      </c>
      <c r="D1273" s="1" t="s">
        <v>5</v>
      </c>
      <c r="E1273" s="1" t="s">
        <v>795</v>
      </c>
    </row>
    <row r="1274" spans="1:5" x14ac:dyDescent="0.2">
      <c r="A1274" s="1" t="s">
        <v>1</v>
      </c>
      <c r="B1274" s="1" t="s">
        <v>60</v>
      </c>
      <c r="C1274" s="5">
        <f>DATE(2024, 11, 10) + TIME(10, 48, 48)</f>
        <v>45606.450555555559</v>
      </c>
      <c r="D1274" s="1" t="s">
        <v>65</v>
      </c>
      <c r="E1274" s="1" t="s">
        <v>400</v>
      </c>
    </row>
    <row r="1275" spans="1:5" x14ac:dyDescent="0.2">
      <c r="A1275" s="1" t="s">
        <v>1</v>
      </c>
      <c r="B1275" s="1" t="s">
        <v>60</v>
      </c>
      <c r="C1275" s="5">
        <f>DATE(2024, 11, 7) + TIME(16, 39, 26)</f>
        <v>45603.694050925929</v>
      </c>
      <c r="D1275" s="1" t="s">
        <v>640</v>
      </c>
      <c r="E1275" s="1" t="s">
        <v>520</v>
      </c>
    </row>
    <row r="1276" spans="1:5" x14ac:dyDescent="0.2">
      <c r="A1276" s="1" t="s">
        <v>1</v>
      </c>
      <c r="B1276" s="1" t="s">
        <v>564</v>
      </c>
      <c r="C1276" s="5">
        <f>DATE(2024, 11, 7) + TIME(14, 29, 21)</f>
        <v>45603.603715277779</v>
      </c>
      <c r="D1276" s="1" t="s">
        <v>396</v>
      </c>
      <c r="E1276" s="1" t="s">
        <v>567</v>
      </c>
    </row>
    <row r="1277" spans="1:5" x14ac:dyDescent="0.2">
      <c r="A1277" s="1" t="s">
        <v>1</v>
      </c>
      <c r="B1277" s="1" t="s">
        <v>60</v>
      </c>
      <c r="C1277" s="5">
        <f>DATE(2024, 11, 7) + TIME(13, 53, 19)</f>
        <v>45603.578692129631</v>
      </c>
      <c r="D1277" s="1" t="s">
        <v>396</v>
      </c>
      <c r="E1277" s="1" t="s">
        <v>1086</v>
      </c>
    </row>
    <row r="1278" spans="1:5" x14ac:dyDescent="0.2">
      <c r="A1278" s="1" t="s">
        <v>1</v>
      </c>
      <c r="B1278" s="1" t="s">
        <v>60</v>
      </c>
      <c r="C1278" s="5">
        <f>DATE(2024, 11, 7) + TIME(12, 14, 23)</f>
        <v>45603.509988425925</v>
      </c>
      <c r="D1278" s="1" t="s">
        <v>5</v>
      </c>
      <c r="E1278" s="1" t="s">
        <v>763</v>
      </c>
    </row>
    <row r="1279" spans="1:5" x14ac:dyDescent="0.2">
      <c r="A1279" s="1" t="s">
        <v>1</v>
      </c>
      <c r="B1279" s="1" t="s">
        <v>272</v>
      </c>
      <c r="C1279" s="5">
        <f>DATE(2024, 11, 7) + TIME(11, 44, 49)</f>
        <v>45603.48945601852</v>
      </c>
      <c r="D1279" s="1" t="s">
        <v>450</v>
      </c>
      <c r="E1279" s="1" t="s">
        <v>345</v>
      </c>
    </row>
    <row r="1280" spans="1:5" x14ac:dyDescent="0.2">
      <c r="A1280" s="1" t="s">
        <v>1</v>
      </c>
      <c r="B1280" s="1" t="s">
        <v>866</v>
      </c>
      <c r="C1280" s="5">
        <f>DATE(2024, 11, 7) + TIME(11, 44, 22)</f>
        <v>45603.48914351852</v>
      </c>
      <c r="D1280" s="1" t="s">
        <v>450</v>
      </c>
      <c r="E1280" s="1" t="s">
        <v>691</v>
      </c>
    </row>
    <row r="1281" spans="1:5" x14ac:dyDescent="0.2">
      <c r="A1281" s="1" t="s">
        <v>1</v>
      </c>
      <c r="B1281" s="1" t="s">
        <v>713</v>
      </c>
      <c r="C1281" s="5">
        <f>DATE(2024, 11, 7) + TIME(10, 10, 25)</f>
        <v>45603.423900462964</v>
      </c>
      <c r="D1281" s="1" t="s">
        <v>65</v>
      </c>
      <c r="E1281" s="1" t="s">
        <v>615</v>
      </c>
    </row>
    <row r="1282" spans="1:5" x14ac:dyDescent="0.2">
      <c r="A1282" s="1" t="s">
        <v>1</v>
      </c>
      <c r="B1282" s="1" t="s">
        <v>60</v>
      </c>
      <c r="C1282" s="5">
        <f>DATE(2024, 11, 6) + TIME(16, 13, 9)</f>
        <v>45602.675798611112</v>
      </c>
      <c r="D1282" s="1" t="s">
        <v>506</v>
      </c>
      <c r="E1282" s="1" t="s">
        <v>158</v>
      </c>
    </row>
    <row r="1283" spans="1:5" x14ac:dyDescent="0.2">
      <c r="A1283" s="1" t="s">
        <v>1</v>
      </c>
      <c r="B1283" s="1" t="s">
        <v>60</v>
      </c>
      <c r="C1283" s="5">
        <f>DATE(2024, 11, 6) + TIME(14, 19, 22)</f>
        <v>45602.596782407411</v>
      </c>
      <c r="D1283" s="1" t="s">
        <v>731</v>
      </c>
      <c r="E1283" s="1" t="s">
        <v>536</v>
      </c>
    </row>
    <row r="1284" spans="1:5" x14ac:dyDescent="0.2">
      <c r="A1284" s="1" t="s">
        <v>1</v>
      </c>
      <c r="B1284" s="1" t="s">
        <v>60</v>
      </c>
      <c r="C1284" s="5">
        <f>DATE(2024, 11, 6) + TIME(14, 9, 5)</f>
        <v>45602.589641203704</v>
      </c>
      <c r="D1284" s="1" t="s">
        <v>64</v>
      </c>
      <c r="E1284" s="1" t="s">
        <v>11</v>
      </c>
    </row>
    <row r="1285" spans="1:5" x14ac:dyDescent="0.2">
      <c r="A1285" s="1" t="s">
        <v>1</v>
      </c>
      <c r="B1285" s="1" t="s">
        <v>60</v>
      </c>
      <c r="C1285" s="5">
        <f>DATE(2024, 11, 6) + TIME(13, 43, 56)</f>
        <v>45602.572175925925</v>
      </c>
      <c r="D1285" s="1" t="s">
        <v>320</v>
      </c>
      <c r="E1285" s="1" t="s">
        <v>2</v>
      </c>
    </row>
    <row r="1286" spans="1:5" x14ac:dyDescent="0.2">
      <c r="A1286" s="1" t="s">
        <v>1</v>
      </c>
      <c r="B1286" s="1" t="s">
        <v>323</v>
      </c>
      <c r="C1286" s="5">
        <f>DATE(2024, 11, 5) + TIME(16, 14, 19)</f>
        <v>45601.676608796297</v>
      </c>
      <c r="D1286" s="1" t="s">
        <v>64</v>
      </c>
      <c r="E1286" s="1" t="s">
        <v>889</v>
      </c>
    </row>
    <row r="1287" spans="1:5" x14ac:dyDescent="0.2">
      <c r="A1287" s="1" t="s">
        <v>1</v>
      </c>
      <c r="B1287" s="1" t="s">
        <v>60</v>
      </c>
      <c r="C1287" s="5">
        <f>DATE(2024, 11, 5) + TIME(15, 53, 29)</f>
        <v>45601.662141203706</v>
      </c>
      <c r="D1287" s="1" t="s">
        <v>731</v>
      </c>
      <c r="E1287" s="1" t="s">
        <v>1128</v>
      </c>
    </row>
    <row r="1288" spans="1:5" x14ac:dyDescent="0.2">
      <c r="A1288" s="1" t="s">
        <v>1</v>
      </c>
      <c r="B1288" s="1" t="s">
        <v>60</v>
      </c>
      <c r="C1288" s="5">
        <f>DATE(2024, 11, 5) + TIME(15, 43, 0)</f>
        <v>45601.654861111114</v>
      </c>
      <c r="D1288" s="1" t="s">
        <v>863</v>
      </c>
      <c r="E1288" s="1" t="s">
        <v>170</v>
      </c>
    </row>
    <row r="1289" spans="1:5" x14ac:dyDescent="0.2">
      <c r="A1289" s="1" t="s">
        <v>1</v>
      </c>
      <c r="B1289" s="1" t="s">
        <v>60</v>
      </c>
      <c r="C1289" s="5">
        <f>DATE(2024, 11, 5) + TIME(13, 19, 13)</f>
        <v>45601.555011574077</v>
      </c>
      <c r="D1289" s="1" t="s">
        <v>65</v>
      </c>
      <c r="E1289" s="1" t="s">
        <v>227</v>
      </c>
    </row>
    <row r="1290" spans="1:5" x14ac:dyDescent="0.2">
      <c r="A1290" s="1" t="s">
        <v>1</v>
      </c>
      <c r="B1290" s="1" t="s">
        <v>60</v>
      </c>
      <c r="C1290" s="5">
        <f>DATE(2024, 11, 5) + TIME(13, 10, 27)</f>
        <v>45601.54892361111</v>
      </c>
      <c r="D1290" s="1" t="s">
        <v>148</v>
      </c>
      <c r="E1290" s="1" t="s">
        <v>361</v>
      </c>
    </row>
    <row r="1291" spans="1:5" x14ac:dyDescent="0.2">
      <c r="A1291" s="1" t="s">
        <v>1</v>
      </c>
      <c r="B1291" s="1" t="s">
        <v>60</v>
      </c>
      <c r="C1291" s="5">
        <f>DATE(2024, 11, 5) + TIME(12, 44, 2)</f>
        <v>45601.530578703707</v>
      </c>
      <c r="D1291" s="1" t="s">
        <v>640</v>
      </c>
      <c r="E1291" s="1" t="s">
        <v>55</v>
      </c>
    </row>
    <row r="1292" spans="1:5" x14ac:dyDescent="0.2">
      <c r="A1292" s="1" t="s">
        <v>1</v>
      </c>
      <c r="B1292" s="1" t="s">
        <v>60</v>
      </c>
      <c r="C1292" s="5">
        <f>DATE(2024, 11, 5) + TIME(11, 38, 54)</f>
        <v>45601.485347222224</v>
      </c>
      <c r="D1292" s="1" t="s">
        <v>566</v>
      </c>
      <c r="E1292" s="1" t="s">
        <v>997</v>
      </c>
    </row>
    <row r="1293" spans="1:5" x14ac:dyDescent="0.2">
      <c r="A1293" s="1" t="s">
        <v>1</v>
      </c>
      <c r="B1293" s="1" t="s">
        <v>866</v>
      </c>
      <c r="C1293" s="5">
        <f>DATE(2024, 11, 5) + TIME(11, 22, 13)</f>
        <v>45601.473761574074</v>
      </c>
      <c r="D1293" s="1" t="s">
        <v>869</v>
      </c>
      <c r="E1293" s="1" t="s">
        <v>327</v>
      </c>
    </row>
    <row r="1294" spans="1:5" x14ac:dyDescent="0.2">
      <c r="A1294" s="1" t="s">
        <v>1</v>
      </c>
      <c r="B1294" s="1" t="s">
        <v>60</v>
      </c>
      <c r="C1294" s="5">
        <f>DATE(2024, 11, 5) + TIME(11, 22, 13)</f>
        <v>45601.473761574074</v>
      </c>
      <c r="D1294" s="1" t="s">
        <v>869</v>
      </c>
      <c r="E1294" s="1" t="s">
        <v>327</v>
      </c>
    </row>
    <row r="1295" spans="1:5" x14ac:dyDescent="0.2">
      <c r="A1295" s="1" t="s">
        <v>1</v>
      </c>
      <c r="B1295" s="1" t="s">
        <v>60</v>
      </c>
      <c r="C1295" s="5">
        <f>DATE(2024, 11, 5) + TIME(9, 18, 43)</f>
        <v>45601.387997685182</v>
      </c>
      <c r="D1295" s="1" t="s">
        <v>869</v>
      </c>
      <c r="E1295" s="1" t="s">
        <v>842</v>
      </c>
    </row>
    <row r="1296" spans="1:5" x14ac:dyDescent="0.2">
      <c r="A1296" s="1" t="s">
        <v>1</v>
      </c>
      <c r="B1296" s="1" t="s">
        <v>866</v>
      </c>
      <c r="C1296" s="5">
        <f>DATE(2024, 11, 5) + TIME(9, 18, 43)</f>
        <v>45601.387997685182</v>
      </c>
      <c r="D1296" s="1" t="s">
        <v>869</v>
      </c>
      <c r="E1296" s="1" t="s">
        <v>842</v>
      </c>
    </row>
    <row r="1297" spans="1:5" x14ac:dyDescent="0.2">
      <c r="A1297" s="1" t="s">
        <v>1</v>
      </c>
      <c r="B1297" s="1" t="s">
        <v>60</v>
      </c>
      <c r="C1297" s="5">
        <f>DATE(2024, 11, 4) + TIME(13, 37, 6)</f>
        <v>45600.567430555559</v>
      </c>
      <c r="D1297" s="1" t="s">
        <v>320</v>
      </c>
      <c r="E1297" s="1" t="s">
        <v>214</v>
      </c>
    </row>
    <row r="1298" spans="1:5" x14ac:dyDescent="0.2">
      <c r="A1298" s="1" t="s">
        <v>1</v>
      </c>
      <c r="B1298" s="1" t="s">
        <v>323</v>
      </c>
      <c r="C1298" s="5">
        <f>DATE(2024, 11, 4) + TIME(11, 42, 20)</f>
        <v>45600.48773148148</v>
      </c>
      <c r="D1298" s="1" t="s">
        <v>269</v>
      </c>
      <c r="E1298" s="1" t="s">
        <v>299</v>
      </c>
    </row>
    <row r="1299" spans="1:5" x14ac:dyDescent="0.2">
      <c r="A1299" s="1" t="s">
        <v>1</v>
      </c>
      <c r="B1299" s="1" t="s">
        <v>60</v>
      </c>
      <c r="C1299" s="5">
        <f>DATE(2024, 11, 4) + TIME(11, 25, 32)</f>
        <v>45600.476064814815</v>
      </c>
      <c r="D1299" s="1" t="s">
        <v>3</v>
      </c>
      <c r="E1299" s="1" t="s">
        <v>168</v>
      </c>
    </row>
    <row r="1300" spans="1:5" x14ac:dyDescent="0.2">
      <c r="A1300" s="1" t="s">
        <v>1</v>
      </c>
      <c r="B1300" s="1" t="s">
        <v>60</v>
      </c>
      <c r="C1300" s="5">
        <f>DATE(2024, 11, 4) + TIME(11, 6, 9)</f>
        <v>45600.462604166663</v>
      </c>
      <c r="D1300" s="1" t="s">
        <v>320</v>
      </c>
      <c r="E1300" s="1" t="s">
        <v>948</v>
      </c>
    </row>
    <row r="1301" spans="1:5" x14ac:dyDescent="0.2">
      <c r="A1301" s="1" t="s">
        <v>1</v>
      </c>
      <c r="B1301" s="1" t="s">
        <v>60</v>
      </c>
      <c r="C1301" s="5">
        <f>DATE(2024, 10, 31) + TIME(15, 59, 59)</f>
        <v>45596.666655092595</v>
      </c>
      <c r="D1301" s="1" t="s">
        <v>5</v>
      </c>
      <c r="E1301" s="1" t="s">
        <v>763</v>
      </c>
    </row>
    <row r="1302" spans="1:5" x14ac:dyDescent="0.2">
      <c r="A1302" s="1" t="s">
        <v>1</v>
      </c>
      <c r="B1302" s="1" t="s">
        <v>1135</v>
      </c>
      <c r="C1302" s="5">
        <f>DATE(2024, 10, 31) + TIME(15, 11, 10)</f>
        <v>45596.632754629631</v>
      </c>
      <c r="D1302" s="1" t="s">
        <v>269</v>
      </c>
      <c r="E1302" s="1" t="s">
        <v>339</v>
      </c>
    </row>
    <row r="1303" spans="1:5" x14ac:dyDescent="0.2">
      <c r="A1303" s="1" t="s">
        <v>1</v>
      </c>
      <c r="B1303" s="1" t="s">
        <v>271</v>
      </c>
      <c r="C1303" s="5">
        <f>DATE(2024, 10, 31) + TIME(14, 12, 56)</f>
        <v>45596.592314814814</v>
      </c>
      <c r="D1303" s="1" t="s">
        <v>396</v>
      </c>
      <c r="E1303" s="1" t="s">
        <v>1086</v>
      </c>
    </row>
    <row r="1304" spans="1:5" x14ac:dyDescent="0.2">
      <c r="A1304" s="1" t="s">
        <v>1</v>
      </c>
      <c r="B1304" s="1" t="s">
        <v>60</v>
      </c>
      <c r="C1304" s="5">
        <f>DATE(2024, 10, 31) + TIME(12, 17, 1)</f>
        <v>45596.511817129627</v>
      </c>
      <c r="D1304" s="1" t="s">
        <v>638</v>
      </c>
      <c r="E1304" s="1" t="s">
        <v>362</v>
      </c>
    </row>
    <row r="1305" spans="1:5" x14ac:dyDescent="0.2">
      <c r="A1305" s="1" t="s">
        <v>1</v>
      </c>
      <c r="B1305" s="1" t="s">
        <v>60</v>
      </c>
      <c r="C1305" s="5">
        <f>DATE(2024, 10, 31) + TIME(12, 16, 26)</f>
        <v>45596.511412037034</v>
      </c>
      <c r="D1305" s="1" t="s">
        <v>638</v>
      </c>
      <c r="E1305" s="1" t="s">
        <v>1136</v>
      </c>
    </row>
    <row r="1306" spans="1:5" x14ac:dyDescent="0.2">
      <c r="A1306" s="1" t="s">
        <v>1</v>
      </c>
      <c r="B1306" s="1" t="s">
        <v>60</v>
      </c>
      <c r="C1306" s="5">
        <f>DATE(2024, 10, 31) + TIME(12, 15, 55)</f>
        <v>45596.511053240742</v>
      </c>
      <c r="D1306" s="1" t="s">
        <v>638</v>
      </c>
      <c r="E1306" s="1" t="s">
        <v>1062</v>
      </c>
    </row>
    <row r="1307" spans="1:5" x14ac:dyDescent="0.2">
      <c r="A1307" s="1" t="s">
        <v>1</v>
      </c>
      <c r="B1307" s="1" t="s">
        <v>60</v>
      </c>
      <c r="C1307" s="5">
        <f>DATE(2024, 10, 31) + TIME(12, 15, 20)</f>
        <v>45596.510648148149</v>
      </c>
      <c r="D1307" s="1" t="s">
        <v>638</v>
      </c>
      <c r="E1307" s="1" t="s">
        <v>147</v>
      </c>
    </row>
    <row r="1308" spans="1:5" x14ac:dyDescent="0.2">
      <c r="A1308" s="1" t="s">
        <v>1</v>
      </c>
      <c r="B1308" s="1" t="s">
        <v>60</v>
      </c>
      <c r="C1308" s="5">
        <f>DATE(2024, 10, 31) + TIME(12, 14, 52)</f>
        <v>45596.510324074072</v>
      </c>
      <c r="D1308" s="1" t="s">
        <v>638</v>
      </c>
      <c r="E1308" s="1" t="s">
        <v>397</v>
      </c>
    </row>
    <row r="1309" spans="1:5" x14ac:dyDescent="0.2">
      <c r="A1309" s="1" t="s">
        <v>1</v>
      </c>
      <c r="B1309" s="1" t="s">
        <v>60</v>
      </c>
      <c r="C1309" s="5">
        <f>DATE(2024, 10, 31) + TIME(12, 14, 16)</f>
        <v>45596.50990740741</v>
      </c>
      <c r="D1309" s="1" t="s">
        <v>638</v>
      </c>
      <c r="E1309" s="1" t="s">
        <v>940</v>
      </c>
    </row>
    <row r="1310" spans="1:5" x14ac:dyDescent="0.2">
      <c r="A1310" s="1" t="s">
        <v>1</v>
      </c>
      <c r="B1310" s="1" t="s">
        <v>60</v>
      </c>
      <c r="C1310" s="5">
        <f>DATE(2024, 10, 31) + TIME(11, 34, 47)</f>
        <v>45596.482488425929</v>
      </c>
      <c r="D1310" s="1" t="s">
        <v>216</v>
      </c>
      <c r="E1310" s="1" t="s">
        <v>372</v>
      </c>
    </row>
    <row r="1311" spans="1:5" x14ac:dyDescent="0.2">
      <c r="A1311" s="1" t="s">
        <v>1</v>
      </c>
      <c r="B1311" s="1" t="s">
        <v>60</v>
      </c>
      <c r="C1311" s="5">
        <f>DATE(2024, 10, 31) + TIME(10, 16, 51)</f>
        <v>45596.428368055553</v>
      </c>
      <c r="D1311" s="1" t="s">
        <v>356</v>
      </c>
      <c r="E1311" s="1" t="s">
        <v>340</v>
      </c>
    </row>
    <row r="1312" spans="1:5" x14ac:dyDescent="0.2">
      <c r="A1312" s="1" t="s">
        <v>1</v>
      </c>
      <c r="B1312" s="1" t="s">
        <v>139</v>
      </c>
      <c r="C1312" s="5">
        <f>DATE(2024, 10, 30) + TIME(13, 58, 47)</f>
        <v>45595.582488425927</v>
      </c>
      <c r="D1312" s="1" t="s">
        <v>3</v>
      </c>
      <c r="E1312" s="1" t="s">
        <v>936</v>
      </c>
    </row>
    <row r="1313" spans="1:5" x14ac:dyDescent="0.2">
      <c r="A1313" s="1" t="s">
        <v>1</v>
      </c>
      <c r="B1313" s="1" t="s">
        <v>60</v>
      </c>
      <c r="C1313" s="5">
        <f>DATE(2024, 10, 30) + TIME(13, 18, 25)</f>
        <v>45595.554456018515</v>
      </c>
      <c r="D1313" s="1" t="s">
        <v>216</v>
      </c>
      <c r="E1313" s="1" t="s">
        <v>321</v>
      </c>
    </row>
    <row r="1314" spans="1:5" x14ac:dyDescent="0.2">
      <c r="A1314" s="1" t="s">
        <v>1</v>
      </c>
      <c r="B1314" s="1" t="s">
        <v>60</v>
      </c>
      <c r="C1314" s="5">
        <f>DATE(2024, 10, 30) + TIME(11, 6, 23)</f>
        <v>45595.462766203702</v>
      </c>
      <c r="D1314" s="1" t="s">
        <v>396</v>
      </c>
      <c r="E1314" s="1" t="s">
        <v>1009</v>
      </c>
    </row>
    <row r="1315" spans="1:5" x14ac:dyDescent="0.2">
      <c r="A1315" s="1" t="s">
        <v>1</v>
      </c>
      <c r="B1315" s="1" t="s">
        <v>60</v>
      </c>
      <c r="C1315" s="5">
        <f>DATE(2024, 10, 30) + TIME(11, 5, 30)</f>
        <v>45595.462152777778</v>
      </c>
      <c r="D1315" s="1" t="s">
        <v>396</v>
      </c>
      <c r="E1315" s="1" t="s">
        <v>507</v>
      </c>
    </row>
    <row r="1316" spans="1:5" x14ac:dyDescent="0.2">
      <c r="A1316" s="1" t="s">
        <v>1</v>
      </c>
      <c r="B1316" s="1" t="s">
        <v>60</v>
      </c>
      <c r="C1316" s="5">
        <f>DATE(2024, 10, 29) + TIME(16, 27, 10)</f>
        <v>45594.685532407406</v>
      </c>
      <c r="D1316" s="1" t="s">
        <v>148</v>
      </c>
      <c r="E1316" s="1" t="s">
        <v>877</v>
      </c>
    </row>
    <row r="1317" spans="1:5" x14ac:dyDescent="0.2">
      <c r="A1317" s="1" t="s">
        <v>1</v>
      </c>
      <c r="B1317" s="1" t="s">
        <v>60</v>
      </c>
      <c r="C1317" s="5">
        <f>DATE(2024, 10, 29) + TIME(16, 13, 50)</f>
        <v>45594.67627314815</v>
      </c>
      <c r="D1317" s="1" t="s">
        <v>64</v>
      </c>
      <c r="E1317" s="1" t="s">
        <v>889</v>
      </c>
    </row>
    <row r="1318" spans="1:5" x14ac:dyDescent="0.2">
      <c r="A1318" s="1" t="s">
        <v>1</v>
      </c>
      <c r="B1318" s="1" t="s">
        <v>60</v>
      </c>
      <c r="C1318" s="5">
        <f>DATE(2024, 10, 29) + TIME(14, 23, 5)</f>
        <v>45594.599363425928</v>
      </c>
      <c r="D1318" s="1" t="s">
        <v>126</v>
      </c>
      <c r="E1318" s="1" t="s">
        <v>143</v>
      </c>
    </row>
    <row r="1319" spans="1:5" x14ac:dyDescent="0.2">
      <c r="A1319" s="1" t="s">
        <v>1</v>
      </c>
      <c r="B1319" s="1" t="s">
        <v>60</v>
      </c>
      <c r="C1319" s="5">
        <f>DATE(2024, 10, 29) + TIME(14, 7, 35)</f>
        <v>45594.588599537034</v>
      </c>
      <c r="D1319" s="1" t="s">
        <v>320</v>
      </c>
      <c r="E1319" s="1" t="s">
        <v>214</v>
      </c>
    </row>
    <row r="1320" spans="1:5" x14ac:dyDescent="0.2">
      <c r="A1320" s="1" t="s">
        <v>1</v>
      </c>
      <c r="B1320" s="1" t="s">
        <v>60</v>
      </c>
      <c r="C1320" s="5">
        <f>DATE(2024, 10, 29) + TIME(13, 36, 44)</f>
        <v>45594.567175925928</v>
      </c>
      <c r="D1320" s="1" t="s">
        <v>3</v>
      </c>
      <c r="E1320" s="1" t="s">
        <v>571</v>
      </c>
    </row>
    <row r="1321" spans="1:5" x14ac:dyDescent="0.2">
      <c r="A1321" s="1" t="s">
        <v>1</v>
      </c>
      <c r="B1321" s="1" t="s">
        <v>866</v>
      </c>
      <c r="C1321" s="5">
        <f>DATE(2024, 10, 29) + TIME(9, 38, 30)</f>
        <v>45594.401736111111</v>
      </c>
      <c r="D1321" s="1" t="s">
        <v>869</v>
      </c>
      <c r="E1321" s="1" t="s">
        <v>842</v>
      </c>
    </row>
    <row r="1322" spans="1:5" x14ac:dyDescent="0.2">
      <c r="A1322" s="1" t="s">
        <v>1</v>
      </c>
      <c r="B1322" s="1" t="s">
        <v>60</v>
      </c>
      <c r="C1322" s="5">
        <f>DATE(2024, 10, 29) + TIME(9, 38, 30)</f>
        <v>45594.401736111111</v>
      </c>
      <c r="D1322" s="1" t="s">
        <v>869</v>
      </c>
      <c r="E1322" s="1" t="s">
        <v>842</v>
      </c>
    </row>
    <row r="1323" spans="1:5" x14ac:dyDescent="0.2">
      <c r="A1323" s="1" t="s">
        <v>1</v>
      </c>
      <c r="B1323" s="1" t="s">
        <v>60</v>
      </c>
      <c r="C1323" s="5">
        <f>DATE(2024, 10, 29) + TIME(9, 21, 7)</f>
        <v>45594.389664351853</v>
      </c>
      <c r="D1323" s="1" t="s">
        <v>869</v>
      </c>
      <c r="E1323" s="1" t="s">
        <v>830</v>
      </c>
    </row>
    <row r="1324" spans="1:5" x14ac:dyDescent="0.2">
      <c r="A1324" s="1" t="s">
        <v>1</v>
      </c>
      <c r="B1324" s="1" t="s">
        <v>60</v>
      </c>
      <c r="C1324" s="5">
        <f>DATE(2024, 10, 28) + TIME(16, 5, 35)</f>
        <v>45593.670543981483</v>
      </c>
      <c r="D1324" s="1" t="s">
        <v>216</v>
      </c>
      <c r="E1324" s="1" t="s">
        <v>607</v>
      </c>
    </row>
    <row r="1325" spans="1:5" x14ac:dyDescent="0.2">
      <c r="A1325" s="1" t="s">
        <v>1</v>
      </c>
      <c r="B1325" s="1" t="s">
        <v>60</v>
      </c>
      <c r="C1325" s="5">
        <f>DATE(2024, 10, 28) + TIME(13, 43, 4)</f>
        <v>45593.571574074071</v>
      </c>
      <c r="D1325" s="1" t="s">
        <v>144</v>
      </c>
      <c r="E1325" s="1" t="s">
        <v>695</v>
      </c>
    </row>
    <row r="1326" spans="1:5" x14ac:dyDescent="0.2">
      <c r="A1326" s="1" t="s">
        <v>1</v>
      </c>
      <c r="B1326" s="1" t="s">
        <v>323</v>
      </c>
      <c r="C1326" s="5">
        <f>DATE(2024, 10, 28) + TIME(13, 41, 48)</f>
        <v>45593.570694444446</v>
      </c>
      <c r="D1326" s="1" t="s">
        <v>269</v>
      </c>
      <c r="E1326" s="1" t="s">
        <v>748</v>
      </c>
    </row>
    <row r="1327" spans="1:5" x14ac:dyDescent="0.2">
      <c r="A1327" s="1" t="s">
        <v>1</v>
      </c>
      <c r="B1327" s="1" t="s">
        <v>60</v>
      </c>
      <c r="C1327" s="5">
        <f>DATE(2024, 10, 28) + TIME(13, 1, 13)</f>
        <v>45593.542511574073</v>
      </c>
      <c r="D1327" s="1" t="s">
        <v>566</v>
      </c>
      <c r="E1327" s="1" t="s">
        <v>865</v>
      </c>
    </row>
    <row r="1328" spans="1:5" x14ac:dyDescent="0.2">
      <c r="A1328" s="1" t="s">
        <v>1</v>
      </c>
      <c r="B1328" s="1" t="s">
        <v>1146</v>
      </c>
      <c r="C1328" s="5">
        <f>DATE(2024, 10, 28) + TIME(10, 26, 37)</f>
        <v>45593.435150462959</v>
      </c>
      <c r="D1328" s="1" t="s">
        <v>754</v>
      </c>
      <c r="E1328" s="1" t="s">
        <v>941</v>
      </c>
    </row>
    <row r="1329" spans="1:5" x14ac:dyDescent="0.2">
      <c r="A1329" s="1" t="s">
        <v>1</v>
      </c>
      <c r="B1329" s="1" t="s">
        <v>60</v>
      </c>
      <c r="C1329" s="5">
        <f>DATE(2024, 10, 28) + TIME(10, 22, 42)</f>
        <v>45593.432430555556</v>
      </c>
      <c r="D1329" s="1" t="s">
        <v>3</v>
      </c>
      <c r="E1329" s="1" t="s">
        <v>168</v>
      </c>
    </row>
    <row r="1330" spans="1:5" x14ac:dyDescent="0.2">
      <c r="A1330" s="1" t="s">
        <v>1</v>
      </c>
      <c r="B1330" s="1" t="s">
        <v>60</v>
      </c>
      <c r="C1330" s="5">
        <f>DATE(2024, 10, 24) + TIME(15, 23, 14)</f>
        <v>45589.641134259262</v>
      </c>
      <c r="D1330" s="1" t="s">
        <v>638</v>
      </c>
      <c r="E1330" s="1" t="s">
        <v>397</v>
      </c>
    </row>
    <row r="1331" spans="1:5" x14ac:dyDescent="0.2">
      <c r="A1331" s="1" t="s">
        <v>1</v>
      </c>
      <c r="B1331" s="1" t="s">
        <v>60</v>
      </c>
      <c r="C1331" s="5">
        <f>DATE(2024, 10, 24) + TIME(14, 54, 14)</f>
        <v>45589.620995370373</v>
      </c>
      <c r="D1331" s="1" t="s">
        <v>640</v>
      </c>
      <c r="E1331" s="1" t="s">
        <v>32</v>
      </c>
    </row>
    <row r="1332" spans="1:5" x14ac:dyDescent="0.2">
      <c r="A1332" s="1" t="s">
        <v>1</v>
      </c>
      <c r="B1332" s="1" t="s">
        <v>323</v>
      </c>
      <c r="C1332" s="5">
        <f>DATE(2024, 10, 24) + TIME(14, 39, 4)</f>
        <v>45589.610462962963</v>
      </c>
      <c r="D1332" s="1" t="s">
        <v>506</v>
      </c>
      <c r="E1332" s="1" t="s">
        <v>697</v>
      </c>
    </row>
    <row r="1333" spans="1:5" x14ac:dyDescent="0.2">
      <c r="A1333" s="1" t="s">
        <v>1</v>
      </c>
      <c r="B1333" s="1" t="s">
        <v>60</v>
      </c>
      <c r="C1333" s="5">
        <f>DATE(2024, 10, 24) + TIME(14, 38, 30)</f>
        <v>45589.610069444447</v>
      </c>
      <c r="D1333" s="1" t="s">
        <v>506</v>
      </c>
      <c r="E1333" s="1" t="s">
        <v>709</v>
      </c>
    </row>
    <row r="1334" spans="1:5" x14ac:dyDescent="0.2">
      <c r="A1334" s="1" t="s">
        <v>1</v>
      </c>
      <c r="B1334" s="1" t="s">
        <v>60</v>
      </c>
      <c r="C1334" s="5">
        <f>DATE(2024, 10, 24) + TIME(14, 36, 46)</f>
        <v>45589.608865740738</v>
      </c>
      <c r="D1334" s="1" t="s">
        <v>506</v>
      </c>
      <c r="E1334" s="1" t="s">
        <v>808</v>
      </c>
    </row>
    <row r="1335" spans="1:5" x14ac:dyDescent="0.2">
      <c r="A1335" s="1" t="s">
        <v>1</v>
      </c>
      <c r="B1335" s="1" t="s">
        <v>60</v>
      </c>
      <c r="C1335" s="5">
        <f>DATE(2024, 10, 24) + TIME(14, 36, 19)</f>
        <v>45589.608553240738</v>
      </c>
      <c r="D1335" s="1" t="s">
        <v>506</v>
      </c>
      <c r="E1335" s="1" t="s">
        <v>370</v>
      </c>
    </row>
    <row r="1336" spans="1:5" x14ac:dyDescent="0.2">
      <c r="A1336" s="1" t="s">
        <v>1</v>
      </c>
      <c r="B1336" s="1" t="s">
        <v>60</v>
      </c>
      <c r="C1336" s="5">
        <f>DATE(2024, 10, 24) + TIME(13, 9, 40)</f>
        <v>45589.548379629632</v>
      </c>
      <c r="D1336" s="1" t="s">
        <v>396</v>
      </c>
      <c r="E1336" s="1" t="s">
        <v>1086</v>
      </c>
    </row>
    <row r="1337" spans="1:5" x14ac:dyDescent="0.2">
      <c r="A1337" s="1" t="s">
        <v>1</v>
      </c>
      <c r="B1337" s="1" t="s">
        <v>60</v>
      </c>
      <c r="C1337" s="5">
        <f>DATE(2024, 10, 24) + TIME(12, 13, 9)</f>
        <v>45589.509131944447</v>
      </c>
      <c r="D1337" s="1" t="s">
        <v>506</v>
      </c>
      <c r="E1337" s="1" t="s">
        <v>808</v>
      </c>
    </row>
    <row r="1338" spans="1:5" x14ac:dyDescent="0.2">
      <c r="A1338" s="1" t="s">
        <v>1</v>
      </c>
      <c r="B1338" s="1" t="s">
        <v>60</v>
      </c>
      <c r="C1338" s="5">
        <f>DATE(2024, 10, 24) + TIME(11, 54, 20)</f>
        <v>45589.496064814812</v>
      </c>
      <c r="D1338" s="1" t="s">
        <v>640</v>
      </c>
      <c r="E1338" s="1" t="s">
        <v>283</v>
      </c>
    </row>
    <row r="1339" spans="1:5" x14ac:dyDescent="0.2">
      <c r="A1339" s="1" t="s">
        <v>1</v>
      </c>
      <c r="B1339" s="1" t="s">
        <v>60</v>
      </c>
      <c r="C1339" s="5">
        <f>DATE(2024, 10, 24) + TIME(11, 45, 18)</f>
        <v>45589.489791666667</v>
      </c>
      <c r="D1339" s="1" t="s">
        <v>506</v>
      </c>
      <c r="E1339" s="1" t="s">
        <v>6</v>
      </c>
    </row>
    <row r="1340" spans="1:5" x14ac:dyDescent="0.2">
      <c r="A1340" s="1" t="s">
        <v>1</v>
      </c>
      <c r="B1340" s="1" t="s">
        <v>866</v>
      </c>
      <c r="C1340" s="5">
        <f>DATE(2024, 10, 24) + TIME(10, 50, 36)</f>
        <v>45589.451805555553</v>
      </c>
      <c r="D1340" s="1" t="s">
        <v>450</v>
      </c>
      <c r="E1340" s="1" t="s">
        <v>691</v>
      </c>
    </row>
    <row r="1341" spans="1:5" x14ac:dyDescent="0.2">
      <c r="A1341" s="1" t="s">
        <v>1</v>
      </c>
      <c r="B1341" s="1" t="s">
        <v>1146</v>
      </c>
      <c r="C1341" s="5">
        <f>DATE(2024, 10, 24) + TIME(10, 29, 27)</f>
        <v>45589.437118055554</v>
      </c>
      <c r="D1341" s="1" t="s">
        <v>754</v>
      </c>
      <c r="E1341" s="1" t="s">
        <v>330</v>
      </c>
    </row>
    <row r="1342" spans="1:5" x14ac:dyDescent="0.2">
      <c r="A1342" s="1" t="s">
        <v>1</v>
      </c>
      <c r="B1342" s="1" t="s">
        <v>60</v>
      </c>
      <c r="C1342" s="5">
        <f>DATE(2024, 10, 23) + TIME(15, 43, 21)</f>
        <v>45588.655104166668</v>
      </c>
      <c r="D1342" s="1" t="s">
        <v>64</v>
      </c>
      <c r="E1342" s="1" t="s">
        <v>213</v>
      </c>
    </row>
    <row r="1343" spans="1:5" x14ac:dyDescent="0.2">
      <c r="A1343" s="1" t="s">
        <v>1</v>
      </c>
      <c r="B1343" s="1" t="s">
        <v>60</v>
      </c>
      <c r="C1343" s="5">
        <f>DATE(2024, 10, 23) + TIME(15, 11, 41)</f>
        <v>45588.633113425924</v>
      </c>
      <c r="D1343" s="1" t="s">
        <v>638</v>
      </c>
      <c r="E1343" s="1" t="s">
        <v>1136</v>
      </c>
    </row>
    <row r="1344" spans="1:5" x14ac:dyDescent="0.2">
      <c r="A1344" s="1" t="s">
        <v>1</v>
      </c>
      <c r="B1344" s="1" t="s">
        <v>60</v>
      </c>
      <c r="C1344" s="5">
        <f>DATE(2024, 10, 23) + TIME(14, 26, 12)</f>
        <v>45588.601527777777</v>
      </c>
      <c r="D1344" s="1" t="s">
        <v>64</v>
      </c>
      <c r="E1344" s="1" t="s">
        <v>11</v>
      </c>
    </row>
    <row r="1345" spans="1:5" x14ac:dyDescent="0.2">
      <c r="A1345" s="1" t="s">
        <v>1</v>
      </c>
      <c r="B1345" s="1" t="s">
        <v>60</v>
      </c>
      <c r="C1345" s="5">
        <f>DATE(2024, 10, 23) + TIME(13, 28, 27)</f>
        <v>45588.561423611114</v>
      </c>
      <c r="D1345" s="1" t="s">
        <v>750</v>
      </c>
      <c r="E1345" s="1" t="s">
        <v>712</v>
      </c>
    </row>
    <row r="1346" spans="1:5" x14ac:dyDescent="0.2">
      <c r="A1346" s="1" t="s">
        <v>1</v>
      </c>
      <c r="B1346" s="1" t="s">
        <v>323</v>
      </c>
      <c r="C1346" s="5">
        <f>DATE(2024, 10, 22) + TIME(15, 23, 58)</f>
        <v>45587.641643518517</v>
      </c>
      <c r="D1346" s="1" t="s">
        <v>459</v>
      </c>
      <c r="E1346" s="1" t="s">
        <v>171</v>
      </c>
    </row>
    <row r="1347" spans="1:5" x14ac:dyDescent="0.2">
      <c r="A1347" s="1" t="s">
        <v>1</v>
      </c>
      <c r="B1347" s="1" t="s">
        <v>564</v>
      </c>
      <c r="C1347" s="5">
        <f>DATE(2024, 10, 22) + TIME(12, 52, 25)</f>
        <v>45587.536400462966</v>
      </c>
      <c r="D1347" s="1" t="s">
        <v>148</v>
      </c>
      <c r="E1347" s="1" t="s">
        <v>435</v>
      </c>
    </row>
    <row r="1348" spans="1:5" x14ac:dyDescent="0.2">
      <c r="A1348" s="1" t="s">
        <v>1</v>
      </c>
      <c r="B1348" s="1" t="s">
        <v>60</v>
      </c>
      <c r="C1348" s="5">
        <f>DATE(2024, 10, 22) + TIME(11, 30, 10)</f>
        <v>45587.47928240741</v>
      </c>
      <c r="D1348" s="1" t="s">
        <v>566</v>
      </c>
      <c r="E1348" s="1" t="s">
        <v>997</v>
      </c>
    </row>
    <row r="1349" spans="1:5" x14ac:dyDescent="0.2">
      <c r="A1349" s="1" t="s">
        <v>1</v>
      </c>
      <c r="B1349" s="1" t="s">
        <v>60</v>
      </c>
      <c r="C1349" s="5">
        <f>DATE(2024, 10, 22) + TIME(11, 27, 45)</f>
        <v>45587.47760416667</v>
      </c>
      <c r="D1349" s="1" t="s">
        <v>3</v>
      </c>
      <c r="E1349" s="1" t="s">
        <v>571</v>
      </c>
    </row>
    <row r="1350" spans="1:5" x14ac:dyDescent="0.2">
      <c r="A1350" s="1" t="s">
        <v>1</v>
      </c>
      <c r="B1350" s="1" t="s">
        <v>60</v>
      </c>
      <c r="C1350" s="5">
        <f>DATE(2024, 10, 21) + TIME(15, 20, 52)</f>
        <v>45586.639490740738</v>
      </c>
      <c r="D1350" s="1" t="s">
        <v>144</v>
      </c>
      <c r="E1350" s="1" t="s">
        <v>946</v>
      </c>
    </row>
    <row r="1351" spans="1:5" x14ac:dyDescent="0.2">
      <c r="A1351" s="1" t="s">
        <v>1</v>
      </c>
      <c r="B1351" s="1" t="s">
        <v>60</v>
      </c>
      <c r="C1351" s="5">
        <f>DATE(2024, 10, 21) + TIME(15, 20, 52)</f>
        <v>45586.639490740738</v>
      </c>
      <c r="D1351" s="1" t="s">
        <v>144</v>
      </c>
      <c r="E1351" s="1" t="s">
        <v>695</v>
      </c>
    </row>
    <row r="1352" spans="1:5" x14ac:dyDescent="0.2">
      <c r="A1352" s="1" t="s">
        <v>1</v>
      </c>
      <c r="B1352" s="1" t="s">
        <v>60</v>
      </c>
      <c r="C1352" s="5">
        <f>DATE(2024, 10, 21) + TIME(15, 12, 6)</f>
        <v>45586.633402777778</v>
      </c>
      <c r="D1352" s="1" t="s">
        <v>1054</v>
      </c>
      <c r="E1352" s="1" t="s">
        <v>351</v>
      </c>
    </row>
    <row r="1353" spans="1:5" x14ac:dyDescent="0.2">
      <c r="A1353" s="1" t="s">
        <v>1</v>
      </c>
      <c r="B1353" s="1" t="s">
        <v>60</v>
      </c>
      <c r="C1353" s="5">
        <f>DATE(2024, 10, 21) + TIME(13, 34, 16)</f>
        <v>45586.565462962964</v>
      </c>
      <c r="D1353" s="1" t="s">
        <v>750</v>
      </c>
      <c r="E1353" s="1" t="s">
        <v>808</v>
      </c>
    </row>
    <row r="1354" spans="1:5" x14ac:dyDescent="0.2">
      <c r="A1354" s="1" t="s">
        <v>1</v>
      </c>
      <c r="B1354" s="1" t="s">
        <v>60</v>
      </c>
      <c r="C1354" s="5">
        <f>DATE(2024, 10, 21) + TIME(12, 42, 53)</f>
        <v>45586.529780092591</v>
      </c>
      <c r="D1354" s="1" t="s">
        <v>64</v>
      </c>
      <c r="E1354" s="1" t="s">
        <v>630</v>
      </c>
    </row>
    <row r="1355" spans="1:5" x14ac:dyDescent="0.2">
      <c r="A1355" s="1" t="s">
        <v>1</v>
      </c>
      <c r="B1355" s="1" t="s">
        <v>60</v>
      </c>
      <c r="C1355" s="5">
        <f>DATE(2024, 10, 21) + TIME(12, 39, 24)</f>
        <v>45586.527361111112</v>
      </c>
      <c r="D1355" s="1" t="s">
        <v>640</v>
      </c>
      <c r="E1355" s="1" t="s">
        <v>608</v>
      </c>
    </row>
    <row r="1356" spans="1:5" x14ac:dyDescent="0.2">
      <c r="A1356" s="1" t="s">
        <v>1</v>
      </c>
      <c r="B1356" s="1" t="s">
        <v>60</v>
      </c>
      <c r="C1356" s="5">
        <f>DATE(2024, 10, 21) + TIME(11, 50, 26)</f>
        <v>45586.493356481478</v>
      </c>
      <c r="D1356" s="1" t="s">
        <v>754</v>
      </c>
      <c r="E1356" s="1" t="s">
        <v>245</v>
      </c>
    </row>
    <row r="1357" spans="1:5" x14ac:dyDescent="0.2">
      <c r="A1357" s="1" t="s">
        <v>1</v>
      </c>
      <c r="B1357" s="1" t="s">
        <v>60</v>
      </c>
      <c r="C1357" s="5">
        <f>DATE(2024, 10, 21) + TIME(11, 34, 36)</f>
        <v>45586.482361111113</v>
      </c>
      <c r="D1357" s="1" t="s">
        <v>566</v>
      </c>
      <c r="E1357" s="1" t="s">
        <v>865</v>
      </c>
    </row>
    <row r="1358" spans="1:5" x14ac:dyDescent="0.2">
      <c r="A1358" s="1" t="s">
        <v>1</v>
      </c>
      <c r="B1358" s="1" t="s">
        <v>60</v>
      </c>
      <c r="C1358" s="5">
        <f>DATE(2024, 10, 21) + TIME(11, 33, 19)</f>
        <v>45586.481469907405</v>
      </c>
      <c r="D1358" s="1" t="s">
        <v>750</v>
      </c>
      <c r="E1358" s="1" t="s">
        <v>697</v>
      </c>
    </row>
    <row r="1359" spans="1:5" x14ac:dyDescent="0.2">
      <c r="A1359" s="1" t="s">
        <v>1</v>
      </c>
      <c r="B1359" s="1" t="s">
        <v>60</v>
      </c>
      <c r="C1359" s="5">
        <f>DATE(2024, 10, 21) + TIME(11, 20, 53)</f>
        <v>45586.47283564815</v>
      </c>
      <c r="D1359" s="1" t="s">
        <v>269</v>
      </c>
      <c r="E1359" s="1" t="s">
        <v>748</v>
      </c>
    </row>
    <row r="1360" spans="1:5" x14ac:dyDescent="0.2">
      <c r="A1360" s="1" t="s">
        <v>1</v>
      </c>
      <c r="B1360" s="1" t="s">
        <v>60</v>
      </c>
      <c r="C1360" s="5">
        <f>DATE(2024, 10, 20) + TIME(9, 28, 11)</f>
        <v>45585.394571759258</v>
      </c>
      <c r="D1360" s="1" t="s">
        <v>64</v>
      </c>
      <c r="E1360" s="1" t="s">
        <v>220</v>
      </c>
    </row>
    <row r="1361" spans="1:5" x14ac:dyDescent="0.2">
      <c r="A1361" s="1" t="s">
        <v>1</v>
      </c>
      <c r="B1361" s="1" t="s">
        <v>60</v>
      </c>
      <c r="C1361" s="5">
        <f>DATE(2024, 10, 18) + TIME(14, 13, 5)</f>
        <v>45583.592418981483</v>
      </c>
      <c r="D1361" s="1" t="s">
        <v>398</v>
      </c>
      <c r="E1361" s="1" t="s">
        <v>142</v>
      </c>
    </row>
    <row r="1362" spans="1:5" x14ac:dyDescent="0.2">
      <c r="A1362" s="1" t="s">
        <v>1</v>
      </c>
      <c r="B1362" s="1" t="s">
        <v>60</v>
      </c>
      <c r="C1362" s="5">
        <f>DATE(2024, 10, 18) + TIME(14, 12, 26)</f>
        <v>45583.591967592591</v>
      </c>
      <c r="D1362" s="1" t="s">
        <v>398</v>
      </c>
      <c r="E1362" s="1" t="s">
        <v>675</v>
      </c>
    </row>
    <row r="1363" spans="1:5" x14ac:dyDescent="0.2">
      <c r="A1363" s="1" t="s">
        <v>1</v>
      </c>
      <c r="B1363" s="1" t="s">
        <v>60</v>
      </c>
      <c r="C1363" s="5">
        <f>DATE(2024, 10, 17) + TIME(16, 22, 57)</f>
        <v>45582.682604166665</v>
      </c>
      <c r="D1363" s="1" t="s">
        <v>5</v>
      </c>
      <c r="E1363" s="1" t="s">
        <v>92</v>
      </c>
    </row>
    <row r="1364" spans="1:5" x14ac:dyDescent="0.2">
      <c r="A1364" s="1" t="s">
        <v>1</v>
      </c>
      <c r="B1364" s="1" t="s">
        <v>60</v>
      </c>
      <c r="C1364" s="5">
        <f>DATE(2024, 10, 17) + TIME(14, 3, 11)</f>
        <v>45582.585543981484</v>
      </c>
      <c r="D1364" s="1" t="s">
        <v>396</v>
      </c>
      <c r="E1364" s="1" t="s">
        <v>140</v>
      </c>
    </row>
    <row r="1365" spans="1:5" x14ac:dyDescent="0.2">
      <c r="A1365" s="1" t="s">
        <v>1</v>
      </c>
      <c r="B1365" s="1" t="s">
        <v>866</v>
      </c>
      <c r="C1365" s="5">
        <f>DATE(2024, 10, 17) + TIME(11, 20, 44)</f>
        <v>45582.472731481481</v>
      </c>
      <c r="D1365" s="1" t="s">
        <v>450</v>
      </c>
      <c r="E1365" s="1" t="s">
        <v>345</v>
      </c>
    </row>
    <row r="1366" spans="1:5" x14ac:dyDescent="0.2">
      <c r="A1366" s="1" t="s">
        <v>1</v>
      </c>
      <c r="B1366" s="1" t="s">
        <v>60</v>
      </c>
      <c r="C1366" s="5">
        <f>DATE(2024, 10, 17) + TIME(11, 7, 38)</f>
        <v>45582.463634259257</v>
      </c>
      <c r="D1366" s="1" t="s">
        <v>450</v>
      </c>
      <c r="E1366" s="1" t="s">
        <v>375</v>
      </c>
    </row>
    <row r="1367" spans="1:5" x14ac:dyDescent="0.2">
      <c r="A1367" s="1" t="s">
        <v>1</v>
      </c>
      <c r="B1367" s="1" t="s">
        <v>323</v>
      </c>
      <c r="C1367" s="5">
        <f>DATE(2024, 10, 17) + TIME(10, 24, 20)</f>
        <v>45582.433564814812</v>
      </c>
      <c r="D1367" s="1" t="s">
        <v>269</v>
      </c>
      <c r="E1367" s="1" t="s">
        <v>748</v>
      </c>
    </row>
    <row r="1368" spans="1:5" x14ac:dyDescent="0.2">
      <c r="A1368" s="1" t="s">
        <v>1</v>
      </c>
      <c r="B1368" s="1" t="s">
        <v>60</v>
      </c>
      <c r="C1368" s="5">
        <f>DATE(2024, 10, 16) + TIME(13, 31, 29)</f>
        <v>45581.563530092593</v>
      </c>
      <c r="D1368" s="1" t="s">
        <v>65</v>
      </c>
      <c r="E1368" s="1" t="s">
        <v>432</v>
      </c>
    </row>
    <row r="1369" spans="1:5" x14ac:dyDescent="0.2">
      <c r="A1369" s="1" t="s">
        <v>1</v>
      </c>
      <c r="B1369" s="1" t="s">
        <v>60</v>
      </c>
      <c r="C1369" s="5">
        <f>DATE(2024, 10, 16) + TIME(12, 44, 14)</f>
        <v>45581.530717592592</v>
      </c>
      <c r="D1369" s="1" t="s">
        <v>396</v>
      </c>
      <c r="E1369" s="1" t="s">
        <v>1009</v>
      </c>
    </row>
    <row r="1370" spans="1:5" x14ac:dyDescent="0.2">
      <c r="A1370" s="1" t="s">
        <v>1</v>
      </c>
      <c r="B1370" s="1" t="s">
        <v>866</v>
      </c>
      <c r="C1370" s="5">
        <f>DATE(2024, 10, 15) + TIME(14, 31, 30)</f>
        <v>45580.605208333334</v>
      </c>
      <c r="D1370" s="1" t="s">
        <v>576</v>
      </c>
      <c r="E1370" s="1" t="s">
        <v>327</v>
      </c>
    </row>
    <row r="1371" spans="1:5" x14ac:dyDescent="0.2">
      <c r="A1371" s="1" t="s">
        <v>1</v>
      </c>
      <c r="B1371" s="1" t="s">
        <v>60</v>
      </c>
      <c r="C1371" s="5">
        <f>DATE(2024, 10, 15) + TIME(13, 43, 19)</f>
        <v>45580.571747685186</v>
      </c>
      <c r="D1371" s="1" t="s">
        <v>65</v>
      </c>
      <c r="E1371" s="1" t="s">
        <v>804</v>
      </c>
    </row>
    <row r="1372" spans="1:5" x14ac:dyDescent="0.2">
      <c r="A1372" s="1" t="s">
        <v>1</v>
      </c>
      <c r="B1372" s="1" t="s">
        <v>60</v>
      </c>
      <c r="C1372" s="5">
        <f>DATE(2024, 10, 15) + TIME(13, 27, 26)</f>
        <v>45580.560717592591</v>
      </c>
      <c r="D1372" s="1" t="s">
        <v>3</v>
      </c>
      <c r="E1372" s="1" t="s">
        <v>571</v>
      </c>
    </row>
    <row r="1373" spans="1:5" x14ac:dyDescent="0.2">
      <c r="A1373" s="1" t="s">
        <v>1</v>
      </c>
      <c r="B1373" s="1" t="s">
        <v>60</v>
      </c>
      <c r="C1373" s="5">
        <f>DATE(2024, 10, 15) + TIME(13, 5, 0)</f>
        <v>45580.545138888891</v>
      </c>
      <c r="D1373" s="1" t="s">
        <v>64</v>
      </c>
      <c r="E1373" s="1" t="s">
        <v>433</v>
      </c>
    </row>
    <row r="1374" spans="1:5" x14ac:dyDescent="0.2">
      <c r="A1374" s="1" t="s">
        <v>1</v>
      </c>
      <c r="B1374" s="1" t="s">
        <v>866</v>
      </c>
      <c r="C1374" s="5">
        <f>DATE(2024, 10, 15) + TIME(13, 2, 56)</f>
        <v>45580.543703703705</v>
      </c>
      <c r="D1374" s="1" t="s">
        <v>576</v>
      </c>
      <c r="E1374" s="1" t="s">
        <v>842</v>
      </c>
    </row>
    <row r="1375" spans="1:5" x14ac:dyDescent="0.2">
      <c r="A1375" s="1" t="s">
        <v>1</v>
      </c>
      <c r="B1375" s="1" t="s">
        <v>866</v>
      </c>
      <c r="C1375" s="5">
        <f>DATE(2024, 10, 15) + TIME(13, 2, 55)</f>
        <v>45580.543692129628</v>
      </c>
      <c r="D1375" s="1" t="s">
        <v>576</v>
      </c>
      <c r="E1375" s="1" t="s">
        <v>842</v>
      </c>
    </row>
    <row r="1376" spans="1:5" x14ac:dyDescent="0.2">
      <c r="A1376" s="1" t="s">
        <v>1</v>
      </c>
      <c r="B1376" s="1" t="s">
        <v>60</v>
      </c>
      <c r="C1376" s="5">
        <f>DATE(2024, 10, 15) + TIME(11, 12, 42)</f>
        <v>45580.467152777775</v>
      </c>
      <c r="D1376" s="1" t="s">
        <v>65</v>
      </c>
      <c r="E1376" s="1" t="s">
        <v>758</v>
      </c>
    </row>
    <row r="1377" spans="1:5" x14ac:dyDescent="0.2">
      <c r="A1377" s="1" t="s">
        <v>1</v>
      </c>
      <c r="B1377" s="1" t="s">
        <v>866</v>
      </c>
      <c r="C1377" s="5">
        <f>DATE(2024, 10, 15) + TIME(6, 18, 8)</f>
        <v>45580.262592592589</v>
      </c>
      <c r="D1377" s="1" t="s">
        <v>65</v>
      </c>
      <c r="E1377" s="1" t="s">
        <v>400</v>
      </c>
    </row>
    <row r="1378" spans="1:5" x14ac:dyDescent="0.2">
      <c r="A1378" s="1" t="s">
        <v>1</v>
      </c>
      <c r="B1378" s="1" t="s">
        <v>60</v>
      </c>
      <c r="C1378" s="5">
        <f>DATE(2024, 10, 15) + TIME(6, 18, 8)</f>
        <v>45580.262592592589</v>
      </c>
      <c r="D1378" s="1" t="s">
        <v>65</v>
      </c>
      <c r="E1378" s="1" t="s">
        <v>400</v>
      </c>
    </row>
    <row r="1379" spans="1:5" x14ac:dyDescent="0.2">
      <c r="A1379" s="1" t="s">
        <v>1</v>
      </c>
      <c r="B1379" s="1" t="s">
        <v>60</v>
      </c>
      <c r="C1379" s="5">
        <f>DATE(2024, 10, 14) + TIME(15, 27, 32)</f>
        <v>45579.644120370373</v>
      </c>
      <c r="D1379" s="1" t="s">
        <v>144</v>
      </c>
      <c r="E1379" s="1" t="s">
        <v>946</v>
      </c>
    </row>
    <row r="1380" spans="1:5" x14ac:dyDescent="0.2">
      <c r="A1380" s="1" t="s">
        <v>1</v>
      </c>
      <c r="B1380" s="1" t="s">
        <v>60</v>
      </c>
      <c r="C1380" s="5">
        <f>DATE(2024, 10, 14) + TIME(15, 24, 30)</f>
        <v>45579.642013888886</v>
      </c>
      <c r="D1380" s="1" t="s">
        <v>921</v>
      </c>
      <c r="E1380" s="1" t="s">
        <v>462</v>
      </c>
    </row>
    <row r="1381" spans="1:5" x14ac:dyDescent="0.2">
      <c r="A1381" s="1" t="s">
        <v>1</v>
      </c>
      <c r="B1381" s="1" t="s">
        <v>60</v>
      </c>
      <c r="C1381" s="5">
        <f>DATE(2024, 10, 14) + TIME(15, 21, 10)</f>
        <v>45579.639699074076</v>
      </c>
      <c r="D1381" s="1" t="s">
        <v>3</v>
      </c>
      <c r="E1381" s="1" t="s">
        <v>1129</v>
      </c>
    </row>
    <row r="1382" spans="1:5" x14ac:dyDescent="0.2">
      <c r="A1382" s="1" t="s">
        <v>1</v>
      </c>
      <c r="B1382" s="1" t="s">
        <v>323</v>
      </c>
      <c r="C1382" s="5">
        <f>DATE(2024, 10, 14) + TIME(15, 14, 21)</f>
        <v>45579.634965277779</v>
      </c>
      <c r="D1382" s="1" t="s">
        <v>226</v>
      </c>
      <c r="E1382" s="1" t="s">
        <v>608</v>
      </c>
    </row>
    <row r="1383" spans="1:5" x14ac:dyDescent="0.2">
      <c r="A1383" s="1" t="s">
        <v>1</v>
      </c>
      <c r="B1383" s="1" t="s">
        <v>60</v>
      </c>
      <c r="C1383" s="5">
        <f>DATE(2024, 10, 14) + TIME(15, 14, 20)</f>
        <v>45579.634953703702</v>
      </c>
      <c r="D1383" s="1" t="s">
        <v>226</v>
      </c>
      <c r="E1383" s="1" t="s">
        <v>608</v>
      </c>
    </row>
    <row r="1384" spans="1:5" x14ac:dyDescent="0.2">
      <c r="A1384" s="1" t="s">
        <v>1</v>
      </c>
      <c r="B1384" s="1" t="s">
        <v>866</v>
      </c>
      <c r="C1384" s="5">
        <f>DATE(2024, 10, 14) + TIME(12, 8, 52)</f>
        <v>45579.506157407406</v>
      </c>
      <c r="D1384" s="1" t="s">
        <v>450</v>
      </c>
      <c r="E1384" s="1" t="s">
        <v>691</v>
      </c>
    </row>
    <row r="1385" spans="1:5" x14ac:dyDescent="0.2">
      <c r="A1385" s="1" t="s">
        <v>1</v>
      </c>
      <c r="B1385" s="1" t="s">
        <v>323</v>
      </c>
      <c r="C1385" s="5">
        <f>DATE(2024, 10, 14) + TIME(11, 35, 17)</f>
        <v>45579.482835648145</v>
      </c>
      <c r="D1385" s="1" t="s">
        <v>754</v>
      </c>
      <c r="E1385" s="1" t="s">
        <v>245</v>
      </c>
    </row>
    <row r="1386" spans="1:5" x14ac:dyDescent="0.2">
      <c r="A1386" s="1" t="s">
        <v>1</v>
      </c>
      <c r="B1386" s="1" t="s">
        <v>60</v>
      </c>
      <c r="C1386" s="5">
        <f>DATE(2024, 10, 14) + TIME(8, 57, 48)</f>
        <v>45579.373472222222</v>
      </c>
      <c r="D1386" s="1" t="s">
        <v>5</v>
      </c>
      <c r="E1386" s="1" t="s">
        <v>795</v>
      </c>
    </row>
    <row r="1387" spans="1:5" x14ac:dyDescent="0.2">
      <c r="A1387" s="1" t="s">
        <v>1</v>
      </c>
      <c r="B1387" s="1" t="s">
        <v>60</v>
      </c>
      <c r="C1387" s="5">
        <f>DATE(2024, 10, 10) + TIME(15, 43, 2)</f>
        <v>45575.65488425926</v>
      </c>
      <c r="D1387" s="1" t="s">
        <v>638</v>
      </c>
      <c r="E1387" s="1" t="s">
        <v>315</v>
      </c>
    </row>
    <row r="1388" spans="1:5" x14ac:dyDescent="0.2">
      <c r="A1388" s="1" t="s">
        <v>1</v>
      </c>
      <c r="B1388" s="1" t="s">
        <v>60</v>
      </c>
      <c r="C1388" s="5">
        <f>DATE(2024, 10, 10) + TIME(14, 33, 44)</f>
        <v>45575.606759259259</v>
      </c>
      <c r="D1388" s="1" t="s">
        <v>638</v>
      </c>
      <c r="E1388" s="1" t="s">
        <v>901</v>
      </c>
    </row>
    <row r="1389" spans="1:5" x14ac:dyDescent="0.2">
      <c r="A1389" s="1" t="s">
        <v>1</v>
      </c>
      <c r="B1389" s="1" t="s">
        <v>60</v>
      </c>
      <c r="C1389" s="5">
        <f>DATE(2024, 10, 10) + TIME(13, 41, 45)</f>
        <v>45575.570659722223</v>
      </c>
      <c r="D1389" s="1" t="s">
        <v>396</v>
      </c>
      <c r="E1389" s="1" t="s">
        <v>567</v>
      </c>
    </row>
    <row r="1390" spans="1:5" x14ac:dyDescent="0.2">
      <c r="A1390" s="1" t="s">
        <v>1</v>
      </c>
      <c r="B1390" s="1" t="s">
        <v>60</v>
      </c>
      <c r="C1390" s="5">
        <f>DATE(2024, 10, 10) + TIME(13, 37, 27)</f>
        <v>45575.567673611113</v>
      </c>
      <c r="D1390" s="1" t="s">
        <v>144</v>
      </c>
      <c r="E1390" s="1" t="s">
        <v>946</v>
      </c>
    </row>
    <row r="1391" spans="1:5" x14ac:dyDescent="0.2">
      <c r="A1391" s="1" t="s">
        <v>1</v>
      </c>
      <c r="B1391" s="1" t="s">
        <v>866</v>
      </c>
      <c r="C1391" s="5">
        <f>DATE(2024, 10, 10) + TIME(12, 44, 27)</f>
        <v>45575.530868055554</v>
      </c>
      <c r="D1391" s="1" t="s">
        <v>450</v>
      </c>
      <c r="E1391" s="1" t="s">
        <v>1157</v>
      </c>
    </row>
    <row r="1392" spans="1:5" x14ac:dyDescent="0.2">
      <c r="A1392" s="1" t="s">
        <v>1</v>
      </c>
      <c r="B1392" s="1" t="s">
        <v>866</v>
      </c>
      <c r="C1392" s="5">
        <f>DATE(2024, 10, 10) + TIME(12, 12, 45)</f>
        <v>45575.50885416667</v>
      </c>
      <c r="D1392" s="1" t="s">
        <v>450</v>
      </c>
      <c r="E1392" s="1" t="s">
        <v>345</v>
      </c>
    </row>
    <row r="1393" spans="1:5" x14ac:dyDescent="0.2">
      <c r="A1393" s="1" t="s">
        <v>1</v>
      </c>
      <c r="B1393" s="1" t="s">
        <v>866</v>
      </c>
      <c r="C1393" s="5">
        <f>DATE(2024, 10, 10) + TIME(11, 38, 18)</f>
        <v>45575.484930555554</v>
      </c>
      <c r="D1393" s="1" t="s">
        <v>576</v>
      </c>
      <c r="E1393" s="1" t="s">
        <v>763</v>
      </c>
    </row>
    <row r="1394" spans="1:5" x14ac:dyDescent="0.2">
      <c r="A1394" s="1" t="s">
        <v>1</v>
      </c>
      <c r="B1394" s="1" t="s">
        <v>866</v>
      </c>
      <c r="C1394" s="5">
        <f>DATE(2024, 10, 10) + TIME(10, 50, 45)</f>
        <v>45575.451909722222</v>
      </c>
      <c r="D1394" s="1" t="s">
        <v>450</v>
      </c>
      <c r="E1394" s="1" t="s">
        <v>691</v>
      </c>
    </row>
    <row r="1395" spans="1:5" x14ac:dyDescent="0.2">
      <c r="A1395" s="1" t="s">
        <v>1</v>
      </c>
      <c r="B1395" s="1" t="s">
        <v>60</v>
      </c>
      <c r="C1395" s="5">
        <f>DATE(2024, 10, 10) + TIME(10, 16, 26)</f>
        <v>45575.428078703706</v>
      </c>
      <c r="D1395" s="1" t="s">
        <v>269</v>
      </c>
      <c r="E1395" s="1" t="s">
        <v>748</v>
      </c>
    </row>
    <row r="1396" spans="1:5" x14ac:dyDescent="0.2">
      <c r="A1396" s="1" t="s">
        <v>1</v>
      </c>
      <c r="B1396" s="1" t="s">
        <v>60</v>
      </c>
      <c r="C1396" s="5">
        <f>DATE(2024, 10, 10) + TIME(9, 51, 39)</f>
        <v>45575.410868055558</v>
      </c>
      <c r="D1396" s="1" t="s">
        <v>459</v>
      </c>
      <c r="E1396" s="1" t="s">
        <v>574</v>
      </c>
    </row>
    <row r="1397" spans="1:5" x14ac:dyDescent="0.2">
      <c r="A1397" s="1" t="s">
        <v>1</v>
      </c>
      <c r="B1397" s="1" t="s">
        <v>60</v>
      </c>
      <c r="C1397" s="5">
        <f>DATE(2024, 10, 9) + TIME(12, 53, 20)</f>
        <v>45574.537037037036</v>
      </c>
      <c r="D1397" s="1" t="s">
        <v>396</v>
      </c>
      <c r="E1397" s="1" t="s">
        <v>1009</v>
      </c>
    </row>
    <row r="1398" spans="1:5" x14ac:dyDescent="0.2">
      <c r="A1398" s="1" t="s">
        <v>1</v>
      </c>
      <c r="B1398" s="1" t="s">
        <v>60</v>
      </c>
      <c r="C1398" s="5">
        <f>DATE(2024, 10, 9) + TIME(12, 31, 20)</f>
        <v>45574.52175925926</v>
      </c>
      <c r="D1398" s="1" t="s">
        <v>396</v>
      </c>
      <c r="E1398" s="1" t="s">
        <v>1009</v>
      </c>
    </row>
    <row r="1399" spans="1:5" x14ac:dyDescent="0.2">
      <c r="A1399" s="1" t="s">
        <v>1</v>
      </c>
      <c r="B1399" s="1" t="s">
        <v>60</v>
      </c>
      <c r="C1399" s="5">
        <f>DATE(2024, 10, 9) + TIME(11, 49, 1)</f>
        <v>45574.492372685185</v>
      </c>
      <c r="D1399" s="1" t="s">
        <v>459</v>
      </c>
      <c r="E1399" s="1" t="s">
        <v>777</v>
      </c>
    </row>
    <row r="1400" spans="1:5" x14ac:dyDescent="0.2">
      <c r="A1400" s="1" t="s">
        <v>1</v>
      </c>
      <c r="B1400" s="1" t="s">
        <v>60</v>
      </c>
      <c r="C1400" s="5">
        <f>DATE(2024, 10, 8) + TIME(14, 11, 4)</f>
        <v>45573.59101851852</v>
      </c>
      <c r="D1400" s="1" t="s">
        <v>148</v>
      </c>
      <c r="E1400" s="1" t="s">
        <v>435</v>
      </c>
    </row>
    <row r="1401" spans="1:5" x14ac:dyDescent="0.2">
      <c r="A1401" s="1" t="s">
        <v>1</v>
      </c>
      <c r="B1401" s="1" t="s">
        <v>866</v>
      </c>
      <c r="C1401" s="5">
        <f>DATE(2024, 10, 8) + TIME(13, 35, 29)</f>
        <v>45573.566307870373</v>
      </c>
      <c r="D1401" s="1" t="s">
        <v>869</v>
      </c>
      <c r="E1401" s="1" t="s">
        <v>832</v>
      </c>
    </row>
    <row r="1402" spans="1:5" x14ac:dyDescent="0.2">
      <c r="A1402" s="1" t="s">
        <v>1</v>
      </c>
      <c r="B1402" s="1" t="s">
        <v>60</v>
      </c>
      <c r="C1402" s="5">
        <f>DATE(2024, 10, 8) + TIME(12, 12, 35)</f>
        <v>45573.508738425924</v>
      </c>
      <c r="D1402" s="1" t="s">
        <v>3</v>
      </c>
      <c r="E1402" s="1" t="s">
        <v>571</v>
      </c>
    </row>
    <row r="1403" spans="1:5" x14ac:dyDescent="0.2">
      <c r="A1403" s="1" t="s">
        <v>1</v>
      </c>
      <c r="B1403" s="1" t="s">
        <v>60</v>
      </c>
      <c r="C1403" s="5">
        <f>DATE(2024, 10, 8) + TIME(11, 56, 58)</f>
        <v>45573.497893518521</v>
      </c>
      <c r="D1403" s="1" t="s">
        <v>566</v>
      </c>
      <c r="E1403" s="1" t="s">
        <v>997</v>
      </c>
    </row>
    <row r="1404" spans="1:5" x14ac:dyDescent="0.2">
      <c r="A1404" s="1" t="s">
        <v>1</v>
      </c>
      <c r="B1404" s="1" t="s">
        <v>60</v>
      </c>
      <c r="C1404" s="5">
        <f>DATE(2024, 10, 7) + TIME(15, 42, 7)</f>
        <v>45572.654247685183</v>
      </c>
      <c r="D1404" s="1" t="s">
        <v>144</v>
      </c>
      <c r="E1404" s="1" t="s">
        <v>946</v>
      </c>
    </row>
    <row r="1405" spans="1:5" x14ac:dyDescent="0.2">
      <c r="A1405" s="1" t="s">
        <v>1</v>
      </c>
      <c r="B1405" s="1" t="s">
        <v>60</v>
      </c>
      <c r="C1405" s="5">
        <f>DATE(2024, 10, 7) + TIME(14, 22, 19)</f>
        <v>45572.59883101852</v>
      </c>
      <c r="D1405" s="1" t="s">
        <v>459</v>
      </c>
      <c r="E1405" s="1" t="s">
        <v>836</v>
      </c>
    </row>
    <row r="1406" spans="1:5" x14ac:dyDescent="0.2">
      <c r="A1406" s="1" t="s">
        <v>1</v>
      </c>
      <c r="B1406" s="1" t="s">
        <v>60</v>
      </c>
      <c r="C1406" s="5">
        <f>DATE(2024, 10, 7) + TIME(11, 54, 4)</f>
        <v>45572.495879629627</v>
      </c>
      <c r="D1406" s="1" t="s">
        <v>754</v>
      </c>
      <c r="E1406" s="1" t="s">
        <v>330</v>
      </c>
    </row>
    <row r="1407" spans="1:5" x14ac:dyDescent="0.2">
      <c r="A1407" s="1" t="s">
        <v>1</v>
      </c>
      <c r="B1407" s="1" t="s">
        <v>60</v>
      </c>
      <c r="C1407" s="5">
        <f>DATE(2024, 10, 7) + TIME(11, 31, 10)</f>
        <v>45572.47997685185</v>
      </c>
      <c r="D1407" s="1" t="s">
        <v>320</v>
      </c>
      <c r="E1407" s="1" t="s">
        <v>948</v>
      </c>
    </row>
    <row r="1408" spans="1:5" x14ac:dyDescent="0.2">
      <c r="A1408" s="1" t="s">
        <v>1</v>
      </c>
      <c r="B1408" s="1" t="s">
        <v>60</v>
      </c>
      <c r="C1408" s="5">
        <f>DATE(2024, 10, 7) + TIME(11, 16, 38)</f>
        <v>45572.469884259262</v>
      </c>
      <c r="D1408" s="1" t="s">
        <v>356</v>
      </c>
      <c r="E1408" s="1" t="s">
        <v>748</v>
      </c>
    </row>
    <row r="1409" spans="1:5" x14ac:dyDescent="0.2">
      <c r="A1409" s="1" t="s">
        <v>1</v>
      </c>
      <c r="B1409" s="1" t="s">
        <v>60</v>
      </c>
      <c r="C1409" s="5">
        <f>DATE(2024, 10, 7) + TIME(11, 9, 25)</f>
        <v>45572.464872685188</v>
      </c>
      <c r="D1409" s="1" t="s">
        <v>566</v>
      </c>
      <c r="E1409" s="1" t="s">
        <v>865</v>
      </c>
    </row>
    <row r="1410" spans="1:5" x14ac:dyDescent="0.2">
      <c r="A1410" s="1" t="s">
        <v>1</v>
      </c>
      <c r="B1410" s="1" t="s">
        <v>60</v>
      </c>
      <c r="C1410" s="5">
        <f>DATE(2024, 10, 7) + TIME(10, 31, 52)</f>
        <v>45572.438796296294</v>
      </c>
      <c r="D1410" s="1" t="s">
        <v>5</v>
      </c>
      <c r="E1410" s="1" t="s">
        <v>405</v>
      </c>
    </row>
    <row r="1411" spans="1:5" x14ac:dyDescent="0.2">
      <c r="A1411" s="1" t="s">
        <v>1</v>
      </c>
      <c r="B1411" s="1" t="s">
        <v>60</v>
      </c>
      <c r="C1411" s="5">
        <f>DATE(2024, 10, 3) + TIME(16, 26, 0)</f>
        <v>45568.68472222222</v>
      </c>
      <c r="D1411" s="1" t="s">
        <v>5</v>
      </c>
      <c r="E1411" s="1" t="s">
        <v>763</v>
      </c>
    </row>
    <row r="1412" spans="1:5" x14ac:dyDescent="0.2">
      <c r="A1412" s="1" t="s">
        <v>1</v>
      </c>
      <c r="B1412" s="1" t="s">
        <v>60</v>
      </c>
      <c r="C1412" s="5">
        <f>DATE(2024, 10, 3) + TIME(16, 25, 27)</f>
        <v>45568.684340277781</v>
      </c>
      <c r="D1412" s="1" t="s">
        <v>5</v>
      </c>
      <c r="E1412" s="1" t="s">
        <v>92</v>
      </c>
    </row>
    <row r="1413" spans="1:5" x14ac:dyDescent="0.2">
      <c r="A1413" s="1" t="s">
        <v>1</v>
      </c>
      <c r="B1413" s="1" t="s">
        <v>60</v>
      </c>
      <c r="C1413" s="5">
        <f>DATE(2024, 10, 3) + TIME(15, 57, 31)</f>
        <v>45568.664942129632</v>
      </c>
      <c r="D1413" s="1" t="s">
        <v>269</v>
      </c>
      <c r="E1413" s="1" t="s">
        <v>743</v>
      </c>
    </row>
    <row r="1414" spans="1:5" x14ac:dyDescent="0.2">
      <c r="A1414" s="1" t="s">
        <v>1</v>
      </c>
      <c r="B1414" s="1" t="s">
        <v>60</v>
      </c>
      <c r="C1414" s="5">
        <f>DATE(2024, 10, 3) + TIME(15, 47, 55)</f>
        <v>45568.658275462964</v>
      </c>
      <c r="D1414" s="1" t="s">
        <v>398</v>
      </c>
      <c r="E1414" s="1" t="s">
        <v>854</v>
      </c>
    </row>
    <row r="1415" spans="1:5" x14ac:dyDescent="0.2">
      <c r="A1415" s="1" t="s">
        <v>1</v>
      </c>
      <c r="B1415" s="1" t="s">
        <v>60</v>
      </c>
      <c r="C1415" s="5">
        <f>DATE(2024, 10, 3) + TIME(15, 18, 16)</f>
        <v>45568.637685185182</v>
      </c>
      <c r="D1415" s="1" t="s">
        <v>269</v>
      </c>
      <c r="E1415" s="1" t="s">
        <v>492</v>
      </c>
    </row>
    <row r="1416" spans="1:5" x14ac:dyDescent="0.2">
      <c r="A1416" s="1" t="s">
        <v>1</v>
      </c>
      <c r="B1416" s="1" t="s">
        <v>60</v>
      </c>
      <c r="C1416" s="5">
        <f>DATE(2024, 10, 3) + TIME(15, 4, 8)</f>
        <v>45568.627870370372</v>
      </c>
      <c r="D1416" s="1" t="s">
        <v>320</v>
      </c>
      <c r="E1416" s="1" t="s">
        <v>565</v>
      </c>
    </row>
    <row r="1417" spans="1:5" x14ac:dyDescent="0.2">
      <c r="A1417" s="1" t="s">
        <v>1</v>
      </c>
      <c r="B1417" s="1" t="s">
        <v>60</v>
      </c>
      <c r="C1417" s="5">
        <f>DATE(2024, 10, 3) + TIME(14, 20, 46)</f>
        <v>45568.597754629627</v>
      </c>
      <c r="D1417" s="1" t="s">
        <v>320</v>
      </c>
      <c r="E1417" s="1" t="s">
        <v>2</v>
      </c>
    </row>
    <row r="1418" spans="1:5" x14ac:dyDescent="0.2">
      <c r="A1418" s="1" t="s">
        <v>1</v>
      </c>
      <c r="B1418" s="1" t="s">
        <v>323</v>
      </c>
      <c r="C1418" s="5">
        <f>DATE(2024, 10, 3) + TIME(14, 17, 20)</f>
        <v>45568.595370370371</v>
      </c>
      <c r="D1418" s="1" t="s">
        <v>341</v>
      </c>
      <c r="E1418" s="1" t="s">
        <v>1086</v>
      </c>
    </row>
    <row r="1419" spans="1:5" x14ac:dyDescent="0.2">
      <c r="A1419" s="1" t="s">
        <v>1</v>
      </c>
      <c r="B1419" s="1" t="s">
        <v>60</v>
      </c>
      <c r="C1419" s="5">
        <f>DATE(2024, 10, 3) + TIME(13, 48, 16)</f>
        <v>45568.575185185182</v>
      </c>
      <c r="D1419" s="1" t="s">
        <v>638</v>
      </c>
      <c r="E1419" s="1" t="s">
        <v>362</v>
      </c>
    </row>
    <row r="1420" spans="1:5" x14ac:dyDescent="0.2">
      <c r="A1420" s="1" t="s">
        <v>1</v>
      </c>
      <c r="B1420" s="1" t="s">
        <v>60</v>
      </c>
      <c r="C1420" s="5">
        <f>DATE(2024, 10, 3) + TIME(12, 55, 9)</f>
        <v>45568.538298611114</v>
      </c>
      <c r="D1420" s="1" t="s">
        <v>320</v>
      </c>
      <c r="E1420" s="1" t="s">
        <v>2</v>
      </c>
    </row>
    <row r="1421" spans="1:5" x14ac:dyDescent="0.2">
      <c r="A1421" s="1" t="s">
        <v>1</v>
      </c>
      <c r="B1421" s="1" t="s">
        <v>60</v>
      </c>
      <c r="C1421" s="5">
        <f>DATE(2024, 10, 3) + TIME(12, 51, 41)</f>
        <v>45568.535891203705</v>
      </c>
      <c r="D1421" s="1" t="s">
        <v>1054</v>
      </c>
      <c r="E1421" s="1" t="s">
        <v>657</v>
      </c>
    </row>
    <row r="1422" spans="1:5" x14ac:dyDescent="0.2">
      <c r="A1422" s="1" t="s">
        <v>1</v>
      </c>
      <c r="B1422" s="1" t="s">
        <v>60</v>
      </c>
      <c r="C1422" s="5">
        <f>DATE(2024, 10, 3) + TIME(12, 21, 44)</f>
        <v>45568.515092592592</v>
      </c>
      <c r="D1422" s="1" t="s">
        <v>638</v>
      </c>
      <c r="E1422" s="1" t="s">
        <v>157</v>
      </c>
    </row>
    <row r="1423" spans="1:5" x14ac:dyDescent="0.2">
      <c r="A1423" s="1" t="s">
        <v>1</v>
      </c>
      <c r="B1423" s="1" t="s">
        <v>60</v>
      </c>
      <c r="C1423" s="5">
        <f>DATE(2024, 10, 3) + TIME(12, 2, 41)</f>
        <v>45568.501863425925</v>
      </c>
      <c r="D1423" s="1" t="s">
        <v>269</v>
      </c>
      <c r="E1423" s="1" t="s">
        <v>748</v>
      </c>
    </row>
    <row r="1424" spans="1:5" x14ac:dyDescent="0.2">
      <c r="A1424" s="1" t="s">
        <v>1</v>
      </c>
      <c r="B1424" s="1" t="s">
        <v>60</v>
      </c>
      <c r="C1424" s="5">
        <f>DATE(2024, 10, 2) + TIME(14, 15, 49)</f>
        <v>45567.594317129631</v>
      </c>
      <c r="D1424" s="1" t="s">
        <v>921</v>
      </c>
      <c r="E1424" s="1" t="s">
        <v>474</v>
      </c>
    </row>
    <row r="1425" spans="1:5" x14ac:dyDescent="0.2">
      <c r="A1425" s="1" t="s">
        <v>1</v>
      </c>
      <c r="B1425" s="1" t="s">
        <v>323</v>
      </c>
      <c r="C1425" s="5">
        <f>DATE(2024, 10, 2) + TIME(10, 46, 12)</f>
        <v>45567.448750000003</v>
      </c>
      <c r="D1425" s="1" t="s">
        <v>341</v>
      </c>
      <c r="E1425" s="1" t="s">
        <v>1009</v>
      </c>
    </row>
    <row r="1426" spans="1:5" x14ac:dyDescent="0.2">
      <c r="A1426" s="1" t="s">
        <v>1</v>
      </c>
      <c r="B1426" s="1" t="s">
        <v>60</v>
      </c>
      <c r="C1426" s="5">
        <f>DATE(2024, 10, 2) + TIME(10, 13, 50)</f>
        <v>45567.42627314815</v>
      </c>
      <c r="D1426" s="1" t="s">
        <v>640</v>
      </c>
      <c r="E1426" s="1" t="s">
        <v>611</v>
      </c>
    </row>
    <row r="1427" spans="1:5" x14ac:dyDescent="0.2">
      <c r="A1427" s="1" t="s">
        <v>1</v>
      </c>
      <c r="B1427" s="1" t="s">
        <v>60</v>
      </c>
      <c r="C1427" s="5">
        <f>DATE(2024, 10, 1) + TIME(11, 31, 49)</f>
        <v>45566.480428240742</v>
      </c>
      <c r="D1427" s="1" t="s">
        <v>566</v>
      </c>
      <c r="E1427" s="1" t="s">
        <v>997</v>
      </c>
    </row>
    <row r="1428" spans="1:5" x14ac:dyDescent="0.2">
      <c r="A1428" s="1" t="s">
        <v>1</v>
      </c>
      <c r="B1428" s="1" t="s">
        <v>866</v>
      </c>
      <c r="C1428" s="5">
        <f>DATE(2024, 9, 30) + TIME(14, 27, 24)</f>
        <v>45565.602361111109</v>
      </c>
      <c r="D1428" s="1" t="s">
        <v>450</v>
      </c>
      <c r="E1428" s="1" t="s">
        <v>573</v>
      </c>
    </row>
    <row r="1429" spans="1:5" x14ac:dyDescent="0.2">
      <c r="A1429" s="1" t="s">
        <v>1</v>
      </c>
      <c r="B1429" s="1" t="s">
        <v>60</v>
      </c>
      <c r="C1429" s="5">
        <f>DATE(2024, 9, 30) + TIME(14, 11, 10)</f>
        <v>45565.591087962966</v>
      </c>
      <c r="D1429" s="1" t="s">
        <v>921</v>
      </c>
      <c r="E1429" s="1" t="s">
        <v>462</v>
      </c>
    </row>
    <row r="1430" spans="1:5" x14ac:dyDescent="0.2">
      <c r="A1430" s="1" t="s">
        <v>1</v>
      </c>
      <c r="B1430" s="1" t="s">
        <v>60</v>
      </c>
      <c r="C1430" s="5">
        <f>DATE(2024, 9, 30) + TIME(13, 36, 27)</f>
        <v>45565.566979166666</v>
      </c>
      <c r="D1430" s="1" t="s">
        <v>566</v>
      </c>
      <c r="E1430" s="1" t="s">
        <v>1172</v>
      </c>
    </row>
    <row r="1431" spans="1:5" x14ac:dyDescent="0.2">
      <c r="A1431" s="1" t="s">
        <v>1</v>
      </c>
      <c r="B1431" s="1" t="s">
        <v>60</v>
      </c>
      <c r="C1431" s="5">
        <f>DATE(2024, 9, 30) + TIME(13, 33, 52)</f>
        <v>45565.565185185187</v>
      </c>
      <c r="D1431" s="1" t="s">
        <v>65</v>
      </c>
      <c r="E1431" s="1" t="s">
        <v>219</v>
      </c>
    </row>
    <row r="1432" spans="1:5" x14ac:dyDescent="0.2">
      <c r="A1432" s="1" t="s">
        <v>1</v>
      </c>
      <c r="B1432" s="1" t="s">
        <v>60</v>
      </c>
      <c r="C1432" s="5">
        <f>DATE(2024, 9, 30) + TIME(13, 28, 29)</f>
        <v>45565.56144675926</v>
      </c>
      <c r="D1432" s="1" t="s">
        <v>566</v>
      </c>
      <c r="E1432" s="1" t="s">
        <v>865</v>
      </c>
    </row>
    <row r="1433" spans="1:5" x14ac:dyDescent="0.2">
      <c r="A1433" s="1" t="s">
        <v>1</v>
      </c>
      <c r="B1433" s="1" t="s">
        <v>323</v>
      </c>
      <c r="C1433" s="5">
        <f>DATE(2024, 9, 30) + TIME(13, 28, 4)</f>
        <v>45565.561157407406</v>
      </c>
      <c r="D1433" s="1" t="s">
        <v>269</v>
      </c>
      <c r="E1433" s="1" t="s">
        <v>273</v>
      </c>
    </row>
    <row r="1434" spans="1:5" x14ac:dyDescent="0.2">
      <c r="A1434" s="1" t="s">
        <v>1</v>
      </c>
      <c r="B1434" s="1" t="s">
        <v>60</v>
      </c>
      <c r="C1434" s="5">
        <f>DATE(2024, 9, 30) + TIME(13, 3, 18)</f>
        <v>45565.543958333335</v>
      </c>
      <c r="D1434" s="1" t="s">
        <v>506</v>
      </c>
      <c r="E1434" s="1" t="s">
        <v>649</v>
      </c>
    </row>
    <row r="1435" spans="1:5" x14ac:dyDescent="0.2">
      <c r="A1435" s="1" t="s">
        <v>1</v>
      </c>
      <c r="B1435" s="1" t="s">
        <v>60</v>
      </c>
      <c r="C1435" s="5">
        <f>DATE(2024, 9, 30) + TIME(11, 47, 55)</f>
        <v>45565.491608796299</v>
      </c>
      <c r="D1435" s="1" t="s">
        <v>506</v>
      </c>
      <c r="E1435" s="1" t="s">
        <v>697</v>
      </c>
    </row>
    <row r="1436" spans="1:5" x14ac:dyDescent="0.2">
      <c r="A1436" s="1" t="s">
        <v>1</v>
      </c>
      <c r="B1436" s="1" t="s">
        <v>60</v>
      </c>
      <c r="C1436" s="5">
        <f>DATE(2024, 9, 26) + TIME(16, 3, 54)</f>
        <v>45561.669374999998</v>
      </c>
      <c r="D1436" s="1" t="s">
        <v>144</v>
      </c>
      <c r="E1436" s="1" t="s">
        <v>946</v>
      </c>
    </row>
    <row r="1437" spans="1:5" x14ac:dyDescent="0.2">
      <c r="A1437" s="1" t="s">
        <v>1</v>
      </c>
      <c r="B1437" s="1" t="s">
        <v>60</v>
      </c>
      <c r="C1437" s="5">
        <f>DATE(2024, 9, 26) + TIME(14, 58, 37)</f>
        <v>45561.624039351853</v>
      </c>
      <c r="D1437" s="1" t="s">
        <v>640</v>
      </c>
      <c r="E1437" s="1" t="s">
        <v>667</v>
      </c>
    </row>
    <row r="1438" spans="1:5" x14ac:dyDescent="0.2">
      <c r="A1438" s="1" t="s">
        <v>1</v>
      </c>
      <c r="B1438" s="1" t="s">
        <v>60</v>
      </c>
      <c r="C1438" s="5">
        <f>DATE(2024, 9, 26) + TIME(14, 22, 7)</f>
        <v>45561.598692129628</v>
      </c>
      <c r="D1438" s="1" t="s">
        <v>148</v>
      </c>
      <c r="E1438" s="1" t="s">
        <v>1175</v>
      </c>
    </row>
    <row r="1439" spans="1:5" x14ac:dyDescent="0.2">
      <c r="A1439" s="1" t="s">
        <v>1</v>
      </c>
      <c r="B1439" s="1" t="s">
        <v>866</v>
      </c>
      <c r="C1439" s="5">
        <f>DATE(2024, 9, 26) + TIME(13, 16, 18)</f>
        <v>45561.552986111114</v>
      </c>
      <c r="D1439" s="1" t="s">
        <v>450</v>
      </c>
      <c r="E1439" s="1" t="s">
        <v>691</v>
      </c>
    </row>
    <row r="1440" spans="1:5" x14ac:dyDescent="0.2">
      <c r="A1440" s="1" t="s">
        <v>1</v>
      </c>
      <c r="B1440" s="1" t="s">
        <v>60</v>
      </c>
      <c r="C1440" s="5">
        <f>DATE(2024, 9, 26) + TIME(12, 28, 2)</f>
        <v>45561.519467592596</v>
      </c>
      <c r="D1440" s="1" t="s">
        <v>320</v>
      </c>
      <c r="E1440" s="1" t="s">
        <v>698</v>
      </c>
    </row>
    <row r="1441" spans="1:5" x14ac:dyDescent="0.2">
      <c r="A1441" s="1" t="s">
        <v>1</v>
      </c>
      <c r="B1441" s="1" t="s">
        <v>866</v>
      </c>
      <c r="C1441" s="5">
        <f>DATE(2024, 9, 26) + TIME(12, 7, 29)</f>
        <v>45561.505196759259</v>
      </c>
      <c r="D1441" s="1" t="s">
        <v>450</v>
      </c>
      <c r="E1441" s="1" t="s">
        <v>345</v>
      </c>
    </row>
    <row r="1442" spans="1:5" x14ac:dyDescent="0.2">
      <c r="A1442" s="1" t="s">
        <v>1</v>
      </c>
      <c r="B1442" s="1" t="s">
        <v>60</v>
      </c>
      <c r="C1442" s="5">
        <f>DATE(2024, 9, 26) + TIME(11, 42, 22)</f>
        <v>45561.487754629627</v>
      </c>
      <c r="D1442" s="1" t="s">
        <v>269</v>
      </c>
      <c r="E1442" s="1" t="s">
        <v>748</v>
      </c>
    </row>
    <row r="1443" spans="1:5" x14ac:dyDescent="0.2">
      <c r="A1443" s="1" t="s">
        <v>1</v>
      </c>
      <c r="B1443" s="1" t="s">
        <v>60</v>
      </c>
      <c r="C1443" s="5">
        <f>DATE(2024, 9, 26) + TIME(10, 26, 7)</f>
        <v>45561.434803240743</v>
      </c>
      <c r="D1443" s="1" t="s">
        <v>640</v>
      </c>
      <c r="E1443" s="1" t="s">
        <v>283</v>
      </c>
    </row>
    <row r="1444" spans="1:5" x14ac:dyDescent="0.2">
      <c r="A1444" s="1" t="s">
        <v>1</v>
      </c>
      <c r="B1444" s="1" t="s">
        <v>60</v>
      </c>
      <c r="C1444" s="5">
        <f>DATE(2024, 9, 26) + TIME(7, 26, 26)</f>
        <v>45561.310023148151</v>
      </c>
      <c r="D1444" s="1" t="s">
        <v>269</v>
      </c>
      <c r="E1444" s="1" t="s">
        <v>461</v>
      </c>
    </row>
    <row r="1445" spans="1:5" x14ac:dyDescent="0.2">
      <c r="A1445" s="1" t="s">
        <v>1</v>
      </c>
      <c r="B1445" s="1" t="s">
        <v>60</v>
      </c>
      <c r="C1445" s="5">
        <f>DATE(2024, 9, 25) + TIME(14, 38, 21)</f>
        <v>45560.609965277778</v>
      </c>
      <c r="D1445" s="1" t="s">
        <v>396</v>
      </c>
      <c r="E1445" s="1" t="s">
        <v>140</v>
      </c>
    </row>
    <row r="1446" spans="1:5" x14ac:dyDescent="0.2">
      <c r="A1446" s="1" t="s">
        <v>1</v>
      </c>
      <c r="B1446" s="1" t="s">
        <v>60</v>
      </c>
      <c r="C1446" s="5">
        <f>DATE(2024, 9, 25) + TIME(13, 51, 5)</f>
        <v>45560.577141203707</v>
      </c>
      <c r="D1446" s="1" t="s">
        <v>356</v>
      </c>
      <c r="E1446" s="1" t="s">
        <v>769</v>
      </c>
    </row>
    <row r="1447" spans="1:5" x14ac:dyDescent="0.2">
      <c r="A1447" s="1" t="s">
        <v>1</v>
      </c>
      <c r="B1447" s="1" t="s">
        <v>866</v>
      </c>
      <c r="C1447" s="5">
        <f>DATE(2024, 9, 25) + TIME(13, 23, 13)</f>
        <v>45560.557789351849</v>
      </c>
      <c r="D1447" s="1" t="s">
        <v>450</v>
      </c>
      <c r="E1447" s="1" t="s">
        <v>159</v>
      </c>
    </row>
    <row r="1448" spans="1:5" x14ac:dyDescent="0.2">
      <c r="A1448" s="1" t="s">
        <v>1</v>
      </c>
      <c r="B1448" s="1" t="s">
        <v>60</v>
      </c>
      <c r="C1448" s="5">
        <f>DATE(2024, 9, 25) + TIME(13, 8, 23)</f>
        <v>45560.547488425924</v>
      </c>
      <c r="D1448" s="1" t="s">
        <v>396</v>
      </c>
      <c r="E1448" s="1" t="s">
        <v>567</v>
      </c>
    </row>
    <row r="1449" spans="1:5" x14ac:dyDescent="0.2">
      <c r="A1449" s="1" t="s">
        <v>1</v>
      </c>
      <c r="B1449" s="1" t="s">
        <v>564</v>
      </c>
      <c r="C1449" s="5">
        <f>DATE(2024, 9, 25) + TIME(11, 42, 4)</f>
        <v>45560.487546296295</v>
      </c>
      <c r="D1449" s="1" t="s">
        <v>320</v>
      </c>
      <c r="E1449" s="1" t="s">
        <v>90</v>
      </c>
    </row>
    <row r="1450" spans="1:5" x14ac:dyDescent="0.2">
      <c r="A1450" s="1" t="s">
        <v>1</v>
      </c>
      <c r="B1450" s="1" t="s">
        <v>60</v>
      </c>
      <c r="C1450" s="5">
        <f>DATE(2024, 9, 24) + TIME(15, 52, 11)</f>
        <v>45559.661238425928</v>
      </c>
      <c r="D1450" s="1" t="s">
        <v>398</v>
      </c>
      <c r="E1450" s="1" t="s">
        <v>142</v>
      </c>
    </row>
    <row r="1451" spans="1:5" x14ac:dyDescent="0.2">
      <c r="A1451" s="1" t="s">
        <v>1</v>
      </c>
      <c r="B1451" s="1" t="s">
        <v>60</v>
      </c>
      <c r="C1451" s="5">
        <f>DATE(2024, 9, 24) + TIME(15, 50, 18)</f>
        <v>45559.659930555557</v>
      </c>
      <c r="D1451" s="1" t="s">
        <v>255</v>
      </c>
      <c r="E1451" s="1" t="s">
        <v>298</v>
      </c>
    </row>
    <row r="1452" spans="1:5" x14ac:dyDescent="0.2">
      <c r="A1452" s="1" t="s">
        <v>1</v>
      </c>
      <c r="B1452" s="1" t="s">
        <v>866</v>
      </c>
      <c r="C1452" s="5">
        <f>DATE(2024, 9, 24) + TIME(15, 24, 42)</f>
        <v>45559.642152777778</v>
      </c>
      <c r="D1452" s="1" t="s">
        <v>869</v>
      </c>
      <c r="E1452" s="1" t="s">
        <v>275</v>
      </c>
    </row>
    <row r="1453" spans="1:5" x14ac:dyDescent="0.2">
      <c r="A1453" s="1" t="s">
        <v>1</v>
      </c>
      <c r="B1453" s="1" t="s">
        <v>60</v>
      </c>
      <c r="C1453" s="5">
        <f>DATE(2024, 9, 24) + TIME(14, 56, 23)</f>
        <v>45559.622488425928</v>
      </c>
      <c r="D1453" s="1" t="s">
        <v>506</v>
      </c>
      <c r="E1453" s="1" t="s">
        <v>83</v>
      </c>
    </row>
    <row r="1454" spans="1:5" x14ac:dyDescent="0.2">
      <c r="A1454" s="1" t="s">
        <v>1</v>
      </c>
      <c r="B1454" s="1" t="s">
        <v>60</v>
      </c>
      <c r="C1454" s="5">
        <f>DATE(2024, 9, 24) + TIME(13, 57, 38)</f>
        <v>45559.581689814811</v>
      </c>
      <c r="D1454" s="1" t="s">
        <v>3</v>
      </c>
      <c r="E1454" s="1" t="s">
        <v>571</v>
      </c>
    </row>
    <row r="1455" spans="1:5" x14ac:dyDescent="0.2">
      <c r="A1455" s="1" t="s">
        <v>1</v>
      </c>
      <c r="B1455" s="1" t="s">
        <v>866</v>
      </c>
      <c r="C1455" s="5">
        <f>DATE(2024, 9, 24) + TIME(13, 35, 15)</f>
        <v>45559.566145833334</v>
      </c>
      <c r="D1455" s="1" t="s">
        <v>863</v>
      </c>
      <c r="E1455" s="1" t="s">
        <v>170</v>
      </c>
    </row>
    <row r="1456" spans="1:5" x14ac:dyDescent="0.2">
      <c r="A1456" s="1" t="s">
        <v>1</v>
      </c>
      <c r="B1456" s="1" t="s">
        <v>60</v>
      </c>
      <c r="C1456" s="5">
        <f>DATE(2024, 9, 24) + TIME(13, 19, 10)</f>
        <v>45559.554976851854</v>
      </c>
      <c r="D1456" s="1" t="s">
        <v>506</v>
      </c>
      <c r="E1456" s="1" t="s">
        <v>702</v>
      </c>
    </row>
    <row r="1457" spans="1:5" x14ac:dyDescent="0.2">
      <c r="A1457" s="1" t="s">
        <v>1</v>
      </c>
      <c r="B1457" s="1" t="s">
        <v>60</v>
      </c>
      <c r="C1457" s="5">
        <f>DATE(2024, 9, 24) + TIME(12, 14, 45)</f>
        <v>45559.510243055556</v>
      </c>
      <c r="D1457" s="1" t="s">
        <v>467</v>
      </c>
      <c r="E1457" s="1" t="s">
        <v>770</v>
      </c>
    </row>
    <row r="1458" spans="1:5" x14ac:dyDescent="0.2">
      <c r="A1458" s="1" t="s">
        <v>1</v>
      </c>
      <c r="B1458" s="1" t="s">
        <v>60</v>
      </c>
      <c r="C1458" s="5">
        <f>DATE(2024, 9, 24) + TIME(12, 14, 26)</f>
        <v>45559.510023148148</v>
      </c>
      <c r="D1458" s="1" t="s">
        <v>320</v>
      </c>
      <c r="E1458" s="1" t="s">
        <v>95</v>
      </c>
    </row>
    <row r="1459" spans="1:5" x14ac:dyDescent="0.2">
      <c r="A1459" s="1" t="s">
        <v>1</v>
      </c>
      <c r="B1459" s="1" t="s">
        <v>60</v>
      </c>
      <c r="C1459" s="5">
        <f>DATE(2024, 9, 24) + TIME(12, 1, 47)</f>
        <v>45559.501238425924</v>
      </c>
      <c r="D1459" s="1" t="s">
        <v>65</v>
      </c>
      <c r="E1459" s="1" t="s">
        <v>432</v>
      </c>
    </row>
    <row r="1460" spans="1:5" x14ac:dyDescent="0.2">
      <c r="A1460" s="1" t="s">
        <v>1</v>
      </c>
      <c r="B1460" s="1" t="s">
        <v>60</v>
      </c>
      <c r="C1460" s="5">
        <f>DATE(2024, 9, 23) + TIME(16, 6, 21)</f>
        <v>45558.671076388891</v>
      </c>
      <c r="D1460" s="1" t="s">
        <v>391</v>
      </c>
      <c r="E1460" s="1" t="s">
        <v>883</v>
      </c>
    </row>
    <row r="1461" spans="1:5" x14ac:dyDescent="0.2">
      <c r="A1461" s="1" t="s">
        <v>1</v>
      </c>
      <c r="B1461" s="1" t="s">
        <v>60</v>
      </c>
      <c r="C1461" s="5">
        <f>DATE(2024, 9, 23) + TIME(15, 40, 54)</f>
        <v>45558.653402777774</v>
      </c>
      <c r="D1461" s="1" t="s">
        <v>391</v>
      </c>
      <c r="E1461" s="1" t="s">
        <v>336</v>
      </c>
    </row>
    <row r="1462" spans="1:5" x14ac:dyDescent="0.2">
      <c r="A1462" s="1" t="s">
        <v>1</v>
      </c>
      <c r="B1462" s="1" t="s">
        <v>60</v>
      </c>
      <c r="C1462" s="5">
        <f>DATE(2024, 9, 23) + TIME(15, 12, 48)</f>
        <v>45558.633888888886</v>
      </c>
      <c r="D1462" s="1" t="s">
        <v>391</v>
      </c>
      <c r="E1462" s="1" t="s">
        <v>619</v>
      </c>
    </row>
    <row r="1463" spans="1:5" x14ac:dyDescent="0.2">
      <c r="A1463" s="1" t="s">
        <v>1</v>
      </c>
      <c r="B1463" s="1" t="s">
        <v>60</v>
      </c>
      <c r="C1463" s="5">
        <f>DATE(2024, 9, 23) + TIME(14, 21, 30)</f>
        <v>45558.598263888889</v>
      </c>
      <c r="D1463" s="1" t="s">
        <v>65</v>
      </c>
      <c r="E1463" s="1" t="s">
        <v>219</v>
      </c>
    </row>
    <row r="1464" spans="1:5" x14ac:dyDescent="0.2">
      <c r="A1464" s="1" t="s">
        <v>1</v>
      </c>
      <c r="B1464" s="1" t="s">
        <v>60</v>
      </c>
      <c r="C1464" s="5">
        <f>DATE(2024, 9, 23) + TIME(14, 15, 8)</f>
        <v>45558.593842592592</v>
      </c>
      <c r="D1464" s="1" t="s">
        <v>144</v>
      </c>
      <c r="E1464" s="1" t="s">
        <v>695</v>
      </c>
    </row>
    <row r="1465" spans="1:5" x14ac:dyDescent="0.2">
      <c r="A1465" s="1" t="s">
        <v>1</v>
      </c>
      <c r="B1465" s="1" t="s">
        <v>866</v>
      </c>
      <c r="C1465" s="5">
        <f>DATE(2024, 9, 23) + TIME(12, 58, 32)</f>
        <v>45558.540648148148</v>
      </c>
      <c r="D1465" s="1" t="s">
        <v>576</v>
      </c>
      <c r="E1465" s="1" t="s">
        <v>727</v>
      </c>
    </row>
    <row r="1466" spans="1:5" x14ac:dyDescent="0.2">
      <c r="A1466" s="1" t="s">
        <v>1</v>
      </c>
      <c r="B1466" s="1" t="s">
        <v>60</v>
      </c>
      <c r="C1466" s="5">
        <f>DATE(2024, 9, 23) + TIME(11, 20, 33)</f>
        <v>45558.472604166665</v>
      </c>
      <c r="D1466" s="1" t="s">
        <v>566</v>
      </c>
      <c r="E1466" s="1" t="s">
        <v>865</v>
      </c>
    </row>
    <row r="1467" spans="1:5" x14ac:dyDescent="0.2">
      <c r="A1467" s="1" t="s">
        <v>1</v>
      </c>
      <c r="B1467" s="1" t="s">
        <v>60</v>
      </c>
      <c r="C1467" s="5">
        <f>DATE(2024, 9, 23) + TIME(10, 57, 21)</f>
        <v>45558.456493055557</v>
      </c>
      <c r="D1467" s="1" t="s">
        <v>3</v>
      </c>
      <c r="E1467" s="1" t="s">
        <v>168</v>
      </c>
    </row>
    <row r="1468" spans="1:5" x14ac:dyDescent="0.2">
      <c r="A1468" s="1" t="s">
        <v>1</v>
      </c>
      <c r="B1468" s="1" t="s">
        <v>60</v>
      </c>
      <c r="C1468" s="5">
        <f>DATE(2024, 9, 19) + TIME(16, 12, 30)</f>
        <v>45554.675347222219</v>
      </c>
      <c r="D1468" s="1" t="s">
        <v>640</v>
      </c>
      <c r="E1468" s="1" t="s">
        <v>70</v>
      </c>
    </row>
    <row r="1469" spans="1:5" x14ac:dyDescent="0.2">
      <c r="A1469" s="1" t="s">
        <v>1</v>
      </c>
      <c r="B1469" s="1" t="s">
        <v>866</v>
      </c>
      <c r="C1469" s="5">
        <f>DATE(2024, 9, 19) + TIME(15, 0, 22)</f>
        <v>45554.625254629631</v>
      </c>
      <c r="D1469" s="1" t="s">
        <v>450</v>
      </c>
      <c r="E1469" s="1" t="s">
        <v>345</v>
      </c>
    </row>
    <row r="1470" spans="1:5" x14ac:dyDescent="0.2">
      <c r="A1470" s="1" t="s">
        <v>1</v>
      </c>
      <c r="B1470" s="1" t="s">
        <v>866</v>
      </c>
      <c r="C1470" s="5">
        <f>DATE(2024, 9, 19) + TIME(14, 59, 23)</f>
        <v>45554.624571759261</v>
      </c>
      <c r="D1470" s="1" t="s">
        <v>450</v>
      </c>
      <c r="E1470" s="1" t="s">
        <v>691</v>
      </c>
    </row>
    <row r="1471" spans="1:5" x14ac:dyDescent="0.2">
      <c r="A1471" s="1" t="s">
        <v>1</v>
      </c>
      <c r="B1471" s="1" t="s">
        <v>60</v>
      </c>
      <c r="C1471" s="5">
        <f>DATE(2024, 9, 19) + TIME(14, 12, 27)</f>
        <v>45554.591979166667</v>
      </c>
      <c r="D1471" s="1" t="s">
        <v>5</v>
      </c>
      <c r="E1471" s="1" t="s">
        <v>763</v>
      </c>
    </row>
    <row r="1472" spans="1:5" x14ac:dyDescent="0.2">
      <c r="A1472" s="1" t="s">
        <v>1</v>
      </c>
      <c r="B1472" s="1" t="s">
        <v>60</v>
      </c>
      <c r="C1472" s="5">
        <f>DATE(2024, 9, 19) + TIME(12, 56, 18)</f>
        <v>45554.539097222223</v>
      </c>
      <c r="D1472" s="1" t="s">
        <v>1054</v>
      </c>
      <c r="E1472" s="1" t="s">
        <v>657</v>
      </c>
    </row>
    <row r="1473" spans="1:5" x14ac:dyDescent="0.2">
      <c r="A1473" s="1" t="s">
        <v>1</v>
      </c>
      <c r="B1473" s="1" t="s">
        <v>60</v>
      </c>
      <c r="C1473" s="5">
        <f>DATE(2024, 9, 19) + TIME(12, 47, 27)</f>
        <v>45554.532951388886</v>
      </c>
      <c r="D1473" s="1" t="s">
        <v>396</v>
      </c>
      <c r="E1473" s="1" t="s">
        <v>140</v>
      </c>
    </row>
    <row r="1474" spans="1:5" x14ac:dyDescent="0.2">
      <c r="A1474" s="1" t="s">
        <v>1</v>
      </c>
      <c r="B1474" s="1" t="s">
        <v>60</v>
      </c>
      <c r="C1474" s="5">
        <f>DATE(2024, 9, 19) + TIME(12, 4, 32)</f>
        <v>45554.503148148149</v>
      </c>
      <c r="D1474" s="1" t="s">
        <v>1054</v>
      </c>
      <c r="E1474" s="1" t="s">
        <v>809</v>
      </c>
    </row>
    <row r="1475" spans="1:5" x14ac:dyDescent="0.2">
      <c r="A1475" s="1" t="s">
        <v>1</v>
      </c>
      <c r="B1475" s="1" t="s">
        <v>60</v>
      </c>
      <c r="C1475" s="5">
        <f>DATE(2024, 9, 19) + TIME(10, 53, 14)</f>
        <v>45554.453634259262</v>
      </c>
      <c r="D1475" s="1" t="s">
        <v>216</v>
      </c>
      <c r="E1475" s="1" t="s">
        <v>372</v>
      </c>
    </row>
    <row r="1476" spans="1:5" x14ac:dyDescent="0.2">
      <c r="A1476" s="1" t="s">
        <v>1</v>
      </c>
      <c r="B1476" s="1" t="s">
        <v>60</v>
      </c>
      <c r="C1476" s="5">
        <f>DATE(2024, 9, 19) + TIME(10, 29, 34)</f>
        <v>45554.437199074076</v>
      </c>
      <c r="D1476" s="1" t="s">
        <v>356</v>
      </c>
      <c r="E1476" s="1" t="s">
        <v>340</v>
      </c>
    </row>
    <row r="1477" spans="1:5" x14ac:dyDescent="0.2">
      <c r="A1477" s="1" t="s">
        <v>1</v>
      </c>
      <c r="B1477" s="1" t="s">
        <v>60</v>
      </c>
      <c r="C1477" s="5">
        <f>DATE(2024, 9, 18) + TIME(12, 44, 31)</f>
        <v>45553.530914351853</v>
      </c>
      <c r="D1477" s="1" t="s">
        <v>396</v>
      </c>
      <c r="E1477" s="1" t="s">
        <v>286</v>
      </c>
    </row>
    <row r="1478" spans="1:5" x14ac:dyDescent="0.2">
      <c r="A1478" s="1" t="s">
        <v>1</v>
      </c>
      <c r="B1478" s="1" t="s">
        <v>60</v>
      </c>
      <c r="C1478" s="5">
        <f>DATE(2024, 9, 18) + TIME(11, 34, 25)</f>
        <v>45553.482233796298</v>
      </c>
      <c r="D1478" s="1" t="s">
        <v>731</v>
      </c>
      <c r="E1478" s="1" t="s">
        <v>432</v>
      </c>
    </row>
    <row r="1479" spans="1:5" x14ac:dyDescent="0.2">
      <c r="A1479" s="1" t="s">
        <v>1</v>
      </c>
      <c r="B1479" s="1" t="s">
        <v>60</v>
      </c>
      <c r="C1479" s="5">
        <f>DATE(2024, 9, 18) + TIME(11, 5, 1)</f>
        <v>45553.461817129632</v>
      </c>
      <c r="D1479" s="1" t="s">
        <v>396</v>
      </c>
      <c r="E1479" s="1" t="s">
        <v>507</v>
      </c>
    </row>
    <row r="1480" spans="1:5" x14ac:dyDescent="0.2">
      <c r="A1480" s="1" t="s">
        <v>1</v>
      </c>
      <c r="B1480" s="1" t="s">
        <v>60</v>
      </c>
      <c r="C1480" s="5">
        <f>DATE(2024, 9, 17) + TIME(15, 29, 54)</f>
        <v>45552.64576388889</v>
      </c>
      <c r="D1480" s="1" t="s">
        <v>391</v>
      </c>
      <c r="E1480" s="1" t="s">
        <v>336</v>
      </c>
    </row>
    <row r="1481" spans="1:5" x14ac:dyDescent="0.2">
      <c r="A1481" s="1" t="s">
        <v>1</v>
      </c>
      <c r="B1481" s="1" t="s">
        <v>60</v>
      </c>
      <c r="C1481" s="5">
        <f>DATE(2024, 9, 17) + TIME(14, 58, 42)</f>
        <v>45552.624097222222</v>
      </c>
      <c r="D1481" s="1" t="s">
        <v>3</v>
      </c>
      <c r="E1481" s="1" t="s">
        <v>571</v>
      </c>
    </row>
    <row r="1482" spans="1:5" x14ac:dyDescent="0.2">
      <c r="A1482" s="1" t="s">
        <v>1</v>
      </c>
      <c r="B1482" s="1" t="s">
        <v>60</v>
      </c>
      <c r="C1482" s="5">
        <f>DATE(2024, 9, 17) + TIME(14, 8, 29)</f>
        <v>45552.589224537034</v>
      </c>
      <c r="D1482" s="1" t="s">
        <v>148</v>
      </c>
      <c r="E1482" s="1" t="s">
        <v>361</v>
      </c>
    </row>
    <row r="1483" spans="1:5" x14ac:dyDescent="0.2">
      <c r="A1483" s="1" t="s">
        <v>1</v>
      </c>
      <c r="B1483" s="1" t="s">
        <v>60</v>
      </c>
      <c r="C1483" s="5">
        <f>DATE(2024, 9, 17) + TIME(13, 48, 19)</f>
        <v>45552.575219907405</v>
      </c>
      <c r="D1483" s="1" t="s">
        <v>65</v>
      </c>
      <c r="E1483" s="1" t="s">
        <v>227</v>
      </c>
    </row>
    <row r="1484" spans="1:5" x14ac:dyDescent="0.2">
      <c r="A1484" s="1" t="s">
        <v>1</v>
      </c>
      <c r="B1484" s="1" t="s">
        <v>60</v>
      </c>
      <c r="C1484" s="5">
        <f>DATE(2024, 9, 17) + TIME(12, 55, 2)</f>
        <v>45552.538217592592</v>
      </c>
      <c r="D1484" s="1" t="s">
        <v>566</v>
      </c>
      <c r="E1484" s="1" t="s">
        <v>997</v>
      </c>
    </row>
    <row r="1485" spans="1:5" x14ac:dyDescent="0.2">
      <c r="A1485" s="1" t="s">
        <v>1</v>
      </c>
      <c r="B1485" s="1" t="s">
        <v>866</v>
      </c>
      <c r="C1485" s="5">
        <f>DATE(2024, 9, 17) + TIME(12, 25, 21)</f>
        <v>45552.517604166664</v>
      </c>
      <c r="D1485" s="1" t="s">
        <v>869</v>
      </c>
      <c r="E1485" s="1" t="s">
        <v>275</v>
      </c>
    </row>
    <row r="1486" spans="1:5" x14ac:dyDescent="0.2">
      <c r="A1486" s="1" t="s">
        <v>1</v>
      </c>
      <c r="B1486" s="1" t="s">
        <v>866</v>
      </c>
      <c r="C1486" s="5">
        <f>DATE(2024, 9, 17) + TIME(12, 20, 21)</f>
        <v>45552.514131944445</v>
      </c>
      <c r="D1486" s="1" t="s">
        <v>869</v>
      </c>
      <c r="E1486" s="1" t="s">
        <v>832</v>
      </c>
    </row>
    <row r="1487" spans="1:5" x14ac:dyDescent="0.2">
      <c r="A1487" s="1" t="s">
        <v>1</v>
      </c>
      <c r="B1487" s="1" t="s">
        <v>60</v>
      </c>
      <c r="C1487" s="5">
        <f>DATE(2024, 9, 17) + TIME(12, 16, 59)</f>
        <v>45552.511793981481</v>
      </c>
      <c r="D1487" s="1" t="s">
        <v>65</v>
      </c>
      <c r="E1487" s="1" t="s">
        <v>111</v>
      </c>
    </row>
    <row r="1488" spans="1:5" x14ac:dyDescent="0.2">
      <c r="A1488" s="1" t="s">
        <v>1</v>
      </c>
      <c r="B1488" s="1" t="s">
        <v>866</v>
      </c>
      <c r="C1488" s="5">
        <f>DATE(2024, 9, 17) + TIME(9, 34, 11)</f>
        <v>45552.398738425924</v>
      </c>
      <c r="D1488" s="1" t="s">
        <v>869</v>
      </c>
      <c r="E1488" s="1" t="s">
        <v>830</v>
      </c>
    </row>
    <row r="1489" spans="1:5" x14ac:dyDescent="0.2">
      <c r="A1489" s="1" t="s">
        <v>1</v>
      </c>
      <c r="B1489" s="1" t="s">
        <v>60</v>
      </c>
      <c r="C1489" s="5">
        <f>DATE(2024, 9, 16) + TIME(16, 3, 17)</f>
        <v>45551.668946759259</v>
      </c>
      <c r="D1489" s="1" t="s">
        <v>65</v>
      </c>
      <c r="E1489" s="1" t="s">
        <v>400</v>
      </c>
    </row>
    <row r="1490" spans="1:5" x14ac:dyDescent="0.2">
      <c r="A1490" s="1" t="s">
        <v>1</v>
      </c>
      <c r="B1490" s="1" t="s">
        <v>60</v>
      </c>
      <c r="C1490" s="5">
        <f>DATE(2024, 9, 16) + TIME(14, 9, 35)</f>
        <v>45551.589988425927</v>
      </c>
      <c r="D1490" s="1" t="s">
        <v>391</v>
      </c>
      <c r="E1490" s="1" t="s">
        <v>883</v>
      </c>
    </row>
    <row r="1491" spans="1:5" x14ac:dyDescent="0.2">
      <c r="A1491" s="1" t="s">
        <v>1</v>
      </c>
      <c r="B1491" s="1" t="s">
        <v>60</v>
      </c>
      <c r="C1491" s="5">
        <f>DATE(2024, 9, 16) + TIME(13, 32, 29)</f>
        <v>45551.56422453704</v>
      </c>
      <c r="D1491" s="1" t="s">
        <v>566</v>
      </c>
      <c r="E1491" s="1" t="s">
        <v>865</v>
      </c>
    </row>
    <row r="1492" spans="1:5" x14ac:dyDescent="0.2">
      <c r="A1492" s="1" t="s">
        <v>1</v>
      </c>
      <c r="B1492" s="1" t="s">
        <v>60</v>
      </c>
      <c r="C1492" s="5">
        <f>DATE(2024, 9, 16) + TIME(12, 11, 34)</f>
        <v>45551.508032407408</v>
      </c>
      <c r="D1492" s="1" t="s">
        <v>3</v>
      </c>
      <c r="E1492" s="1" t="s">
        <v>625</v>
      </c>
    </row>
    <row r="1493" spans="1:5" x14ac:dyDescent="0.2">
      <c r="A1493" s="1" t="s">
        <v>1</v>
      </c>
      <c r="B1493" s="1" t="s">
        <v>60</v>
      </c>
      <c r="C1493" s="5">
        <f>DATE(2024, 9, 16) + TIME(11, 39, 46)</f>
        <v>45551.485949074071</v>
      </c>
      <c r="D1493" s="1" t="s">
        <v>269</v>
      </c>
      <c r="E1493" s="1" t="s">
        <v>748</v>
      </c>
    </row>
    <row r="1494" spans="1:5" x14ac:dyDescent="0.2">
      <c r="A1494" s="1" t="s">
        <v>1</v>
      </c>
      <c r="B1494" s="1" t="s">
        <v>323</v>
      </c>
      <c r="C1494" s="5">
        <f>DATE(2024, 9, 16) + TIME(11, 39, 16)</f>
        <v>45551.485601851855</v>
      </c>
      <c r="D1494" s="1" t="s">
        <v>269</v>
      </c>
      <c r="E1494" s="1" t="s">
        <v>299</v>
      </c>
    </row>
    <row r="1495" spans="1:5" x14ac:dyDescent="0.2">
      <c r="A1495" s="1" t="s">
        <v>1</v>
      </c>
      <c r="B1495" s="1" t="s">
        <v>60</v>
      </c>
      <c r="C1495" s="5">
        <f>DATE(2024, 9, 16) + TIME(10, 30, 10)</f>
        <v>45551.437615740739</v>
      </c>
      <c r="D1495" s="1" t="s">
        <v>450</v>
      </c>
      <c r="E1495" s="1" t="s">
        <v>691</v>
      </c>
    </row>
    <row r="1496" spans="1:5" x14ac:dyDescent="0.2">
      <c r="A1496" s="1" t="s">
        <v>1</v>
      </c>
      <c r="B1496" s="1" t="s">
        <v>60</v>
      </c>
      <c r="C1496" s="5">
        <f>DATE(2024, 9, 16) + TIME(10, 29, 15)</f>
        <v>45551.436979166669</v>
      </c>
      <c r="D1496" s="1" t="s">
        <v>3</v>
      </c>
      <c r="E1496" s="1" t="s">
        <v>696</v>
      </c>
    </row>
    <row r="1497" spans="1:5" x14ac:dyDescent="0.2">
      <c r="A1497" s="1" t="s">
        <v>1</v>
      </c>
      <c r="B1497" s="1" t="s">
        <v>60</v>
      </c>
      <c r="C1497" s="5">
        <f>DATE(2024, 9, 16) + TIME(10, 29, 15)</f>
        <v>45551.436979166669</v>
      </c>
      <c r="D1497" s="1" t="s">
        <v>3</v>
      </c>
      <c r="E1497" s="1" t="s">
        <v>168</v>
      </c>
    </row>
    <row r="1498" spans="1:5" x14ac:dyDescent="0.2">
      <c r="A1498" s="1" t="s">
        <v>1</v>
      </c>
      <c r="B1498" s="1" t="s">
        <v>60</v>
      </c>
      <c r="C1498" s="5">
        <f>DATE(2024, 9, 12) + TIME(18, 20, 47)</f>
        <v>45547.764432870368</v>
      </c>
      <c r="D1498" s="1" t="s">
        <v>269</v>
      </c>
      <c r="E1498" s="1" t="s">
        <v>461</v>
      </c>
    </row>
    <row r="1499" spans="1:5" x14ac:dyDescent="0.2">
      <c r="A1499" s="1" t="s">
        <v>1</v>
      </c>
      <c r="B1499" s="1" t="s">
        <v>60</v>
      </c>
      <c r="C1499" s="5">
        <f>DATE(2024, 9, 11) + TIME(15, 50, 49)</f>
        <v>45546.66028935185</v>
      </c>
      <c r="D1499" s="1" t="s">
        <v>148</v>
      </c>
      <c r="E1499" s="1" t="s">
        <v>480</v>
      </c>
    </row>
    <row r="1500" spans="1:5" x14ac:dyDescent="0.2">
      <c r="A1500" s="1" t="s">
        <v>1</v>
      </c>
      <c r="B1500" s="1" t="s">
        <v>60</v>
      </c>
      <c r="C1500" s="5">
        <f>DATE(2024, 9, 11) + TIME(14, 39, 33)</f>
        <v>45546.610798611109</v>
      </c>
      <c r="D1500" s="1" t="s">
        <v>506</v>
      </c>
      <c r="E1500" s="1" t="s">
        <v>867</v>
      </c>
    </row>
    <row r="1501" spans="1:5" x14ac:dyDescent="0.2">
      <c r="A1501" s="1" t="s">
        <v>1</v>
      </c>
      <c r="B1501" s="1" t="s">
        <v>564</v>
      </c>
      <c r="C1501" s="5">
        <f>DATE(2024, 9, 11) + TIME(13, 17, 40)</f>
        <v>45546.553935185184</v>
      </c>
      <c r="D1501" s="1" t="s">
        <v>396</v>
      </c>
      <c r="E1501" s="1" t="s">
        <v>567</v>
      </c>
    </row>
    <row r="1502" spans="1:5" x14ac:dyDescent="0.2">
      <c r="A1502" s="1" t="s">
        <v>1</v>
      </c>
      <c r="B1502" s="1" t="s">
        <v>60</v>
      </c>
      <c r="C1502" s="5">
        <f>DATE(2024, 9, 11) + TIME(8, 32, 36)</f>
        <v>45546.35597222222</v>
      </c>
      <c r="D1502" s="1" t="s">
        <v>396</v>
      </c>
      <c r="E1502" s="1" t="s">
        <v>1086</v>
      </c>
    </row>
    <row r="1503" spans="1:5" x14ac:dyDescent="0.2">
      <c r="A1503" s="1" t="s">
        <v>1</v>
      </c>
      <c r="B1503" s="1" t="s">
        <v>60</v>
      </c>
      <c r="C1503" s="5">
        <f>DATE(2024, 9, 11) + TIME(8, 20, 6)</f>
        <v>45546.347291666665</v>
      </c>
      <c r="D1503" s="1" t="s">
        <v>269</v>
      </c>
      <c r="E1503" s="1" t="s">
        <v>748</v>
      </c>
    </row>
    <row r="1504" spans="1:5" x14ac:dyDescent="0.2">
      <c r="A1504" s="1" t="s">
        <v>1</v>
      </c>
      <c r="B1504" s="1" t="s">
        <v>60</v>
      </c>
      <c r="C1504" s="5">
        <f>DATE(2024, 9, 10) + TIME(16, 7, 27)</f>
        <v>45545.671840277777</v>
      </c>
      <c r="D1504" s="1" t="s">
        <v>391</v>
      </c>
      <c r="E1504" s="1" t="s">
        <v>336</v>
      </c>
    </row>
    <row r="1505" spans="1:5" x14ac:dyDescent="0.2">
      <c r="A1505" s="1" t="s">
        <v>1</v>
      </c>
      <c r="B1505" s="1" t="s">
        <v>323</v>
      </c>
      <c r="C1505" s="5">
        <f>DATE(2024, 9, 10) + TIME(13, 38, 8)</f>
        <v>45545.568148148152</v>
      </c>
      <c r="D1505" s="1" t="s">
        <v>341</v>
      </c>
      <c r="E1505" s="1" t="s">
        <v>185</v>
      </c>
    </row>
    <row r="1506" spans="1:5" x14ac:dyDescent="0.2">
      <c r="A1506" s="1" t="s">
        <v>1</v>
      </c>
      <c r="B1506" s="1" t="s">
        <v>60</v>
      </c>
      <c r="C1506" s="5">
        <f>DATE(2024, 9, 10) + TIME(13, 30, 11)</f>
        <v>45545.562627314815</v>
      </c>
      <c r="D1506" s="1" t="s">
        <v>506</v>
      </c>
      <c r="E1506" s="1" t="s">
        <v>370</v>
      </c>
    </row>
    <row r="1507" spans="1:5" x14ac:dyDescent="0.2">
      <c r="A1507" s="1" t="s">
        <v>1</v>
      </c>
      <c r="B1507" s="1" t="s">
        <v>60</v>
      </c>
      <c r="C1507" s="5">
        <f>DATE(2024, 9, 10) + TIME(10, 54, 8)</f>
        <v>45545.454259259262</v>
      </c>
      <c r="D1507" s="1" t="s">
        <v>3</v>
      </c>
      <c r="E1507" s="1" t="s">
        <v>571</v>
      </c>
    </row>
    <row r="1508" spans="1:5" x14ac:dyDescent="0.2">
      <c r="A1508" s="1" t="s">
        <v>1</v>
      </c>
      <c r="B1508" s="1" t="s">
        <v>323</v>
      </c>
      <c r="C1508" s="5">
        <f>DATE(2024, 9, 10) + TIME(10, 52, 24)</f>
        <v>45545.453055555554</v>
      </c>
      <c r="D1508" s="1" t="s">
        <v>341</v>
      </c>
      <c r="E1508" s="1" t="s">
        <v>151</v>
      </c>
    </row>
    <row r="1509" spans="1:5" x14ac:dyDescent="0.2">
      <c r="A1509" s="1" t="s">
        <v>1</v>
      </c>
      <c r="B1509" s="1" t="s">
        <v>60</v>
      </c>
      <c r="C1509" s="5">
        <f>DATE(2024, 9, 10) + TIME(9, 48, 17)</f>
        <v>45545.408530092594</v>
      </c>
      <c r="D1509" s="1" t="s">
        <v>65</v>
      </c>
      <c r="E1509" s="1" t="s">
        <v>918</v>
      </c>
    </row>
    <row r="1510" spans="1:5" x14ac:dyDescent="0.2">
      <c r="A1510" s="1" t="s">
        <v>1</v>
      </c>
      <c r="B1510" s="1" t="s">
        <v>60</v>
      </c>
      <c r="C1510" s="5">
        <f>DATE(2024, 9, 9) + TIME(16, 21, 0)</f>
        <v>45544.681250000001</v>
      </c>
      <c r="D1510" s="1" t="s">
        <v>391</v>
      </c>
      <c r="E1510" s="1" t="s">
        <v>883</v>
      </c>
    </row>
    <row r="1511" spans="1:5" x14ac:dyDescent="0.2">
      <c r="A1511" s="1" t="s">
        <v>1</v>
      </c>
      <c r="B1511" s="1" t="s">
        <v>60</v>
      </c>
      <c r="C1511" s="5">
        <f>DATE(2024, 9, 9) + TIME(15, 47, 28)</f>
        <v>45544.657962962963</v>
      </c>
      <c r="D1511" s="1" t="s">
        <v>398</v>
      </c>
      <c r="E1511" s="1" t="s">
        <v>142</v>
      </c>
    </row>
    <row r="1512" spans="1:5" x14ac:dyDescent="0.2">
      <c r="A1512" s="1" t="s">
        <v>1</v>
      </c>
      <c r="B1512" s="1" t="s">
        <v>60</v>
      </c>
      <c r="C1512" s="5">
        <f>DATE(2024, 9, 9) + TIME(15, 23, 56)</f>
        <v>45544.64162037037</v>
      </c>
      <c r="D1512" s="1" t="s">
        <v>3</v>
      </c>
      <c r="E1512" s="1" t="s">
        <v>1129</v>
      </c>
    </row>
    <row r="1513" spans="1:5" x14ac:dyDescent="0.2">
      <c r="A1513" s="1" t="s">
        <v>1</v>
      </c>
      <c r="B1513" s="1" t="s">
        <v>60</v>
      </c>
      <c r="C1513" s="5">
        <f>DATE(2024, 9, 9) + TIME(15, 17, 58)</f>
        <v>45544.637476851851</v>
      </c>
      <c r="D1513" s="1" t="s">
        <v>638</v>
      </c>
      <c r="E1513" s="1" t="s">
        <v>188</v>
      </c>
    </row>
    <row r="1514" spans="1:5" x14ac:dyDescent="0.2">
      <c r="A1514" s="1" t="s">
        <v>1</v>
      </c>
      <c r="B1514" s="1" t="s">
        <v>60</v>
      </c>
      <c r="C1514" s="5">
        <f>DATE(2024, 9, 9) + TIME(14, 41, 30)</f>
        <v>45544.61215277778</v>
      </c>
      <c r="D1514" s="1" t="s">
        <v>391</v>
      </c>
      <c r="E1514" s="1" t="s">
        <v>619</v>
      </c>
    </row>
    <row r="1515" spans="1:5" x14ac:dyDescent="0.2">
      <c r="A1515" s="1" t="s">
        <v>1</v>
      </c>
      <c r="B1515" s="1" t="s">
        <v>60</v>
      </c>
      <c r="C1515" s="5">
        <f>DATE(2024, 9, 9) + TIME(14, 16, 59)</f>
        <v>45544.595127314817</v>
      </c>
      <c r="D1515" s="1" t="s">
        <v>566</v>
      </c>
      <c r="E1515" s="1" t="s">
        <v>865</v>
      </c>
    </row>
    <row r="1516" spans="1:5" x14ac:dyDescent="0.2">
      <c r="A1516" s="1" t="s">
        <v>1</v>
      </c>
      <c r="B1516" s="1" t="s">
        <v>323</v>
      </c>
      <c r="C1516" s="5">
        <f>DATE(2024, 9, 9) + TIME(14, 14, 31)</f>
        <v>45544.593414351853</v>
      </c>
      <c r="D1516" s="1" t="s">
        <v>64</v>
      </c>
      <c r="E1516" s="1" t="s">
        <v>630</v>
      </c>
    </row>
    <row r="1517" spans="1:5" x14ac:dyDescent="0.2">
      <c r="A1517" s="1" t="s">
        <v>1</v>
      </c>
      <c r="B1517" s="1" t="s">
        <v>60</v>
      </c>
      <c r="C1517" s="5">
        <f>DATE(2024, 9, 9) + TIME(11, 28, 7)</f>
        <v>45544.477858796294</v>
      </c>
      <c r="D1517" s="1" t="s">
        <v>269</v>
      </c>
      <c r="E1517" s="1" t="s">
        <v>748</v>
      </c>
    </row>
    <row r="1518" spans="1:5" x14ac:dyDescent="0.2">
      <c r="A1518" s="1" t="s">
        <v>1</v>
      </c>
      <c r="B1518" s="1" t="s">
        <v>60</v>
      </c>
      <c r="C1518" s="5">
        <f>DATE(2024, 9, 9) + TIME(10, 24, 35)</f>
        <v>45544.433738425927</v>
      </c>
      <c r="D1518" s="1" t="s">
        <v>3</v>
      </c>
      <c r="E1518" s="1" t="s">
        <v>168</v>
      </c>
    </row>
    <row r="1519" spans="1:5" x14ac:dyDescent="0.2">
      <c r="A1519" s="1" t="s">
        <v>1</v>
      </c>
      <c r="B1519" s="1" t="s">
        <v>60</v>
      </c>
      <c r="C1519" s="5">
        <f>DATE(2024, 9, 9) + TIME(9, 53, 6)</f>
        <v>45544.411874999998</v>
      </c>
      <c r="D1519" s="1" t="s">
        <v>5</v>
      </c>
      <c r="E1519" s="1" t="s">
        <v>405</v>
      </c>
    </row>
    <row r="1520" spans="1:5" x14ac:dyDescent="0.2">
      <c r="A1520" s="1" t="s">
        <v>1</v>
      </c>
      <c r="B1520" s="1" t="s">
        <v>60</v>
      </c>
      <c r="C1520" s="5">
        <f>DATE(2024, 9, 5) + TIME(15, 22, 30)</f>
        <v>45540.640625</v>
      </c>
      <c r="D1520" s="1" t="s">
        <v>638</v>
      </c>
      <c r="E1520" s="1" t="s">
        <v>362</v>
      </c>
    </row>
    <row r="1521" spans="1:5" x14ac:dyDescent="0.2">
      <c r="A1521" s="1" t="s">
        <v>1</v>
      </c>
      <c r="B1521" s="1" t="s">
        <v>60</v>
      </c>
      <c r="C1521" s="5">
        <f>DATE(2024, 9, 5) + TIME(14, 49, 31)</f>
        <v>45540.617719907408</v>
      </c>
      <c r="D1521" s="1" t="s">
        <v>5</v>
      </c>
      <c r="E1521" s="1" t="s">
        <v>763</v>
      </c>
    </row>
    <row r="1522" spans="1:5" x14ac:dyDescent="0.2">
      <c r="A1522" s="1" t="s">
        <v>1</v>
      </c>
      <c r="B1522" s="1" t="s">
        <v>60</v>
      </c>
      <c r="C1522" s="5">
        <f>DATE(2024, 9, 5) + TIME(13, 7, 1)</f>
        <v>45540.546539351853</v>
      </c>
      <c r="D1522" s="1" t="s">
        <v>1054</v>
      </c>
      <c r="E1522" s="1" t="s">
        <v>657</v>
      </c>
    </row>
    <row r="1523" spans="1:5" x14ac:dyDescent="0.2">
      <c r="A1523" s="1" t="s">
        <v>1</v>
      </c>
      <c r="B1523" s="1" t="s">
        <v>60</v>
      </c>
      <c r="C1523" s="5">
        <f>DATE(2024, 9, 5) + TIME(12, 51, 18)</f>
        <v>45540.535624999997</v>
      </c>
      <c r="D1523" s="1" t="s">
        <v>226</v>
      </c>
      <c r="E1523" s="1" t="s">
        <v>330</v>
      </c>
    </row>
    <row r="1524" spans="1:5" x14ac:dyDescent="0.2">
      <c r="A1524" s="1" t="s">
        <v>1</v>
      </c>
      <c r="B1524" s="1" t="s">
        <v>60</v>
      </c>
      <c r="C1524" s="5">
        <f>DATE(2024, 9, 5) + TIME(12, 49, 13)</f>
        <v>45540.534178240741</v>
      </c>
      <c r="D1524" s="1" t="s">
        <v>1054</v>
      </c>
      <c r="E1524" s="1" t="s">
        <v>145</v>
      </c>
    </row>
    <row r="1525" spans="1:5" x14ac:dyDescent="0.2">
      <c r="A1525" s="1" t="s">
        <v>1</v>
      </c>
      <c r="B1525" s="1" t="s">
        <v>323</v>
      </c>
      <c r="C1525" s="5">
        <f>DATE(2024, 9, 5) + TIME(12, 28, 4)</f>
        <v>45540.519490740742</v>
      </c>
      <c r="D1525" s="1" t="s">
        <v>269</v>
      </c>
      <c r="E1525" s="1" t="s">
        <v>748</v>
      </c>
    </row>
    <row r="1526" spans="1:5" x14ac:dyDescent="0.2">
      <c r="A1526" s="1" t="s">
        <v>1</v>
      </c>
      <c r="B1526" s="1" t="s">
        <v>323</v>
      </c>
      <c r="C1526" s="5">
        <f>DATE(2024, 9, 4) + TIME(14, 55, 36)</f>
        <v>45539.621944444443</v>
      </c>
      <c r="D1526" s="1" t="s">
        <v>64</v>
      </c>
      <c r="E1526" s="1" t="s">
        <v>213</v>
      </c>
    </row>
    <row r="1527" spans="1:5" x14ac:dyDescent="0.2">
      <c r="A1527" s="1" t="s">
        <v>1</v>
      </c>
      <c r="B1527" s="1" t="s">
        <v>644</v>
      </c>
      <c r="C1527" s="5">
        <f>DATE(2024, 9, 4) + TIME(12, 25, 52)</f>
        <v>45539.517962962964</v>
      </c>
      <c r="D1527" s="1" t="s">
        <v>396</v>
      </c>
      <c r="E1527" s="1" t="s">
        <v>286</v>
      </c>
    </row>
    <row r="1528" spans="1:5" x14ac:dyDescent="0.2">
      <c r="A1528" s="1" t="s">
        <v>1</v>
      </c>
      <c r="B1528" s="1" t="s">
        <v>60</v>
      </c>
      <c r="C1528" s="5">
        <f>DATE(2024, 9, 3) + TIME(15, 48, 10)</f>
        <v>45538.658449074072</v>
      </c>
      <c r="D1528" s="1" t="s">
        <v>391</v>
      </c>
      <c r="E1528" s="1" t="s">
        <v>336</v>
      </c>
    </row>
    <row r="1529" spans="1:5" x14ac:dyDescent="0.2">
      <c r="A1529" s="1" t="s">
        <v>1</v>
      </c>
      <c r="B1529" s="1" t="s">
        <v>60</v>
      </c>
      <c r="C1529" s="5">
        <f>DATE(2024, 9, 3) + TIME(15, 48, 10)</f>
        <v>45538.658449074072</v>
      </c>
      <c r="D1529" s="1" t="s">
        <v>391</v>
      </c>
      <c r="E1529" s="1" t="s">
        <v>559</v>
      </c>
    </row>
    <row r="1530" spans="1:5" x14ac:dyDescent="0.2">
      <c r="A1530" s="1" t="s">
        <v>1</v>
      </c>
      <c r="B1530" s="1" t="s">
        <v>60</v>
      </c>
      <c r="C1530" s="5">
        <f>DATE(2024, 9, 3) + TIME(15, 2, 14)</f>
        <v>45538.626550925925</v>
      </c>
      <c r="D1530" s="1" t="s">
        <v>64</v>
      </c>
      <c r="E1530" s="1" t="s">
        <v>889</v>
      </c>
    </row>
    <row r="1531" spans="1:5" x14ac:dyDescent="0.2">
      <c r="A1531" s="1" t="s">
        <v>1</v>
      </c>
      <c r="B1531" s="1" t="s">
        <v>60</v>
      </c>
      <c r="C1531" s="5">
        <f>DATE(2024, 9, 3) + TIME(14, 3, 4)</f>
        <v>45538.585462962961</v>
      </c>
      <c r="D1531" s="1" t="s">
        <v>65</v>
      </c>
      <c r="E1531" s="1" t="s">
        <v>227</v>
      </c>
    </row>
    <row r="1532" spans="1:5" x14ac:dyDescent="0.2">
      <c r="A1532" s="1" t="s">
        <v>1</v>
      </c>
      <c r="B1532" s="1" t="s">
        <v>60</v>
      </c>
      <c r="C1532" s="5">
        <f>DATE(2024, 9, 3) + TIME(13, 39, 42)</f>
        <v>45538.569236111114</v>
      </c>
      <c r="D1532" s="1" t="s">
        <v>869</v>
      </c>
      <c r="E1532" s="1" t="s">
        <v>832</v>
      </c>
    </row>
    <row r="1533" spans="1:5" x14ac:dyDescent="0.2">
      <c r="A1533" s="1" t="s">
        <v>1</v>
      </c>
      <c r="B1533" s="1" t="s">
        <v>564</v>
      </c>
      <c r="C1533" s="5">
        <f>DATE(2024, 9, 3) + TIME(13, 34, 57)</f>
        <v>45538.565937500003</v>
      </c>
      <c r="D1533" s="1" t="s">
        <v>566</v>
      </c>
      <c r="E1533" s="1" t="s">
        <v>997</v>
      </c>
    </row>
    <row r="1534" spans="1:5" x14ac:dyDescent="0.2">
      <c r="A1534" s="1" t="s">
        <v>1</v>
      </c>
      <c r="B1534" s="1" t="s">
        <v>60</v>
      </c>
      <c r="C1534" s="5">
        <f>DATE(2024, 9, 3) + TIME(9, 12, 58)</f>
        <v>45538.384004629632</v>
      </c>
      <c r="D1534" s="1" t="s">
        <v>869</v>
      </c>
      <c r="E1534" s="1" t="s">
        <v>830</v>
      </c>
    </row>
    <row r="1535" spans="1:5" x14ac:dyDescent="0.2">
      <c r="A1535" s="1" t="s">
        <v>1</v>
      </c>
      <c r="B1535" s="1" t="s">
        <v>60</v>
      </c>
      <c r="C1535" s="5">
        <f>DATE(2024, 9, 2) + TIME(11, 20, 9)</f>
        <v>45537.472326388888</v>
      </c>
      <c r="D1535" s="1" t="s">
        <v>3</v>
      </c>
      <c r="E1535" s="1" t="s">
        <v>168</v>
      </c>
    </row>
    <row r="1536" spans="1:5" x14ac:dyDescent="0.2">
      <c r="A1536" s="1" t="s">
        <v>1</v>
      </c>
      <c r="B1536" s="1" t="s">
        <v>60</v>
      </c>
      <c r="C1536" s="5">
        <f>DATE(2024, 9, 2) + TIME(9, 34, 23)</f>
        <v>45537.398877314816</v>
      </c>
      <c r="D1536" s="1" t="s">
        <v>566</v>
      </c>
      <c r="E1536" s="1" t="s">
        <v>865</v>
      </c>
    </row>
    <row r="1537" spans="1:5" x14ac:dyDescent="0.2">
      <c r="A1537" s="1" t="s">
        <v>1</v>
      </c>
      <c r="B1537" s="1" t="s">
        <v>60</v>
      </c>
      <c r="C1537" s="5">
        <f>DATE(2024, 8, 29) + TIME(16, 44, 16)</f>
        <v>45533.69740740741</v>
      </c>
      <c r="D1537" s="1" t="s">
        <v>638</v>
      </c>
      <c r="E1537" s="1" t="s">
        <v>315</v>
      </c>
    </row>
    <row r="1538" spans="1:5" x14ac:dyDescent="0.2">
      <c r="A1538" s="1" t="s">
        <v>1</v>
      </c>
      <c r="B1538" s="1" t="s">
        <v>60</v>
      </c>
      <c r="C1538" s="5">
        <f>DATE(2024, 8, 29) + TIME(15, 30, 4)</f>
        <v>45533.645879629628</v>
      </c>
      <c r="D1538" s="1" t="s">
        <v>5</v>
      </c>
      <c r="E1538" s="1" t="s">
        <v>763</v>
      </c>
    </row>
    <row r="1539" spans="1:5" x14ac:dyDescent="0.2">
      <c r="A1539" s="1" t="s">
        <v>1</v>
      </c>
      <c r="B1539" s="1" t="s">
        <v>60</v>
      </c>
      <c r="C1539" s="5">
        <f>DATE(2024, 8, 29) + TIME(15, 14, 43)</f>
        <v>45533.63521990741</v>
      </c>
      <c r="D1539" s="1" t="s">
        <v>148</v>
      </c>
      <c r="E1539" s="1" t="s">
        <v>480</v>
      </c>
    </row>
    <row r="1540" spans="1:5" x14ac:dyDescent="0.2">
      <c r="A1540" s="1" t="s">
        <v>1</v>
      </c>
      <c r="B1540" s="1" t="s">
        <v>60</v>
      </c>
      <c r="C1540" s="5">
        <f>DATE(2024, 8, 29) + TIME(15, 2, 39)</f>
        <v>45533.626840277779</v>
      </c>
      <c r="D1540" s="1" t="s">
        <v>391</v>
      </c>
      <c r="E1540" s="1" t="s">
        <v>619</v>
      </c>
    </row>
    <row r="1541" spans="1:5" x14ac:dyDescent="0.2">
      <c r="A1541" s="1" t="s">
        <v>1</v>
      </c>
      <c r="B1541" s="1" t="s">
        <v>60</v>
      </c>
      <c r="C1541" s="5">
        <f>DATE(2024, 8, 29) + TIME(15, 2, 39)</f>
        <v>45533.626840277779</v>
      </c>
      <c r="D1541" s="1" t="s">
        <v>391</v>
      </c>
      <c r="E1541" s="1" t="s">
        <v>883</v>
      </c>
    </row>
    <row r="1542" spans="1:5" x14ac:dyDescent="0.2">
      <c r="A1542" s="1" t="s">
        <v>1</v>
      </c>
      <c r="B1542" s="1" t="s">
        <v>60</v>
      </c>
      <c r="C1542" s="5">
        <f>DATE(2024, 8, 29) + TIME(14, 11, 18)</f>
        <v>45533.591180555559</v>
      </c>
      <c r="D1542" s="1" t="s">
        <v>144</v>
      </c>
      <c r="E1542" s="1" t="s">
        <v>946</v>
      </c>
    </row>
    <row r="1543" spans="1:5" x14ac:dyDescent="0.2">
      <c r="A1543" s="1" t="s">
        <v>1</v>
      </c>
      <c r="B1543" s="1" t="s">
        <v>60</v>
      </c>
      <c r="C1543" s="5">
        <f>DATE(2024, 8, 29) + TIME(14, 5, 45)</f>
        <v>45533.587326388886</v>
      </c>
      <c r="D1543" s="1" t="s">
        <v>506</v>
      </c>
      <c r="E1543" s="1" t="s">
        <v>370</v>
      </c>
    </row>
    <row r="1544" spans="1:5" x14ac:dyDescent="0.2">
      <c r="A1544" s="1" t="s">
        <v>1</v>
      </c>
      <c r="B1544" s="1" t="s">
        <v>60</v>
      </c>
      <c r="C1544" s="5">
        <f>DATE(2024, 8, 29) + TIME(12, 39, 7)</f>
        <v>45533.52716435185</v>
      </c>
      <c r="D1544" s="1" t="s">
        <v>638</v>
      </c>
      <c r="E1544" s="1" t="s">
        <v>157</v>
      </c>
    </row>
    <row r="1545" spans="1:5" x14ac:dyDescent="0.2">
      <c r="A1545" s="1" t="s">
        <v>1</v>
      </c>
      <c r="B1545" s="1" t="s">
        <v>60</v>
      </c>
      <c r="C1545" s="5">
        <f>DATE(2024, 8, 29) + TIME(11, 14, 59)</f>
        <v>45533.468738425923</v>
      </c>
      <c r="D1545" s="1" t="s">
        <v>269</v>
      </c>
      <c r="E1545" s="1" t="s">
        <v>299</v>
      </c>
    </row>
    <row r="1546" spans="1:5" x14ac:dyDescent="0.2">
      <c r="A1546" s="1" t="s">
        <v>1</v>
      </c>
      <c r="B1546" s="1" t="s">
        <v>866</v>
      </c>
      <c r="C1546" s="5">
        <f>DATE(2024, 8, 28) + TIME(14, 16, 59)</f>
        <v>45532.595127314817</v>
      </c>
      <c r="D1546" s="1" t="s">
        <v>506</v>
      </c>
      <c r="E1546" s="1" t="s">
        <v>702</v>
      </c>
    </row>
    <row r="1547" spans="1:5" x14ac:dyDescent="0.2">
      <c r="A1547" s="1" t="s">
        <v>1</v>
      </c>
      <c r="B1547" s="1" t="s">
        <v>60</v>
      </c>
      <c r="C1547" s="5">
        <f>DATE(2024, 8, 28) + TIME(13, 36, 35)</f>
        <v>45532.567071759258</v>
      </c>
      <c r="D1547" s="1" t="s">
        <v>5</v>
      </c>
      <c r="E1547" s="1" t="s">
        <v>757</v>
      </c>
    </row>
    <row r="1548" spans="1:5" x14ac:dyDescent="0.2">
      <c r="A1548" s="1" t="s">
        <v>1</v>
      </c>
      <c r="B1548" s="1" t="s">
        <v>60</v>
      </c>
      <c r="C1548" s="5">
        <f>DATE(2024, 8, 27) + TIME(15, 23, 52)</f>
        <v>45531.641574074078</v>
      </c>
      <c r="D1548" s="1" t="s">
        <v>863</v>
      </c>
      <c r="E1548" s="1" t="s">
        <v>170</v>
      </c>
    </row>
    <row r="1549" spans="1:5" x14ac:dyDescent="0.2">
      <c r="A1549" s="1" t="s">
        <v>1</v>
      </c>
      <c r="B1549" s="1" t="s">
        <v>60</v>
      </c>
      <c r="C1549" s="5">
        <f>DATE(2024, 8, 27) + TIME(15, 17, 38)</f>
        <v>45531.637245370373</v>
      </c>
      <c r="D1549" s="1" t="s">
        <v>506</v>
      </c>
      <c r="E1549" s="1" t="s">
        <v>83</v>
      </c>
    </row>
    <row r="1550" spans="1:5" x14ac:dyDescent="0.2">
      <c r="A1550" s="1" t="s">
        <v>1</v>
      </c>
      <c r="B1550" s="1" t="s">
        <v>564</v>
      </c>
      <c r="C1550" s="5">
        <f>DATE(2024, 8, 27) + TIME(14, 12, 33)</f>
        <v>45531.592048611114</v>
      </c>
      <c r="D1550" s="1" t="s">
        <v>148</v>
      </c>
      <c r="E1550" s="1" t="s">
        <v>435</v>
      </c>
    </row>
    <row r="1551" spans="1:5" x14ac:dyDescent="0.2">
      <c r="A1551" s="1" t="s">
        <v>1</v>
      </c>
      <c r="B1551" s="1" t="s">
        <v>564</v>
      </c>
      <c r="C1551" s="5">
        <f>DATE(2024, 8, 27) + TIME(14, 12, 30)</f>
        <v>45531.592013888891</v>
      </c>
      <c r="D1551" s="1" t="s">
        <v>148</v>
      </c>
      <c r="E1551" s="1" t="s">
        <v>17</v>
      </c>
    </row>
    <row r="1552" spans="1:5" x14ac:dyDescent="0.2">
      <c r="A1552" s="1" t="s">
        <v>1</v>
      </c>
      <c r="B1552" s="1" t="s">
        <v>60</v>
      </c>
      <c r="C1552" s="5">
        <f>DATE(2024, 8, 27) + TIME(13, 39, 23)</f>
        <v>45531.569016203706</v>
      </c>
      <c r="D1552" s="1" t="s">
        <v>65</v>
      </c>
      <c r="E1552" s="1" t="s">
        <v>227</v>
      </c>
    </row>
    <row r="1553" spans="1:5" x14ac:dyDescent="0.2">
      <c r="A1553" s="1" t="s">
        <v>1</v>
      </c>
      <c r="B1553" s="1" t="s">
        <v>60</v>
      </c>
      <c r="C1553" s="5">
        <f>DATE(2024, 8, 27) + TIME(12, 2, 33)</f>
        <v>45531.501770833333</v>
      </c>
      <c r="D1553" s="1" t="s">
        <v>3</v>
      </c>
      <c r="E1553" s="1" t="s">
        <v>571</v>
      </c>
    </row>
    <row r="1554" spans="1:5" x14ac:dyDescent="0.2">
      <c r="A1554" s="1" t="s">
        <v>1</v>
      </c>
      <c r="B1554" s="1" t="s">
        <v>927</v>
      </c>
      <c r="C1554" s="5">
        <f>DATE(2024, 8, 27) + TIME(11, 32, 43)</f>
        <v>45531.481053240743</v>
      </c>
      <c r="D1554" s="1" t="s">
        <v>65</v>
      </c>
      <c r="E1554" s="1" t="s">
        <v>758</v>
      </c>
    </row>
    <row r="1555" spans="1:5" x14ac:dyDescent="0.2">
      <c r="A1555" s="1" t="s">
        <v>1</v>
      </c>
      <c r="B1555" s="1" t="s">
        <v>60</v>
      </c>
      <c r="C1555" s="5">
        <f>DATE(2024, 8, 27) + TIME(8, 49, 2)</f>
        <v>45531.367384259262</v>
      </c>
      <c r="D1555" s="1" t="s">
        <v>65</v>
      </c>
      <c r="E1555" s="1" t="s">
        <v>152</v>
      </c>
    </row>
    <row r="1556" spans="1:5" x14ac:dyDescent="0.2">
      <c r="A1556" s="1" t="s">
        <v>1</v>
      </c>
      <c r="B1556" s="1" t="s">
        <v>323</v>
      </c>
      <c r="C1556" s="5">
        <f>DATE(2024, 8, 26) + TIME(14, 48, 43)</f>
        <v>45530.617164351854</v>
      </c>
      <c r="D1556" s="1" t="s">
        <v>64</v>
      </c>
      <c r="E1556" s="1" t="s">
        <v>630</v>
      </c>
    </row>
    <row r="1557" spans="1:5" x14ac:dyDescent="0.2">
      <c r="A1557" s="1" t="s">
        <v>1</v>
      </c>
      <c r="B1557" s="1" t="s">
        <v>60</v>
      </c>
      <c r="C1557" s="5">
        <f>DATE(2024, 8, 26) + TIME(14, 37, 5)</f>
        <v>45530.609085648146</v>
      </c>
      <c r="D1557" s="1" t="s">
        <v>126</v>
      </c>
      <c r="E1557" s="1" t="s">
        <v>416</v>
      </c>
    </row>
    <row r="1558" spans="1:5" x14ac:dyDescent="0.2">
      <c r="A1558" s="1" t="s">
        <v>1</v>
      </c>
      <c r="B1558" s="1" t="s">
        <v>60</v>
      </c>
      <c r="C1558" s="5">
        <f>DATE(2024, 8, 26) + TIME(13, 58, 38)</f>
        <v>45530.582384259258</v>
      </c>
      <c r="D1558" s="1" t="s">
        <v>921</v>
      </c>
      <c r="E1558" s="1" t="s">
        <v>462</v>
      </c>
    </row>
    <row r="1559" spans="1:5" x14ac:dyDescent="0.2">
      <c r="A1559" s="1" t="s">
        <v>1</v>
      </c>
      <c r="B1559" s="1" t="s">
        <v>60</v>
      </c>
      <c r="C1559" s="5">
        <f>DATE(2024, 8, 26) + TIME(13, 56, 4)</f>
        <v>45530.580601851849</v>
      </c>
      <c r="D1559" s="1" t="s">
        <v>65</v>
      </c>
      <c r="E1559" s="1" t="s">
        <v>400</v>
      </c>
    </row>
    <row r="1560" spans="1:5" x14ac:dyDescent="0.2">
      <c r="A1560" s="1" t="s">
        <v>1</v>
      </c>
      <c r="B1560" s="1" t="s">
        <v>60</v>
      </c>
      <c r="C1560" s="5">
        <f>DATE(2024, 8, 26) + TIME(11, 54, 55)</f>
        <v>45530.496469907404</v>
      </c>
      <c r="D1560" s="1" t="s">
        <v>566</v>
      </c>
      <c r="E1560" s="1" t="s">
        <v>865</v>
      </c>
    </row>
    <row r="1561" spans="1:5" x14ac:dyDescent="0.2">
      <c r="A1561" s="1" t="s">
        <v>1</v>
      </c>
      <c r="B1561" s="1" t="s">
        <v>60</v>
      </c>
      <c r="C1561" s="5">
        <f>DATE(2024, 8, 26) + TIME(11, 37, 8)</f>
        <v>45530.484120370369</v>
      </c>
      <c r="D1561" s="1" t="s">
        <v>269</v>
      </c>
      <c r="E1561" s="1" t="s">
        <v>748</v>
      </c>
    </row>
    <row r="1562" spans="1:5" x14ac:dyDescent="0.2">
      <c r="A1562" s="1" t="s">
        <v>1</v>
      </c>
      <c r="B1562" s="1" t="s">
        <v>60</v>
      </c>
      <c r="C1562" s="5">
        <f>DATE(2024, 8, 26) + TIME(9, 47, 30)</f>
        <v>45530.407986111109</v>
      </c>
      <c r="D1562" s="1" t="s">
        <v>5</v>
      </c>
      <c r="E1562" s="1" t="s">
        <v>405</v>
      </c>
    </row>
    <row r="1563" spans="1:5" x14ac:dyDescent="0.2">
      <c r="A1563" s="1" t="s">
        <v>1</v>
      </c>
      <c r="B1563" s="1" t="s">
        <v>60</v>
      </c>
      <c r="C1563" s="5">
        <f>DATE(2024, 8, 26) + TIME(9, 30, 58)</f>
        <v>45530.396504629629</v>
      </c>
      <c r="D1563" s="1" t="s">
        <v>5</v>
      </c>
      <c r="E1563" s="1" t="s">
        <v>795</v>
      </c>
    </row>
    <row r="1564" spans="1:5" x14ac:dyDescent="0.2">
      <c r="A1564" s="1" t="s">
        <v>1</v>
      </c>
      <c r="B1564" s="1" t="s">
        <v>60</v>
      </c>
      <c r="C1564" s="5">
        <f>DATE(2024, 8, 25) + TIME(15, 30, 11)</f>
        <v>45529.645960648151</v>
      </c>
      <c r="D1564" s="1" t="s">
        <v>398</v>
      </c>
      <c r="E1564" s="1" t="s">
        <v>142</v>
      </c>
    </row>
    <row r="1565" spans="1:5" x14ac:dyDescent="0.2">
      <c r="A1565" s="1" t="s">
        <v>1</v>
      </c>
      <c r="B1565" s="1" t="s">
        <v>60</v>
      </c>
      <c r="C1565" s="5">
        <f>DATE(2024, 8, 22) + TIME(15, 37, 57)</f>
        <v>45526.651354166665</v>
      </c>
      <c r="D1565" s="1" t="s">
        <v>216</v>
      </c>
      <c r="E1565" s="1" t="s">
        <v>372</v>
      </c>
    </row>
    <row r="1566" spans="1:5" x14ac:dyDescent="0.2">
      <c r="A1566" s="1" t="s">
        <v>1</v>
      </c>
      <c r="B1566" s="1" t="s">
        <v>60</v>
      </c>
      <c r="C1566" s="5">
        <f>DATE(2024, 8, 22) + TIME(14, 40, 23)</f>
        <v>45526.611377314817</v>
      </c>
      <c r="D1566" s="1" t="s">
        <v>148</v>
      </c>
      <c r="E1566" s="1" t="s">
        <v>480</v>
      </c>
    </row>
    <row r="1567" spans="1:5" x14ac:dyDescent="0.2">
      <c r="A1567" s="1" t="s">
        <v>1</v>
      </c>
      <c r="B1567" s="1" t="s">
        <v>866</v>
      </c>
      <c r="C1567" s="5">
        <f>DATE(2024, 8, 22) + TIME(14, 32, 5)</f>
        <v>45526.605613425927</v>
      </c>
      <c r="D1567" s="1" t="s">
        <v>356</v>
      </c>
      <c r="E1567" s="1" t="s">
        <v>883</v>
      </c>
    </row>
    <row r="1568" spans="1:5" x14ac:dyDescent="0.2">
      <c r="A1568" s="1" t="s">
        <v>1</v>
      </c>
      <c r="B1568" s="1" t="s">
        <v>790</v>
      </c>
      <c r="C1568" s="5">
        <f>DATE(2024, 8, 22) + TIME(14, 24, 36)</f>
        <v>45526.600416666668</v>
      </c>
      <c r="D1568" s="1" t="s">
        <v>1054</v>
      </c>
      <c r="E1568" s="1" t="s">
        <v>1156</v>
      </c>
    </row>
    <row r="1569" spans="1:5" x14ac:dyDescent="0.2">
      <c r="A1569" s="1" t="s">
        <v>1</v>
      </c>
      <c r="B1569" s="1" t="s">
        <v>60</v>
      </c>
      <c r="C1569" s="5">
        <f>DATE(2024, 8, 22) + TIME(14, 18, 38)</f>
        <v>45526.596273148149</v>
      </c>
      <c r="D1569" s="1" t="s">
        <v>5</v>
      </c>
      <c r="E1569" s="1" t="s">
        <v>763</v>
      </c>
    </row>
    <row r="1570" spans="1:5" x14ac:dyDescent="0.2">
      <c r="A1570" s="1" t="s">
        <v>1</v>
      </c>
      <c r="B1570" s="1" t="s">
        <v>866</v>
      </c>
      <c r="C1570" s="5">
        <f>DATE(2024, 8, 22) + TIME(13, 56, 3)</f>
        <v>45526.580590277779</v>
      </c>
      <c r="D1570" s="1" t="s">
        <v>356</v>
      </c>
      <c r="E1570" s="1" t="s">
        <v>619</v>
      </c>
    </row>
    <row r="1571" spans="1:5" x14ac:dyDescent="0.2">
      <c r="A1571" s="1" t="s">
        <v>1</v>
      </c>
      <c r="B1571" s="1" t="s">
        <v>866</v>
      </c>
      <c r="C1571" s="5">
        <f>DATE(2024, 8, 22) + TIME(13, 56, 3)</f>
        <v>45526.580590277779</v>
      </c>
      <c r="D1571" s="1" t="s">
        <v>356</v>
      </c>
      <c r="E1571" s="1" t="s">
        <v>829</v>
      </c>
    </row>
    <row r="1572" spans="1:5" x14ac:dyDescent="0.2">
      <c r="A1572" s="1" t="s">
        <v>1</v>
      </c>
      <c r="B1572" s="1" t="s">
        <v>60</v>
      </c>
      <c r="C1572" s="5">
        <f>DATE(2024, 8, 22) + TIME(13, 43, 53)</f>
        <v>45526.572141203702</v>
      </c>
      <c r="D1572" s="1" t="s">
        <v>450</v>
      </c>
      <c r="E1572" s="1" t="s">
        <v>345</v>
      </c>
    </row>
    <row r="1573" spans="1:5" x14ac:dyDescent="0.2">
      <c r="A1573" s="1" t="s">
        <v>1</v>
      </c>
      <c r="B1573" s="1" t="s">
        <v>60</v>
      </c>
      <c r="C1573" s="5">
        <f>DATE(2024, 8, 22) + TIME(13, 34, 20)</f>
        <v>45526.565509259257</v>
      </c>
      <c r="D1573" s="1" t="s">
        <v>1054</v>
      </c>
      <c r="E1573" s="1" t="s">
        <v>657</v>
      </c>
    </row>
    <row r="1574" spans="1:5" x14ac:dyDescent="0.2">
      <c r="A1574" s="1" t="s">
        <v>1</v>
      </c>
      <c r="B1574" s="1" t="s">
        <v>60</v>
      </c>
      <c r="C1574" s="5">
        <f>DATE(2024, 8, 22) + TIME(13, 15, 38)</f>
        <v>45526.552523148152</v>
      </c>
      <c r="D1574" s="1" t="s">
        <v>396</v>
      </c>
      <c r="E1574" s="1" t="s">
        <v>1086</v>
      </c>
    </row>
    <row r="1575" spans="1:5" x14ac:dyDescent="0.2">
      <c r="A1575" s="1" t="s">
        <v>1</v>
      </c>
      <c r="B1575" s="1" t="s">
        <v>60</v>
      </c>
      <c r="C1575" s="5">
        <f>DATE(2024, 8, 22) + TIME(12, 55, 38)</f>
        <v>45526.538634259261</v>
      </c>
      <c r="D1575" s="1" t="s">
        <v>638</v>
      </c>
      <c r="E1575" s="1" t="s">
        <v>157</v>
      </c>
    </row>
    <row r="1576" spans="1:5" x14ac:dyDescent="0.2">
      <c r="A1576" s="1" t="s">
        <v>1</v>
      </c>
      <c r="B1576" s="1" t="s">
        <v>60</v>
      </c>
      <c r="C1576" s="5">
        <f>DATE(2024, 8, 22) + TIME(12, 26, 51)</f>
        <v>45526.518645833334</v>
      </c>
      <c r="D1576" s="1" t="s">
        <v>255</v>
      </c>
      <c r="E1576" s="1" t="s">
        <v>6</v>
      </c>
    </row>
    <row r="1577" spans="1:5" x14ac:dyDescent="0.2">
      <c r="A1577" s="1" t="s">
        <v>1</v>
      </c>
      <c r="B1577" s="1" t="s">
        <v>60</v>
      </c>
      <c r="C1577" s="5">
        <f>DATE(2024, 8, 22) + TIME(11, 45, 38)</f>
        <v>45526.490023148152</v>
      </c>
      <c r="D1577" s="1" t="s">
        <v>269</v>
      </c>
      <c r="E1577" s="1" t="s">
        <v>748</v>
      </c>
    </row>
    <row r="1578" spans="1:5" x14ac:dyDescent="0.2">
      <c r="A1578" s="1" t="s">
        <v>1</v>
      </c>
      <c r="B1578" s="1" t="s">
        <v>323</v>
      </c>
      <c r="C1578" s="5">
        <f>DATE(2024, 8, 21) + TIME(15, 13, 25)</f>
        <v>45525.634317129632</v>
      </c>
      <c r="D1578" s="1" t="s">
        <v>64</v>
      </c>
      <c r="E1578" s="1" t="s">
        <v>213</v>
      </c>
    </row>
    <row r="1579" spans="1:5" x14ac:dyDescent="0.2">
      <c r="A1579" s="1" t="s">
        <v>1</v>
      </c>
      <c r="B1579" s="1" t="s">
        <v>272</v>
      </c>
      <c r="C1579" s="5">
        <f>DATE(2024, 8, 21) + TIME(14, 24, 32)</f>
        <v>45525.600370370368</v>
      </c>
      <c r="D1579" s="1" t="s">
        <v>731</v>
      </c>
      <c r="E1579" s="1" t="s">
        <v>611</v>
      </c>
    </row>
    <row r="1580" spans="1:5" x14ac:dyDescent="0.2">
      <c r="A1580" s="1" t="s">
        <v>1</v>
      </c>
      <c r="B1580" s="1" t="s">
        <v>60</v>
      </c>
      <c r="C1580" s="5">
        <f>DATE(2024, 8, 21) + TIME(13, 41, 38)</f>
        <v>45525.5705787037</v>
      </c>
      <c r="D1580" s="1" t="s">
        <v>921</v>
      </c>
      <c r="E1580" s="1" t="s">
        <v>474</v>
      </c>
    </row>
    <row r="1581" spans="1:5" x14ac:dyDescent="0.2">
      <c r="A1581" s="1" t="s">
        <v>1</v>
      </c>
      <c r="B1581" s="1" t="s">
        <v>60</v>
      </c>
      <c r="C1581" s="5">
        <f>DATE(2024, 8, 21) + TIME(12, 17, 34)</f>
        <v>45525.512199074074</v>
      </c>
      <c r="D1581" s="1" t="s">
        <v>65</v>
      </c>
      <c r="E1581" s="1" t="s">
        <v>432</v>
      </c>
    </row>
    <row r="1582" spans="1:5" x14ac:dyDescent="0.2">
      <c r="A1582" s="1" t="s">
        <v>1</v>
      </c>
      <c r="B1582" s="1" t="s">
        <v>60</v>
      </c>
      <c r="C1582" s="5">
        <f>DATE(2024, 8, 21) + TIME(11, 7, 10)</f>
        <v>45525.463310185187</v>
      </c>
      <c r="D1582" s="1" t="s">
        <v>396</v>
      </c>
      <c r="E1582" s="1" t="s">
        <v>507</v>
      </c>
    </row>
    <row r="1583" spans="1:5" x14ac:dyDescent="0.2">
      <c r="A1583" s="1" t="s">
        <v>1</v>
      </c>
      <c r="B1583" s="1" t="s">
        <v>60</v>
      </c>
      <c r="C1583" s="5">
        <f>DATE(2024, 8, 20) + TIME(14, 25, 34)</f>
        <v>45524.601087962961</v>
      </c>
      <c r="D1583" s="1" t="s">
        <v>65</v>
      </c>
      <c r="E1583" s="1" t="s">
        <v>227</v>
      </c>
    </row>
    <row r="1584" spans="1:5" x14ac:dyDescent="0.2">
      <c r="A1584" s="1" t="s">
        <v>1</v>
      </c>
      <c r="B1584" s="1" t="s">
        <v>60</v>
      </c>
      <c r="C1584" s="5">
        <f>DATE(2024, 8, 20) + TIME(13, 55, 24)</f>
        <v>45524.580138888887</v>
      </c>
      <c r="D1584" s="1" t="s">
        <v>3</v>
      </c>
      <c r="E1584" s="1" t="s">
        <v>571</v>
      </c>
    </row>
    <row r="1585" spans="1:5" x14ac:dyDescent="0.2">
      <c r="A1585" s="1" t="s">
        <v>1</v>
      </c>
      <c r="B1585" s="1" t="s">
        <v>60</v>
      </c>
      <c r="C1585" s="5">
        <f>DATE(2024, 8, 20) + TIME(13, 14, 8)</f>
        <v>45524.551481481481</v>
      </c>
      <c r="D1585" s="1" t="s">
        <v>126</v>
      </c>
      <c r="E1585" s="1" t="s">
        <v>581</v>
      </c>
    </row>
    <row r="1586" spans="1:5" x14ac:dyDescent="0.2">
      <c r="A1586" s="1" t="s">
        <v>1</v>
      </c>
      <c r="B1586" s="1" t="s">
        <v>60</v>
      </c>
      <c r="C1586" s="5">
        <f>DATE(2024, 8, 20) + TIME(13, 8, 23)</f>
        <v>45524.547488425924</v>
      </c>
      <c r="D1586" s="1" t="s">
        <v>398</v>
      </c>
      <c r="E1586" s="1" t="s">
        <v>675</v>
      </c>
    </row>
    <row r="1587" spans="1:5" x14ac:dyDescent="0.2">
      <c r="A1587" s="1" t="s">
        <v>1</v>
      </c>
      <c r="B1587" s="1" t="s">
        <v>60</v>
      </c>
      <c r="C1587" s="5">
        <f>DATE(2024, 8, 19) + TIME(15, 33, 6)</f>
        <v>45523.647986111115</v>
      </c>
      <c r="D1587" s="1" t="s">
        <v>506</v>
      </c>
      <c r="E1587" s="1" t="s">
        <v>649</v>
      </c>
    </row>
    <row r="1588" spans="1:5" x14ac:dyDescent="0.2">
      <c r="A1588" s="1" t="s">
        <v>1</v>
      </c>
      <c r="B1588" s="1" t="s">
        <v>60</v>
      </c>
      <c r="C1588" s="5">
        <f>DATE(2024, 8, 19) + TIME(15, 32, 48)</f>
        <v>45523.647777777776</v>
      </c>
      <c r="D1588" s="1" t="s">
        <v>506</v>
      </c>
      <c r="E1588" s="1" t="s">
        <v>510</v>
      </c>
    </row>
    <row r="1589" spans="1:5" x14ac:dyDescent="0.2">
      <c r="A1589" s="1" t="s">
        <v>1</v>
      </c>
      <c r="B1589" s="1" t="s">
        <v>60</v>
      </c>
      <c r="C1589" s="5">
        <f>DATE(2024, 8, 19) + TIME(15, 32, 22)</f>
        <v>45523.647476851853</v>
      </c>
      <c r="D1589" s="1" t="s">
        <v>506</v>
      </c>
      <c r="E1589" s="1" t="s">
        <v>808</v>
      </c>
    </row>
    <row r="1590" spans="1:5" x14ac:dyDescent="0.2">
      <c r="A1590" s="1" t="s">
        <v>1</v>
      </c>
      <c r="B1590" s="1" t="s">
        <v>60</v>
      </c>
      <c r="C1590" s="5">
        <f>DATE(2024, 8, 19) + TIME(15, 31, 48)</f>
        <v>45523.647083333337</v>
      </c>
      <c r="D1590" s="1" t="s">
        <v>506</v>
      </c>
      <c r="E1590" s="1" t="s">
        <v>697</v>
      </c>
    </row>
    <row r="1591" spans="1:5" x14ac:dyDescent="0.2">
      <c r="A1591" s="1" t="s">
        <v>1</v>
      </c>
      <c r="B1591" s="1" t="s">
        <v>60</v>
      </c>
      <c r="C1591" s="5">
        <f>DATE(2024, 8, 19) + TIME(15, 30, 43)</f>
        <v>45523.646331018521</v>
      </c>
      <c r="D1591" s="1" t="s">
        <v>5</v>
      </c>
      <c r="E1591" s="1" t="s">
        <v>405</v>
      </c>
    </row>
    <row r="1592" spans="1:5" x14ac:dyDescent="0.2">
      <c r="A1592" s="1" t="s">
        <v>1</v>
      </c>
      <c r="B1592" s="1" t="s">
        <v>60</v>
      </c>
      <c r="C1592" s="5">
        <f>DATE(2024, 8, 19) + TIME(15, 7, 15)</f>
        <v>45523.63003472222</v>
      </c>
      <c r="D1592" s="1" t="s">
        <v>320</v>
      </c>
      <c r="E1592" s="1" t="s">
        <v>687</v>
      </c>
    </row>
    <row r="1593" spans="1:5" x14ac:dyDescent="0.2">
      <c r="A1593" s="1" t="s">
        <v>1</v>
      </c>
      <c r="B1593" s="1" t="s">
        <v>564</v>
      </c>
      <c r="C1593" s="5">
        <f>DATE(2024, 8, 19) + TIME(13, 54, 11)</f>
        <v>45523.579293981478</v>
      </c>
      <c r="D1593" s="1" t="s">
        <v>396</v>
      </c>
      <c r="E1593" s="1" t="s">
        <v>102</v>
      </c>
    </row>
    <row r="1594" spans="1:5" x14ac:dyDescent="0.2">
      <c r="A1594" s="1" t="s">
        <v>1</v>
      </c>
      <c r="B1594" s="1" t="s">
        <v>60</v>
      </c>
      <c r="C1594" s="5">
        <f>DATE(2024, 8, 19) + TIME(13, 38, 42)</f>
        <v>45523.568541666667</v>
      </c>
      <c r="D1594" s="1" t="s">
        <v>320</v>
      </c>
      <c r="E1594" s="1" t="s">
        <v>698</v>
      </c>
    </row>
    <row r="1595" spans="1:5" x14ac:dyDescent="0.2">
      <c r="A1595" s="1" t="s">
        <v>1</v>
      </c>
      <c r="B1595" s="1" t="s">
        <v>60</v>
      </c>
      <c r="C1595" s="5">
        <f>DATE(2024, 8, 19) + TIME(13, 7, 23)</f>
        <v>45523.546793981484</v>
      </c>
      <c r="D1595" s="1" t="s">
        <v>144</v>
      </c>
      <c r="E1595" s="1" t="s">
        <v>695</v>
      </c>
    </row>
    <row r="1596" spans="1:5" x14ac:dyDescent="0.2">
      <c r="A1596" s="1" t="s">
        <v>1</v>
      </c>
      <c r="B1596" s="1" t="s">
        <v>60</v>
      </c>
      <c r="C1596" s="5">
        <f>DATE(2024, 8, 19) + TIME(12, 53, 42)</f>
        <v>45523.537291666667</v>
      </c>
      <c r="D1596" s="1" t="s">
        <v>731</v>
      </c>
      <c r="E1596" s="1" t="s">
        <v>520</v>
      </c>
    </row>
    <row r="1597" spans="1:5" x14ac:dyDescent="0.2">
      <c r="A1597" s="1" t="s">
        <v>1</v>
      </c>
      <c r="B1597" s="1" t="s">
        <v>564</v>
      </c>
      <c r="C1597" s="5">
        <f>DATE(2024, 8, 19) + TIME(12, 30, 50)</f>
        <v>45523.521412037036</v>
      </c>
      <c r="D1597" s="1" t="s">
        <v>396</v>
      </c>
      <c r="E1597" s="1" t="s">
        <v>567</v>
      </c>
    </row>
    <row r="1598" spans="1:5" x14ac:dyDescent="0.2">
      <c r="A1598" s="1" t="s">
        <v>1</v>
      </c>
      <c r="B1598" s="1" t="s">
        <v>60</v>
      </c>
      <c r="C1598" s="5">
        <f>DATE(2024, 8, 19) + TIME(12, 26, 55)</f>
        <v>45523.518692129626</v>
      </c>
      <c r="D1598" s="1" t="s">
        <v>320</v>
      </c>
      <c r="E1598" s="1" t="s">
        <v>948</v>
      </c>
    </row>
    <row r="1599" spans="1:5" x14ac:dyDescent="0.2">
      <c r="A1599" s="1" t="s">
        <v>1</v>
      </c>
      <c r="B1599" s="1" t="s">
        <v>323</v>
      </c>
      <c r="C1599" s="5">
        <f>DATE(2024, 8, 19) + TIME(11, 40, 54)</f>
        <v>45523.48673611111</v>
      </c>
      <c r="D1599" s="1" t="s">
        <v>269</v>
      </c>
      <c r="E1599" s="1" t="s">
        <v>748</v>
      </c>
    </row>
    <row r="1600" spans="1:5" x14ac:dyDescent="0.2">
      <c r="A1600" s="1" t="s">
        <v>1</v>
      </c>
      <c r="B1600" s="1" t="s">
        <v>60</v>
      </c>
      <c r="C1600" s="5">
        <f>DATE(2024, 8, 15) + TIME(15, 9, 50)</f>
        <v>45519.631828703707</v>
      </c>
      <c r="D1600" s="1" t="s">
        <v>5</v>
      </c>
      <c r="E1600" s="1" t="s">
        <v>763</v>
      </c>
    </row>
    <row r="1601" spans="1:5" x14ac:dyDescent="0.2">
      <c r="A1601" s="1" t="s">
        <v>1</v>
      </c>
      <c r="B1601" s="1" t="s">
        <v>60</v>
      </c>
      <c r="C1601" s="5">
        <f>DATE(2024, 8, 15) + TIME(14, 49, 26)</f>
        <v>45519.617662037039</v>
      </c>
      <c r="D1601" s="1" t="s">
        <v>148</v>
      </c>
      <c r="E1601" s="1" t="s">
        <v>480</v>
      </c>
    </row>
    <row r="1602" spans="1:5" x14ac:dyDescent="0.2">
      <c r="A1602" s="1" t="s">
        <v>1</v>
      </c>
      <c r="B1602" s="1" t="s">
        <v>323</v>
      </c>
      <c r="C1602" s="5">
        <f>DATE(2024, 8, 14) + TIME(15, 58, 45)</f>
        <v>45518.665798611109</v>
      </c>
      <c r="D1602" s="1" t="s">
        <v>64</v>
      </c>
      <c r="E1602" s="1" t="s">
        <v>213</v>
      </c>
    </row>
    <row r="1603" spans="1:5" x14ac:dyDescent="0.2">
      <c r="A1603" s="1" t="s">
        <v>1</v>
      </c>
      <c r="B1603" s="1" t="s">
        <v>60</v>
      </c>
      <c r="C1603" s="5">
        <f>DATE(2024, 8, 14) + TIME(14, 16, 9)</f>
        <v>45518.594548611109</v>
      </c>
      <c r="D1603" s="1" t="s">
        <v>731</v>
      </c>
      <c r="E1603" s="1" t="s">
        <v>536</v>
      </c>
    </row>
    <row r="1604" spans="1:5" x14ac:dyDescent="0.2">
      <c r="A1604" s="1" t="s">
        <v>1</v>
      </c>
      <c r="B1604" s="1" t="s">
        <v>323</v>
      </c>
      <c r="C1604" s="5">
        <f>DATE(2024, 8, 14) + TIME(13, 38, 40)</f>
        <v>45518.568518518521</v>
      </c>
      <c r="D1604" s="1" t="s">
        <v>64</v>
      </c>
      <c r="E1604" s="1" t="s">
        <v>337</v>
      </c>
    </row>
    <row r="1605" spans="1:5" x14ac:dyDescent="0.2">
      <c r="A1605" s="1" t="s">
        <v>1</v>
      </c>
      <c r="B1605" s="1" t="s">
        <v>60</v>
      </c>
      <c r="C1605" s="5">
        <f>DATE(2024, 8, 14) + TIME(13, 30, 47)</f>
        <v>45518.563043981485</v>
      </c>
      <c r="D1605" s="1" t="s">
        <v>320</v>
      </c>
      <c r="E1605" s="1" t="s">
        <v>90</v>
      </c>
    </row>
    <row r="1606" spans="1:5" x14ac:dyDescent="0.2">
      <c r="A1606" s="1" t="s">
        <v>1</v>
      </c>
      <c r="B1606" s="1" t="s">
        <v>323</v>
      </c>
      <c r="C1606" s="5">
        <f>DATE(2024, 8, 14) + TIME(13, 4, 55)</f>
        <v>45518.545081018521</v>
      </c>
      <c r="D1606" s="1" t="s">
        <v>341</v>
      </c>
      <c r="E1606" s="1" t="s">
        <v>397</v>
      </c>
    </row>
    <row r="1607" spans="1:5" x14ac:dyDescent="0.2">
      <c r="A1607" s="1" t="s">
        <v>1</v>
      </c>
      <c r="B1607" s="1" t="s">
        <v>323</v>
      </c>
      <c r="C1607" s="5">
        <f>DATE(2024, 8, 14) + TIME(12, 36, 23)</f>
        <v>45518.525266203702</v>
      </c>
      <c r="D1607" s="1" t="s">
        <v>341</v>
      </c>
      <c r="E1607" s="1" t="s">
        <v>157</v>
      </c>
    </row>
    <row r="1608" spans="1:5" x14ac:dyDescent="0.2">
      <c r="A1608" s="1" t="s">
        <v>1</v>
      </c>
      <c r="B1608" s="1" t="s">
        <v>1004</v>
      </c>
      <c r="C1608" s="5">
        <f>DATE(2024, 8, 14) + TIME(11, 32, 40)</f>
        <v>45518.48101851852</v>
      </c>
      <c r="D1608" s="1" t="s">
        <v>396</v>
      </c>
      <c r="E1608" s="1" t="s">
        <v>507</v>
      </c>
    </row>
    <row r="1609" spans="1:5" x14ac:dyDescent="0.2">
      <c r="A1609" s="1" t="s">
        <v>1</v>
      </c>
      <c r="B1609" s="1" t="s">
        <v>60</v>
      </c>
      <c r="C1609" s="5">
        <f>DATE(2024, 8, 13) + TIME(15, 3, 34)</f>
        <v>45517.627476851849</v>
      </c>
      <c r="D1609" s="1" t="s">
        <v>398</v>
      </c>
      <c r="E1609" s="1" t="s">
        <v>142</v>
      </c>
    </row>
    <row r="1610" spans="1:5" x14ac:dyDescent="0.2">
      <c r="A1610" s="1" t="s">
        <v>1</v>
      </c>
      <c r="B1610" s="1" t="s">
        <v>60</v>
      </c>
      <c r="C1610" s="5">
        <f>DATE(2024, 8, 13) + TIME(14, 19, 26)</f>
        <v>45517.596828703703</v>
      </c>
      <c r="D1610" s="1" t="s">
        <v>3</v>
      </c>
      <c r="E1610" s="1" t="s">
        <v>571</v>
      </c>
    </row>
    <row r="1611" spans="1:5" x14ac:dyDescent="0.2">
      <c r="A1611" s="1" t="s">
        <v>1</v>
      </c>
      <c r="B1611" s="1" t="s">
        <v>564</v>
      </c>
      <c r="C1611" s="5">
        <f>DATE(2024, 8, 13) + TIME(13, 9, 5)</f>
        <v>45517.547974537039</v>
      </c>
      <c r="D1611" s="1" t="s">
        <v>731</v>
      </c>
      <c r="E1611" s="1" t="s">
        <v>160</v>
      </c>
    </row>
    <row r="1612" spans="1:5" x14ac:dyDescent="0.2">
      <c r="A1612" s="1" t="s">
        <v>1</v>
      </c>
      <c r="B1612" s="1" t="s">
        <v>60</v>
      </c>
      <c r="C1612" s="5">
        <f>DATE(2024, 8, 13) + TIME(11, 59, 10)</f>
        <v>45517.499421296299</v>
      </c>
      <c r="D1612" s="1" t="s">
        <v>467</v>
      </c>
      <c r="E1612" s="1" t="s">
        <v>997</v>
      </c>
    </row>
    <row r="1613" spans="1:5" x14ac:dyDescent="0.2">
      <c r="A1613" s="1" t="s">
        <v>1</v>
      </c>
      <c r="B1613" s="1" t="s">
        <v>60</v>
      </c>
      <c r="C1613" s="5">
        <f>DATE(2024, 8, 13) + TIME(9, 27, 56)</f>
        <v>45517.39439814815</v>
      </c>
      <c r="D1613" s="1" t="s">
        <v>869</v>
      </c>
      <c r="E1613" s="1" t="s">
        <v>830</v>
      </c>
    </row>
    <row r="1614" spans="1:5" x14ac:dyDescent="0.2">
      <c r="A1614" s="1" t="s">
        <v>1</v>
      </c>
      <c r="B1614" s="1" t="s">
        <v>60</v>
      </c>
      <c r="C1614" s="5">
        <f>DATE(2024, 8, 12) + TIME(16, 12, 38)</f>
        <v>45516.675439814811</v>
      </c>
      <c r="D1614" s="1" t="s">
        <v>144</v>
      </c>
      <c r="E1614" s="1" t="s">
        <v>946</v>
      </c>
    </row>
    <row r="1615" spans="1:5" x14ac:dyDescent="0.2">
      <c r="A1615" s="1" t="s">
        <v>1</v>
      </c>
      <c r="B1615" s="1" t="s">
        <v>60</v>
      </c>
      <c r="C1615" s="5">
        <f>DATE(2024, 8, 12) + TIME(10, 55, 11)</f>
        <v>45516.454988425925</v>
      </c>
      <c r="D1615" s="1" t="s">
        <v>467</v>
      </c>
      <c r="E1615" s="1" t="s">
        <v>865</v>
      </c>
    </row>
    <row r="1616" spans="1:5" x14ac:dyDescent="0.2">
      <c r="A1616" s="1" t="s">
        <v>1</v>
      </c>
      <c r="B1616" s="1" t="s">
        <v>60</v>
      </c>
      <c r="C1616" s="5">
        <f>DATE(2024, 8, 12) + TIME(9, 41, 55)</f>
        <v>45516.404108796298</v>
      </c>
      <c r="D1616" s="1" t="s">
        <v>356</v>
      </c>
      <c r="E1616" s="1" t="s">
        <v>145</v>
      </c>
    </row>
    <row r="1617" spans="1:5" x14ac:dyDescent="0.2">
      <c r="A1617" s="1" t="s">
        <v>1</v>
      </c>
      <c r="B1617" s="1" t="s">
        <v>866</v>
      </c>
      <c r="C1617" s="5">
        <f>DATE(2024, 8, 8) + TIME(14, 31, 27)</f>
        <v>45512.605173611111</v>
      </c>
      <c r="D1617" s="1" t="s">
        <v>576</v>
      </c>
      <c r="E1617" s="1" t="s">
        <v>763</v>
      </c>
    </row>
    <row r="1618" spans="1:5" x14ac:dyDescent="0.2">
      <c r="A1618" s="1" t="s">
        <v>1</v>
      </c>
      <c r="B1618" s="1" t="s">
        <v>60</v>
      </c>
      <c r="C1618" s="5">
        <f>DATE(2024, 8, 8) + TIME(13, 2, 49)</f>
        <v>45512.543622685182</v>
      </c>
      <c r="D1618" s="1" t="s">
        <v>638</v>
      </c>
      <c r="E1618" s="1" t="s">
        <v>157</v>
      </c>
    </row>
    <row r="1619" spans="1:5" x14ac:dyDescent="0.2">
      <c r="A1619" s="1" t="s">
        <v>1</v>
      </c>
      <c r="B1619" s="1" t="s">
        <v>323</v>
      </c>
      <c r="C1619" s="5">
        <f>DATE(2024, 8, 8) + TIME(12, 8, 30)</f>
        <v>45512.505902777775</v>
      </c>
      <c r="D1619" s="1" t="s">
        <v>269</v>
      </c>
      <c r="E1619" s="1" t="s">
        <v>748</v>
      </c>
    </row>
    <row r="1620" spans="1:5" x14ac:dyDescent="0.2">
      <c r="A1620" s="1" t="s">
        <v>1</v>
      </c>
      <c r="B1620" s="1" t="s">
        <v>60</v>
      </c>
      <c r="C1620" s="5">
        <f>DATE(2024, 8, 8) + TIME(9, 27, 54)</f>
        <v>45512.394375000003</v>
      </c>
      <c r="D1620" s="1" t="s">
        <v>1054</v>
      </c>
      <c r="E1620" s="1" t="s">
        <v>145</v>
      </c>
    </row>
    <row r="1621" spans="1:5" x14ac:dyDescent="0.2">
      <c r="A1621" s="1" t="s">
        <v>1</v>
      </c>
      <c r="B1621" s="1" t="s">
        <v>60</v>
      </c>
      <c r="C1621" s="5">
        <f>DATE(2024, 8, 7) + TIME(10, 38, 56)</f>
        <v>45511.443703703706</v>
      </c>
      <c r="D1621" s="1" t="s">
        <v>640</v>
      </c>
      <c r="E1621" s="1" t="s">
        <v>283</v>
      </c>
    </row>
    <row r="1622" spans="1:5" x14ac:dyDescent="0.2">
      <c r="A1622" s="1" t="s">
        <v>1</v>
      </c>
      <c r="B1622" s="1" t="s">
        <v>60</v>
      </c>
      <c r="C1622" s="5">
        <f>DATE(2024, 8, 7) + TIME(10, 30, 11)</f>
        <v>45511.437627314815</v>
      </c>
      <c r="D1622" s="1" t="s">
        <v>640</v>
      </c>
      <c r="E1622" s="1" t="s">
        <v>611</v>
      </c>
    </row>
    <row r="1623" spans="1:5" x14ac:dyDescent="0.2">
      <c r="A1623" s="1" t="s">
        <v>1</v>
      </c>
      <c r="B1623" s="1" t="s">
        <v>60</v>
      </c>
      <c r="C1623" s="5">
        <f>DATE(2024, 8, 6) + TIME(14, 5, 34)</f>
        <v>45510.587199074071</v>
      </c>
      <c r="D1623" s="1" t="s">
        <v>65</v>
      </c>
      <c r="E1623" s="1" t="s">
        <v>227</v>
      </c>
    </row>
    <row r="1624" spans="1:5" x14ac:dyDescent="0.2">
      <c r="A1624" s="1" t="s">
        <v>1</v>
      </c>
      <c r="B1624" s="1" t="s">
        <v>60</v>
      </c>
      <c r="C1624" s="5">
        <f>DATE(2024, 8, 5) + TIME(14, 39, 56)</f>
        <v>45509.611064814817</v>
      </c>
      <c r="D1624" s="1" t="s">
        <v>320</v>
      </c>
      <c r="E1624" s="1" t="s">
        <v>95</v>
      </c>
    </row>
    <row r="1625" spans="1:5" x14ac:dyDescent="0.2">
      <c r="A1625" s="1" t="s">
        <v>1</v>
      </c>
      <c r="B1625" s="1" t="s">
        <v>60</v>
      </c>
      <c r="C1625" s="5">
        <f>DATE(2024, 8, 5) + TIME(13, 45, 53)</f>
        <v>45509.573530092595</v>
      </c>
      <c r="D1625" s="1" t="s">
        <v>216</v>
      </c>
      <c r="E1625" s="1" t="s">
        <v>607</v>
      </c>
    </row>
    <row r="1626" spans="1:5" x14ac:dyDescent="0.2">
      <c r="A1626" s="1" t="s">
        <v>1</v>
      </c>
      <c r="B1626" s="1" t="s">
        <v>60</v>
      </c>
      <c r="C1626" s="5">
        <f>DATE(2024, 8, 5) + TIME(13, 36, 29)</f>
        <v>45509.567002314812</v>
      </c>
      <c r="D1626" s="1" t="s">
        <v>1221</v>
      </c>
      <c r="E1626" s="1" t="s">
        <v>865</v>
      </c>
    </row>
    <row r="1627" spans="1:5" x14ac:dyDescent="0.2">
      <c r="A1627" s="1" t="s">
        <v>1</v>
      </c>
      <c r="B1627" s="1" t="s">
        <v>60</v>
      </c>
      <c r="C1627" s="5">
        <f>DATE(2024, 8, 5) + TIME(13, 23, 39)</f>
        <v>45509.55809027778</v>
      </c>
      <c r="D1627" s="1" t="s">
        <v>65</v>
      </c>
      <c r="E1627" s="1" t="s">
        <v>219</v>
      </c>
    </row>
    <row r="1628" spans="1:5" x14ac:dyDescent="0.2">
      <c r="A1628" s="1" t="s">
        <v>1</v>
      </c>
      <c r="B1628" s="1" t="s">
        <v>323</v>
      </c>
      <c r="C1628" s="5">
        <f>DATE(2024, 8, 5) + TIME(13, 9, 1)</f>
        <v>45509.54792824074</v>
      </c>
      <c r="D1628" s="1" t="s">
        <v>269</v>
      </c>
      <c r="E1628" s="1" t="s">
        <v>273</v>
      </c>
    </row>
    <row r="1629" spans="1:5" x14ac:dyDescent="0.2">
      <c r="A1629" s="1" t="s">
        <v>1</v>
      </c>
      <c r="B1629" s="1" t="s">
        <v>323</v>
      </c>
      <c r="C1629" s="5">
        <f>DATE(2024, 8, 5) + TIME(13, 9, 0)</f>
        <v>45509.54791666667</v>
      </c>
      <c r="D1629" s="1" t="s">
        <v>269</v>
      </c>
      <c r="E1629" s="1" t="s">
        <v>273</v>
      </c>
    </row>
    <row r="1630" spans="1:5" x14ac:dyDescent="0.2">
      <c r="A1630" s="1" t="s">
        <v>1</v>
      </c>
      <c r="B1630" s="1" t="s">
        <v>60</v>
      </c>
      <c r="C1630" s="5">
        <f>DATE(2024, 8, 5) + TIME(12, 28, 31)</f>
        <v>45509.519803240742</v>
      </c>
      <c r="D1630" s="1" t="s">
        <v>869</v>
      </c>
      <c r="E1630" s="1" t="s">
        <v>180</v>
      </c>
    </row>
    <row r="1631" spans="1:5" x14ac:dyDescent="0.2">
      <c r="A1631" s="1" t="s">
        <v>1</v>
      </c>
      <c r="B1631" s="1" t="s">
        <v>60</v>
      </c>
      <c r="C1631" s="5">
        <f>DATE(2024, 8, 5) + TIME(12, 16, 32)</f>
        <v>45509.511481481481</v>
      </c>
      <c r="D1631" s="1" t="s">
        <v>3</v>
      </c>
      <c r="E1631" s="1" t="s">
        <v>625</v>
      </c>
    </row>
    <row r="1632" spans="1:5" x14ac:dyDescent="0.2">
      <c r="A1632" s="1" t="s">
        <v>1</v>
      </c>
      <c r="B1632" s="1" t="s">
        <v>323</v>
      </c>
      <c r="C1632" s="5">
        <f>DATE(2024, 8, 5) + TIME(11, 59, 7)</f>
        <v>45509.499386574076</v>
      </c>
      <c r="D1632" s="1" t="s">
        <v>269</v>
      </c>
      <c r="E1632" s="1" t="s">
        <v>748</v>
      </c>
    </row>
    <row r="1633" spans="1:5" x14ac:dyDescent="0.2">
      <c r="A1633" s="1" t="s">
        <v>1</v>
      </c>
      <c r="B1633" s="1" t="s">
        <v>323</v>
      </c>
      <c r="C1633" s="5">
        <f>DATE(2024, 8, 5) + TIME(11, 57, 44)</f>
        <v>45509.498425925929</v>
      </c>
      <c r="D1633" s="1" t="s">
        <v>269</v>
      </c>
      <c r="E1633" s="1" t="s">
        <v>748</v>
      </c>
    </row>
    <row r="1634" spans="1:5" x14ac:dyDescent="0.2">
      <c r="A1634" s="1" t="s">
        <v>1</v>
      </c>
      <c r="B1634" s="1" t="s">
        <v>60</v>
      </c>
      <c r="C1634" s="5">
        <f>DATE(2024, 8, 5) + TIME(11, 39, 7)</f>
        <v>45509.485497685186</v>
      </c>
      <c r="D1634" s="1" t="s">
        <v>341</v>
      </c>
      <c r="E1634" s="1" t="s">
        <v>567</v>
      </c>
    </row>
    <row r="1635" spans="1:5" x14ac:dyDescent="0.2">
      <c r="A1635" s="1" t="s">
        <v>1</v>
      </c>
      <c r="B1635" s="1" t="s">
        <v>60</v>
      </c>
      <c r="C1635" s="5">
        <f>DATE(2024, 8, 5) + TIME(11, 23, 1)</f>
        <v>45509.474317129629</v>
      </c>
      <c r="D1635" s="1" t="s">
        <v>506</v>
      </c>
      <c r="E1635" s="1" t="s">
        <v>697</v>
      </c>
    </row>
    <row r="1636" spans="1:5" x14ac:dyDescent="0.2">
      <c r="A1636" s="1" t="s">
        <v>1</v>
      </c>
      <c r="B1636" s="1" t="s">
        <v>866</v>
      </c>
      <c r="C1636" s="5">
        <f>DATE(2024, 8, 5) + TIME(11, 14, 50)</f>
        <v>45509.468634259261</v>
      </c>
      <c r="D1636" s="1" t="s">
        <v>576</v>
      </c>
      <c r="E1636" s="1" t="s">
        <v>92</v>
      </c>
    </row>
    <row r="1637" spans="1:5" x14ac:dyDescent="0.2">
      <c r="A1637" s="1" t="s">
        <v>1</v>
      </c>
      <c r="B1637" s="1" t="s">
        <v>60</v>
      </c>
      <c r="C1637" s="5">
        <f>DATE(2024, 8, 5) + TIME(11, 12, 15)</f>
        <v>45509.466840277775</v>
      </c>
      <c r="D1637" s="1" t="s">
        <v>64</v>
      </c>
      <c r="E1637" s="1" t="s">
        <v>630</v>
      </c>
    </row>
    <row r="1638" spans="1:5" x14ac:dyDescent="0.2">
      <c r="A1638" s="1" t="s">
        <v>1</v>
      </c>
      <c r="B1638" s="1" t="s">
        <v>60</v>
      </c>
      <c r="C1638" s="5">
        <f>DATE(2024, 8, 5) + TIME(10, 35, 54)</f>
        <v>45509.44159722222</v>
      </c>
      <c r="D1638" s="1" t="s">
        <v>1054</v>
      </c>
      <c r="E1638" s="1" t="s">
        <v>145</v>
      </c>
    </row>
    <row r="1639" spans="1:5" x14ac:dyDescent="0.2">
      <c r="A1639" s="1" t="s">
        <v>1</v>
      </c>
      <c r="B1639" s="1" t="s">
        <v>60</v>
      </c>
      <c r="C1639" s="5">
        <f>DATE(2024, 8, 4) + TIME(12, 6, 16)</f>
        <v>45508.504351851851</v>
      </c>
      <c r="D1639" s="1" t="s">
        <v>320</v>
      </c>
      <c r="E1639" s="1" t="s">
        <v>948</v>
      </c>
    </row>
    <row r="1640" spans="1:5" x14ac:dyDescent="0.2">
      <c r="A1640" s="1" t="s">
        <v>1</v>
      </c>
      <c r="B1640" s="1" t="s">
        <v>60</v>
      </c>
      <c r="C1640" s="5">
        <f>DATE(2024, 8, 4) + TIME(11, 44, 28)</f>
        <v>45508.489212962966</v>
      </c>
      <c r="D1640" s="1" t="s">
        <v>126</v>
      </c>
      <c r="E1640" s="1" t="s">
        <v>942</v>
      </c>
    </row>
    <row r="1641" spans="1:5" x14ac:dyDescent="0.2">
      <c r="A1641" s="1" t="s">
        <v>1</v>
      </c>
      <c r="B1641" s="1" t="s">
        <v>323</v>
      </c>
      <c r="C1641" s="5">
        <f>DATE(2024, 8, 1) + TIME(15, 37, 55)</f>
        <v>45505.651331018518</v>
      </c>
      <c r="D1641" s="1" t="s">
        <v>269</v>
      </c>
      <c r="E1641" s="1" t="s">
        <v>461</v>
      </c>
    </row>
    <row r="1642" spans="1:5" x14ac:dyDescent="0.2">
      <c r="A1642" s="1" t="s">
        <v>1</v>
      </c>
      <c r="B1642" s="1" t="s">
        <v>60</v>
      </c>
      <c r="C1642" s="5">
        <f>DATE(2024, 8, 1) + TIME(15, 3, 46)</f>
        <v>45505.627615740741</v>
      </c>
      <c r="D1642" s="1" t="s">
        <v>640</v>
      </c>
      <c r="E1642" s="1" t="s">
        <v>667</v>
      </c>
    </row>
    <row r="1643" spans="1:5" x14ac:dyDescent="0.2">
      <c r="A1643" s="1" t="s">
        <v>1</v>
      </c>
      <c r="B1643" s="1" t="s">
        <v>60</v>
      </c>
      <c r="C1643" s="5">
        <f>DATE(2024, 8, 1) + TIME(14, 50, 35)</f>
        <v>45505.618460648147</v>
      </c>
      <c r="D1643" s="1" t="s">
        <v>396</v>
      </c>
      <c r="E1643" s="1" t="s">
        <v>1086</v>
      </c>
    </row>
    <row r="1644" spans="1:5" x14ac:dyDescent="0.2">
      <c r="A1644" s="1" t="s">
        <v>1</v>
      </c>
      <c r="B1644" s="1" t="s">
        <v>60</v>
      </c>
      <c r="C1644" s="5">
        <f>DATE(2024, 8, 1) + TIME(14, 42, 55)</f>
        <v>45505.613136574073</v>
      </c>
      <c r="D1644" s="1" t="s">
        <v>144</v>
      </c>
      <c r="E1644" s="1" t="s">
        <v>728</v>
      </c>
    </row>
    <row r="1645" spans="1:5" x14ac:dyDescent="0.2">
      <c r="A1645" s="1" t="s">
        <v>1</v>
      </c>
      <c r="B1645" s="1" t="s">
        <v>60</v>
      </c>
      <c r="C1645" s="5">
        <f>DATE(2024, 8, 1) + TIME(14, 36, 46)</f>
        <v>45505.608865740738</v>
      </c>
      <c r="D1645" s="1" t="s">
        <v>640</v>
      </c>
      <c r="E1645" s="1" t="s">
        <v>520</v>
      </c>
    </row>
    <row r="1646" spans="1:5" x14ac:dyDescent="0.2">
      <c r="A1646" s="1" t="s">
        <v>1</v>
      </c>
      <c r="B1646" s="1" t="s">
        <v>60</v>
      </c>
      <c r="C1646" s="5">
        <f>DATE(2024, 8, 1) + TIME(14, 27, 38)</f>
        <v>45505.602523148147</v>
      </c>
      <c r="D1646" s="1" t="s">
        <v>144</v>
      </c>
      <c r="E1646" s="1" t="s">
        <v>946</v>
      </c>
    </row>
    <row r="1647" spans="1:5" x14ac:dyDescent="0.2">
      <c r="A1647" s="1" t="s">
        <v>1</v>
      </c>
      <c r="B1647" s="1" t="s">
        <v>60</v>
      </c>
      <c r="C1647" s="5">
        <f>DATE(2024, 8, 1) + TIME(14, 25, 5)</f>
        <v>45505.600752314815</v>
      </c>
      <c r="D1647" s="1" t="s">
        <v>566</v>
      </c>
      <c r="E1647" s="1" t="s">
        <v>883</v>
      </c>
    </row>
    <row r="1648" spans="1:5" x14ac:dyDescent="0.2">
      <c r="A1648" s="1" t="s">
        <v>1</v>
      </c>
      <c r="B1648" s="1" t="s">
        <v>60</v>
      </c>
      <c r="C1648" s="5">
        <f>DATE(2024, 8, 1) + TIME(14, 24, 29)</f>
        <v>45505.600335648145</v>
      </c>
      <c r="D1648" s="1" t="s">
        <v>566</v>
      </c>
      <c r="E1648" s="1" t="s">
        <v>619</v>
      </c>
    </row>
    <row r="1649" spans="1:5" x14ac:dyDescent="0.2">
      <c r="A1649" s="1" t="s">
        <v>1</v>
      </c>
      <c r="B1649" s="1" t="s">
        <v>60</v>
      </c>
      <c r="C1649" s="5">
        <f>DATE(2024, 8, 1) + TIME(14, 9, 9)</f>
        <v>45505.589687500003</v>
      </c>
      <c r="D1649" s="1" t="s">
        <v>5</v>
      </c>
      <c r="E1649" s="1" t="s">
        <v>367</v>
      </c>
    </row>
    <row r="1650" spans="1:5" x14ac:dyDescent="0.2">
      <c r="A1650" s="1" t="s">
        <v>1</v>
      </c>
      <c r="B1650" s="1" t="s">
        <v>60</v>
      </c>
      <c r="C1650" s="5">
        <f>DATE(2024, 8, 1) + TIME(14, 2, 1)</f>
        <v>45505.584733796299</v>
      </c>
      <c r="D1650" s="1" t="s">
        <v>396</v>
      </c>
      <c r="E1650" s="1" t="s">
        <v>140</v>
      </c>
    </row>
    <row r="1651" spans="1:5" x14ac:dyDescent="0.2">
      <c r="A1651" s="1" t="s">
        <v>1</v>
      </c>
      <c r="B1651" s="1" t="s">
        <v>866</v>
      </c>
      <c r="C1651" s="5">
        <f>DATE(2024, 8, 1) + TIME(13, 8, 8)</f>
        <v>45505.547314814816</v>
      </c>
      <c r="D1651" s="1" t="s">
        <v>320</v>
      </c>
      <c r="E1651" s="1" t="s">
        <v>2</v>
      </c>
    </row>
    <row r="1652" spans="1:5" x14ac:dyDescent="0.2">
      <c r="A1652" s="1" t="s">
        <v>1</v>
      </c>
      <c r="B1652" s="1" t="s">
        <v>866</v>
      </c>
      <c r="C1652" s="5">
        <f>DATE(2024, 8, 1) + TIME(13, 8, 8)</f>
        <v>45505.547314814816</v>
      </c>
      <c r="D1652" s="1" t="s">
        <v>320</v>
      </c>
      <c r="E1652" s="1" t="s">
        <v>565</v>
      </c>
    </row>
    <row r="1653" spans="1:5" x14ac:dyDescent="0.2">
      <c r="A1653" s="1" t="s">
        <v>1</v>
      </c>
      <c r="B1653" s="1" t="s">
        <v>60</v>
      </c>
      <c r="C1653" s="5">
        <f>DATE(2024, 8, 1) + TIME(12, 53, 53)</f>
        <v>45505.537418981483</v>
      </c>
      <c r="D1653" s="1" t="s">
        <v>450</v>
      </c>
      <c r="E1653" s="1" t="s">
        <v>691</v>
      </c>
    </row>
    <row r="1654" spans="1:5" x14ac:dyDescent="0.2">
      <c r="A1654" s="1" t="s">
        <v>1</v>
      </c>
      <c r="B1654" s="1" t="s">
        <v>60</v>
      </c>
      <c r="C1654" s="5">
        <f>DATE(2024, 8, 1) + TIME(12, 28, 54)</f>
        <v>45505.520069444443</v>
      </c>
      <c r="D1654" s="1" t="s">
        <v>1054</v>
      </c>
      <c r="E1654" s="1" t="s">
        <v>657</v>
      </c>
    </row>
    <row r="1655" spans="1:5" x14ac:dyDescent="0.2">
      <c r="A1655" s="1" t="s">
        <v>1</v>
      </c>
      <c r="B1655" s="1" t="s">
        <v>60</v>
      </c>
      <c r="C1655" s="5">
        <f>DATE(2024, 8, 1) + TIME(12, 25, 5)</f>
        <v>45505.517418981479</v>
      </c>
      <c r="D1655" s="1" t="s">
        <v>459</v>
      </c>
      <c r="E1655" s="1" t="s">
        <v>574</v>
      </c>
    </row>
    <row r="1656" spans="1:5" x14ac:dyDescent="0.2">
      <c r="A1656" s="1" t="s">
        <v>1</v>
      </c>
      <c r="B1656" s="1" t="s">
        <v>866</v>
      </c>
      <c r="C1656" s="5">
        <f>DATE(2024, 7, 31) + TIME(14, 13, 14)</f>
        <v>45504.592523148145</v>
      </c>
      <c r="D1656" s="1" t="s">
        <v>1221</v>
      </c>
      <c r="E1656" s="1" t="s">
        <v>888</v>
      </c>
    </row>
    <row r="1657" spans="1:5" x14ac:dyDescent="0.2">
      <c r="A1657" s="1" t="s">
        <v>1</v>
      </c>
      <c r="B1657" s="1" t="s">
        <v>60</v>
      </c>
      <c r="C1657" s="5">
        <f>DATE(2024, 7, 31) + TIME(13, 19, 30)</f>
        <v>45504.555208333331</v>
      </c>
      <c r="D1657" s="1" t="s">
        <v>638</v>
      </c>
      <c r="E1657" s="1" t="s">
        <v>258</v>
      </c>
    </row>
    <row r="1658" spans="1:5" x14ac:dyDescent="0.2">
      <c r="A1658" s="1" t="s">
        <v>1</v>
      </c>
      <c r="B1658" s="1" t="s">
        <v>60</v>
      </c>
      <c r="C1658" s="5">
        <f>DATE(2024, 7, 31) + TIME(13, 17, 44)</f>
        <v>45504.553981481484</v>
      </c>
      <c r="D1658" s="1" t="s">
        <v>566</v>
      </c>
      <c r="E1658" s="1" t="s">
        <v>1226</v>
      </c>
    </row>
    <row r="1659" spans="1:5" x14ac:dyDescent="0.2">
      <c r="A1659" s="1" t="s">
        <v>1</v>
      </c>
      <c r="B1659" s="1" t="s">
        <v>60</v>
      </c>
      <c r="C1659" s="5">
        <f>DATE(2024, 7, 31) + TIME(9, 43, 10)</f>
        <v>45504.404976851853</v>
      </c>
      <c r="D1659" s="1" t="s">
        <v>216</v>
      </c>
      <c r="E1659" s="1" t="s">
        <v>321</v>
      </c>
    </row>
    <row r="1660" spans="1:5" x14ac:dyDescent="0.2">
      <c r="A1660" s="1" t="s">
        <v>1</v>
      </c>
      <c r="B1660" s="1" t="s">
        <v>60</v>
      </c>
      <c r="C1660" s="5">
        <f>DATE(2024, 7, 30) + TIME(15, 8, 3)</f>
        <v>45503.630590277775</v>
      </c>
      <c r="D1660" s="1" t="s">
        <v>506</v>
      </c>
      <c r="E1660" s="1" t="s">
        <v>83</v>
      </c>
    </row>
    <row r="1661" spans="1:5" x14ac:dyDescent="0.2">
      <c r="A1661" s="1" t="s">
        <v>1</v>
      </c>
      <c r="B1661" s="1" t="s">
        <v>60</v>
      </c>
      <c r="C1661" s="5">
        <f>DATE(2024, 7, 30) + TIME(14, 0, 41)</f>
        <v>45503.583807870367</v>
      </c>
      <c r="D1661" s="1" t="s">
        <v>1221</v>
      </c>
      <c r="E1661" s="1" t="s">
        <v>997</v>
      </c>
    </row>
    <row r="1662" spans="1:5" x14ac:dyDescent="0.2">
      <c r="A1662" s="1" t="s">
        <v>1</v>
      </c>
      <c r="B1662" s="1" t="s">
        <v>866</v>
      </c>
      <c r="C1662" s="5">
        <f>DATE(2024, 7, 30) + TIME(12, 39, 39)</f>
        <v>45503.52753472222</v>
      </c>
      <c r="D1662" s="1" t="s">
        <v>396</v>
      </c>
      <c r="E1662" s="1" t="s">
        <v>507</v>
      </c>
    </row>
    <row r="1663" spans="1:5" x14ac:dyDescent="0.2">
      <c r="A1663" s="1" t="s">
        <v>1</v>
      </c>
      <c r="B1663" s="1" t="s">
        <v>60</v>
      </c>
      <c r="C1663" s="5">
        <f>DATE(2024, 7, 30) + TIME(10, 40, 21)</f>
        <v>45503.444687499999</v>
      </c>
      <c r="D1663" s="1" t="s">
        <v>3</v>
      </c>
      <c r="E1663" s="1" t="s">
        <v>571</v>
      </c>
    </row>
    <row r="1664" spans="1:5" x14ac:dyDescent="0.2">
      <c r="A1664" s="1" t="s">
        <v>1</v>
      </c>
      <c r="B1664" s="1" t="s">
        <v>60</v>
      </c>
      <c r="C1664" s="5">
        <f>DATE(2024, 7, 29) + TIME(15, 58, 47)</f>
        <v>45502.665821759256</v>
      </c>
      <c r="D1664" s="1" t="s">
        <v>731</v>
      </c>
      <c r="E1664" s="1" t="s">
        <v>870</v>
      </c>
    </row>
    <row r="1665" spans="1:5" x14ac:dyDescent="0.2">
      <c r="A1665" s="1" t="s">
        <v>1</v>
      </c>
      <c r="B1665" s="1" t="s">
        <v>866</v>
      </c>
      <c r="C1665" s="5">
        <f>DATE(2024, 7, 29) + TIME(15, 56, 36)</f>
        <v>45502.664305555554</v>
      </c>
      <c r="D1665" s="1" t="s">
        <v>341</v>
      </c>
      <c r="E1665" s="1" t="s">
        <v>1129</v>
      </c>
    </row>
    <row r="1666" spans="1:5" x14ac:dyDescent="0.2">
      <c r="A1666" s="1" t="s">
        <v>1</v>
      </c>
      <c r="B1666" s="1" t="s">
        <v>60</v>
      </c>
      <c r="C1666" s="5">
        <f>DATE(2024, 7, 29) + TIME(15, 22, 24)</f>
        <v>45502.640555555554</v>
      </c>
      <c r="D1666" s="1" t="s">
        <v>638</v>
      </c>
      <c r="E1666" s="1" t="s">
        <v>188</v>
      </c>
    </row>
    <row r="1667" spans="1:5" x14ac:dyDescent="0.2">
      <c r="A1667" s="1" t="s">
        <v>1</v>
      </c>
      <c r="B1667" s="1" t="s">
        <v>60</v>
      </c>
      <c r="C1667" s="5">
        <f>DATE(2024, 7, 29) + TIME(14, 41, 11)</f>
        <v>45502.611932870372</v>
      </c>
      <c r="D1667" s="1" t="s">
        <v>566</v>
      </c>
      <c r="E1667" s="1" t="s">
        <v>883</v>
      </c>
    </row>
    <row r="1668" spans="1:5" x14ac:dyDescent="0.2">
      <c r="A1668" s="1" t="s">
        <v>1</v>
      </c>
      <c r="B1668" s="1" t="s">
        <v>60</v>
      </c>
      <c r="C1668" s="5">
        <f>DATE(2024, 7, 29) + TIME(14, 40, 47)</f>
        <v>45502.611655092594</v>
      </c>
      <c r="D1668" s="1" t="s">
        <v>566</v>
      </c>
      <c r="E1668" s="1" t="s">
        <v>619</v>
      </c>
    </row>
    <row r="1669" spans="1:5" x14ac:dyDescent="0.2">
      <c r="A1669" s="1" t="s">
        <v>1</v>
      </c>
      <c r="B1669" s="1" t="s">
        <v>60</v>
      </c>
      <c r="C1669" s="5">
        <f>DATE(2024, 7, 29) + TIME(14, 27, 42)</f>
        <v>45502.602569444447</v>
      </c>
      <c r="D1669" s="1" t="s">
        <v>396</v>
      </c>
      <c r="E1669" s="1" t="s">
        <v>567</v>
      </c>
    </row>
    <row r="1670" spans="1:5" x14ac:dyDescent="0.2">
      <c r="A1670" s="1" t="s">
        <v>1</v>
      </c>
      <c r="B1670" s="1" t="s">
        <v>564</v>
      </c>
      <c r="C1670" s="5">
        <f>DATE(2024, 7, 29) + TIME(13, 23, 55)</f>
        <v>45502.558275462965</v>
      </c>
      <c r="D1670" s="1" t="s">
        <v>506</v>
      </c>
      <c r="E1670" s="1" t="s">
        <v>510</v>
      </c>
    </row>
    <row r="1671" spans="1:5" x14ac:dyDescent="0.2">
      <c r="A1671" s="1" t="s">
        <v>1</v>
      </c>
      <c r="B1671" s="1" t="s">
        <v>323</v>
      </c>
      <c r="C1671" s="5">
        <f>DATE(2024, 7, 29) + TIME(13, 23, 33)</f>
        <v>45502.558020833334</v>
      </c>
      <c r="D1671" s="1" t="s">
        <v>269</v>
      </c>
      <c r="E1671" s="1" t="s">
        <v>79</v>
      </c>
    </row>
    <row r="1672" spans="1:5" x14ac:dyDescent="0.2">
      <c r="A1672" s="1" t="s">
        <v>1</v>
      </c>
      <c r="B1672" s="1" t="s">
        <v>927</v>
      </c>
      <c r="C1672" s="5">
        <f>DATE(2024, 7, 29) + TIME(13, 11, 45)</f>
        <v>45502.549826388888</v>
      </c>
      <c r="D1672" s="1" t="s">
        <v>64</v>
      </c>
      <c r="E1672" s="1" t="s">
        <v>630</v>
      </c>
    </row>
    <row r="1673" spans="1:5" x14ac:dyDescent="0.2">
      <c r="A1673" s="1" t="s">
        <v>1</v>
      </c>
      <c r="B1673" s="1" t="s">
        <v>60</v>
      </c>
      <c r="C1673" s="5">
        <f>DATE(2024, 7, 29) + TIME(12, 45, 52)</f>
        <v>45502.531851851854</v>
      </c>
      <c r="D1673" s="1" t="s">
        <v>1221</v>
      </c>
      <c r="E1673" s="1" t="s">
        <v>865</v>
      </c>
    </row>
    <row r="1674" spans="1:5" x14ac:dyDescent="0.2">
      <c r="A1674" s="1" t="s">
        <v>1</v>
      </c>
      <c r="B1674" s="1" t="s">
        <v>60</v>
      </c>
      <c r="C1674" s="5">
        <f>DATE(2024, 7, 29) + TIME(12, 2, 11)</f>
        <v>45502.501516203702</v>
      </c>
      <c r="D1674" s="1" t="s">
        <v>731</v>
      </c>
      <c r="E1674" s="1" t="s">
        <v>245</v>
      </c>
    </row>
    <row r="1675" spans="1:5" x14ac:dyDescent="0.2">
      <c r="A1675" s="1" t="s">
        <v>1</v>
      </c>
      <c r="B1675" s="1" t="s">
        <v>323</v>
      </c>
      <c r="C1675" s="5">
        <f>DATE(2024, 7, 29) + TIME(12, 2, 10)</f>
        <v>45502.501504629632</v>
      </c>
      <c r="D1675" s="1" t="s">
        <v>731</v>
      </c>
      <c r="E1675" s="1" t="s">
        <v>245</v>
      </c>
    </row>
    <row r="1676" spans="1:5" x14ac:dyDescent="0.2">
      <c r="A1676" s="1" t="s">
        <v>1</v>
      </c>
      <c r="B1676" s="1" t="s">
        <v>323</v>
      </c>
      <c r="C1676" s="5">
        <f>DATE(2024, 7, 29) + TIME(11, 41, 13)</f>
        <v>45502.486956018518</v>
      </c>
      <c r="D1676" s="1" t="s">
        <v>341</v>
      </c>
      <c r="E1676" s="1" t="s">
        <v>168</v>
      </c>
    </row>
    <row r="1677" spans="1:5" x14ac:dyDescent="0.2">
      <c r="A1677" s="1" t="s">
        <v>1</v>
      </c>
      <c r="B1677" s="1" t="s">
        <v>60</v>
      </c>
      <c r="C1677" s="5">
        <f>DATE(2024, 7, 29) + TIME(11, 25, 4)</f>
        <v>45502.475740740738</v>
      </c>
      <c r="D1677" s="1" t="s">
        <v>638</v>
      </c>
      <c r="E1677" s="1" t="s">
        <v>940</v>
      </c>
    </row>
    <row r="1678" spans="1:5" x14ac:dyDescent="0.2">
      <c r="A1678" s="1" t="s">
        <v>1</v>
      </c>
      <c r="B1678" s="1" t="s">
        <v>60</v>
      </c>
      <c r="C1678" s="5">
        <f>DATE(2024, 7, 29) + TIME(10, 33, 55)</f>
        <v>45502.44021990741</v>
      </c>
      <c r="D1678" s="1" t="s">
        <v>5</v>
      </c>
      <c r="E1678" s="1" t="s">
        <v>795</v>
      </c>
    </row>
    <row r="1679" spans="1:5" x14ac:dyDescent="0.2">
      <c r="A1679" s="1" t="s">
        <v>1</v>
      </c>
      <c r="B1679" s="1" t="s">
        <v>60</v>
      </c>
      <c r="C1679" s="5">
        <f>DATE(2024, 7, 25) + TIME(16, 6, 40)</f>
        <v>45498.671296296299</v>
      </c>
      <c r="D1679" s="1" t="s">
        <v>269</v>
      </c>
      <c r="E1679" s="1" t="s">
        <v>743</v>
      </c>
    </row>
    <row r="1680" spans="1:5" x14ac:dyDescent="0.2">
      <c r="A1680" s="1" t="s">
        <v>1</v>
      </c>
      <c r="B1680" s="1" t="s">
        <v>60</v>
      </c>
      <c r="C1680" s="5">
        <f>DATE(2024, 7, 25) + TIME(15, 50, 35)</f>
        <v>45498.660127314812</v>
      </c>
      <c r="D1680" s="1" t="s">
        <v>638</v>
      </c>
      <c r="E1680" s="1" t="s">
        <v>362</v>
      </c>
    </row>
    <row r="1681" spans="1:5" x14ac:dyDescent="0.2">
      <c r="A1681" s="1" t="s">
        <v>1</v>
      </c>
      <c r="B1681" s="1" t="s">
        <v>60</v>
      </c>
      <c r="C1681" s="5">
        <f>DATE(2024, 7, 25) + TIME(15, 13, 2)</f>
        <v>45498.634050925924</v>
      </c>
      <c r="D1681" s="1" t="s">
        <v>640</v>
      </c>
      <c r="E1681" s="1" t="s">
        <v>667</v>
      </c>
    </row>
    <row r="1682" spans="1:5" x14ac:dyDescent="0.2">
      <c r="A1682" s="1" t="s">
        <v>1</v>
      </c>
      <c r="B1682" s="1" t="s">
        <v>60</v>
      </c>
      <c r="C1682" s="5">
        <f>DATE(2024, 7, 25) + TIME(15, 7, 17)</f>
        <v>45498.630057870374</v>
      </c>
      <c r="D1682" s="1" t="s">
        <v>255</v>
      </c>
      <c r="E1682" s="1" t="s">
        <v>635</v>
      </c>
    </row>
    <row r="1683" spans="1:5" x14ac:dyDescent="0.2">
      <c r="A1683" s="1" t="s">
        <v>1</v>
      </c>
      <c r="B1683" s="1" t="s">
        <v>60</v>
      </c>
      <c r="C1683" s="5">
        <f>DATE(2024, 7, 25) + TIME(14, 44, 31)</f>
        <v>45498.614247685182</v>
      </c>
      <c r="D1683" s="1" t="s">
        <v>638</v>
      </c>
      <c r="E1683" s="1" t="s">
        <v>940</v>
      </c>
    </row>
    <row r="1684" spans="1:5" x14ac:dyDescent="0.2">
      <c r="A1684" s="1" t="s">
        <v>1</v>
      </c>
      <c r="B1684" s="1" t="s">
        <v>60</v>
      </c>
      <c r="C1684" s="5">
        <f>DATE(2024, 7, 25) + TIME(14, 34, 46)</f>
        <v>45498.607476851852</v>
      </c>
      <c r="D1684" s="1" t="s">
        <v>566</v>
      </c>
      <c r="E1684" s="1" t="s">
        <v>619</v>
      </c>
    </row>
    <row r="1685" spans="1:5" x14ac:dyDescent="0.2">
      <c r="A1685" s="1" t="s">
        <v>1</v>
      </c>
      <c r="B1685" s="1" t="s">
        <v>60</v>
      </c>
      <c r="C1685" s="5">
        <f>DATE(2024, 7, 25) + TIME(14, 34, 46)</f>
        <v>45498.607476851852</v>
      </c>
      <c r="D1685" s="1" t="s">
        <v>566</v>
      </c>
      <c r="E1685" s="1" t="s">
        <v>883</v>
      </c>
    </row>
    <row r="1686" spans="1:5" x14ac:dyDescent="0.2">
      <c r="A1686" s="1" t="s">
        <v>1</v>
      </c>
      <c r="B1686" s="1" t="s">
        <v>60</v>
      </c>
      <c r="C1686" s="5">
        <f>DATE(2024, 7, 25) + TIME(14, 29, 38)</f>
        <v>45498.603912037041</v>
      </c>
      <c r="D1686" s="1" t="s">
        <v>144</v>
      </c>
      <c r="E1686" s="1" t="s">
        <v>946</v>
      </c>
    </row>
    <row r="1687" spans="1:5" x14ac:dyDescent="0.2">
      <c r="A1687" s="1" t="s">
        <v>1</v>
      </c>
      <c r="B1687" s="1" t="s">
        <v>60</v>
      </c>
      <c r="C1687" s="5">
        <f>DATE(2024, 7, 25) + TIME(14, 9, 36)</f>
        <v>45498.59</v>
      </c>
      <c r="D1687" s="1" t="s">
        <v>638</v>
      </c>
      <c r="E1687" s="1" t="s">
        <v>1062</v>
      </c>
    </row>
    <row r="1688" spans="1:5" x14ac:dyDescent="0.2">
      <c r="A1688" s="1" t="s">
        <v>1</v>
      </c>
      <c r="B1688" s="1" t="s">
        <v>60</v>
      </c>
      <c r="C1688" s="5">
        <f>DATE(2024, 7, 25) + TIME(13, 57, 21)</f>
        <v>45498.581493055557</v>
      </c>
      <c r="D1688" s="1" t="s">
        <v>320</v>
      </c>
      <c r="E1688" s="1" t="s">
        <v>2</v>
      </c>
    </row>
    <row r="1689" spans="1:5" x14ac:dyDescent="0.2">
      <c r="A1689" s="1" t="s">
        <v>1</v>
      </c>
      <c r="B1689" s="1" t="s">
        <v>60</v>
      </c>
      <c r="C1689" s="5">
        <f>DATE(2024, 7, 25) + TIME(11, 10, 30)</f>
        <v>45498.465624999997</v>
      </c>
      <c r="D1689" s="1" t="s">
        <v>356</v>
      </c>
      <c r="E1689" s="1" t="s">
        <v>748</v>
      </c>
    </row>
    <row r="1690" spans="1:5" x14ac:dyDescent="0.2">
      <c r="A1690" s="1" t="s">
        <v>1</v>
      </c>
      <c r="B1690" s="1" t="s">
        <v>60</v>
      </c>
      <c r="C1690" s="5">
        <f>DATE(2024, 7, 25) + TIME(10, 45, 25)</f>
        <v>45498.448206018518</v>
      </c>
      <c r="D1690" s="1" t="s">
        <v>216</v>
      </c>
      <c r="E1690" s="1" t="s">
        <v>372</v>
      </c>
    </row>
    <row r="1691" spans="1:5" x14ac:dyDescent="0.2">
      <c r="A1691" s="1" t="s">
        <v>1</v>
      </c>
      <c r="B1691" s="1" t="s">
        <v>866</v>
      </c>
      <c r="C1691" s="5">
        <f>DATE(2024, 7, 24) + TIME(14, 48, 13)</f>
        <v>45497.61681712963</v>
      </c>
      <c r="D1691" s="1" t="s">
        <v>576</v>
      </c>
      <c r="E1691" s="1" t="s">
        <v>56</v>
      </c>
    </row>
    <row r="1692" spans="1:5" x14ac:dyDescent="0.2">
      <c r="A1692" s="1" t="s">
        <v>1</v>
      </c>
      <c r="B1692" s="1" t="s">
        <v>60</v>
      </c>
      <c r="C1692" s="5">
        <f>DATE(2024, 7, 24) + TIME(12, 11, 2)</f>
        <v>45497.507662037038</v>
      </c>
      <c r="D1692" s="1" t="s">
        <v>216</v>
      </c>
      <c r="E1692" s="1" t="s">
        <v>1235</v>
      </c>
    </row>
    <row r="1693" spans="1:5" x14ac:dyDescent="0.2">
      <c r="A1693" s="1" t="s">
        <v>1</v>
      </c>
      <c r="B1693" s="1" t="s">
        <v>60</v>
      </c>
      <c r="C1693" s="5">
        <f>DATE(2024, 7, 23) + TIME(14, 24, 58)</f>
        <v>45496.600671296299</v>
      </c>
      <c r="D1693" s="1" t="s">
        <v>3</v>
      </c>
      <c r="E1693" s="1" t="s">
        <v>571</v>
      </c>
    </row>
    <row r="1694" spans="1:5" x14ac:dyDescent="0.2">
      <c r="A1694" s="1" t="s">
        <v>1</v>
      </c>
      <c r="B1694" s="1" t="s">
        <v>323</v>
      </c>
      <c r="C1694" s="5">
        <f>DATE(2024, 7, 23) + TIME(13, 51, 41)</f>
        <v>45496.577557870369</v>
      </c>
      <c r="D1694" s="1" t="s">
        <v>1221</v>
      </c>
      <c r="E1694" s="1" t="s">
        <v>814</v>
      </c>
    </row>
    <row r="1695" spans="1:5" x14ac:dyDescent="0.2">
      <c r="A1695" s="1" t="s">
        <v>1</v>
      </c>
      <c r="B1695" s="1" t="s">
        <v>60</v>
      </c>
      <c r="C1695" s="5">
        <f>DATE(2024, 7, 23) + TIME(12, 9, 38)</f>
        <v>45496.506689814814</v>
      </c>
      <c r="D1695" s="1" t="s">
        <v>216</v>
      </c>
      <c r="E1695" s="1" t="s">
        <v>101</v>
      </c>
    </row>
    <row r="1696" spans="1:5" x14ac:dyDescent="0.2">
      <c r="A1696" s="1" t="s">
        <v>1</v>
      </c>
      <c r="B1696" s="1" t="s">
        <v>60</v>
      </c>
      <c r="C1696" s="5">
        <f>DATE(2024, 7, 23) + TIME(11, 26, 28)</f>
        <v>45496.476712962962</v>
      </c>
      <c r="D1696" s="1" t="s">
        <v>64</v>
      </c>
      <c r="E1696" s="1" t="s">
        <v>433</v>
      </c>
    </row>
    <row r="1697" spans="1:5" x14ac:dyDescent="0.2">
      <c r="A1697" s="1" t="s">
        <v>1</v>
      </c>
      <c r="B1697" s="1" t="s">
        <v>60</v>
      </c>
      <c r="C1697" s="5">
        <f>DATE(2024, 7, 23) + TIME(9, 53, 12)</f>
        <v>45496.411944444444</v>
      </c>
      <c r="D1697" s="1" t="s">
        <v>398</v>
      </c>
      <c r="E1697" s="1" t="s">
        <v>675</v>
      </c>
    </row>
    <row r="1698" spans="1:5" x14ac:dyDescent="0.2">
      <c r="A1698" s="1" t="s">
        <v>1</v>
      </c>
      <c r="B1698" s="1" t="s">
        <v>60</v>
      </c>
      <c r="C1698" s="5">
        <f>DATE(2024, 7, 22) + TIME(15, 1, 42)</f>
        <v>45495.626180555555</v>
      </c>
      <c r="D1698" s="1" t="s">
        <v>566</v>
      </c>
      <c r="E1698" s="1" t="s">
        <v>883</v>
      </c>
    </row>
    <row r="1699" spans="1:5" x14ac:dyDescent="0.2">
      <c r="A1699" s="1" t="s">
        <v>1</v>
      </c>
      <c r="B1699" s="1" t="s">
        <v>60</v>
      </c>
      <c r="C1699" s="5">
        <f>DATE(2024, 7, 22) + TIME(15, 1, 8)</f>
        <v>45495.625787037039</v>
      </c>
      <c r="D1699" s="1" t="s">
        <v>566</v>
      </c>
      <c r="E1699" s="1" t="s">
        <v>619</v>
      </c>
    </row>
    <row r="1700" spans="1:5" x14ac:dyDescent="0.2">
      <c r="A1700" s="1" t="s">
        <v>1</v>
      </c>
      <c r="B1700" s="1" t="s">
        <v>60</v>
      </c>
      <c r="C1700" s="5">
        <f>DATE(2024, 7, 22) + TIME(14, 39, 59)</f>
        <v>45495.61109953704</v>
      </c>
      <c r="D1700" s="1" t="s">
        <v>356</v>
      </c>
      <c r="E1700" s="1" t="s">
        <v>299</v>
      </c>
    </row>
    <row r="1701" spans="1:5" x14ac:dyDescent="0.2">
      <c r="A1701" s="1" t="s">
        <v>1</v>
      </c>
      <c r="B1701" s="1" t="s">
        <v>60</v>
      </c>
      <c r="C1701" s="5">
        <f>DATE(2024, 7, 22) + TIME(11, 14, 50)</f>
        <v>45495.468634259261</v>
      </c>
      <c r="D1701" s="1" t="s">
        <v>506</v>
      </c>
      <c r="E1701" s="1" t="s">
        <v>697</v>
      </c>
    </row>
    <row r="1702" spans="1:5" x14ac:dyDescent="0.2">
      <c r="A1702" s="1" t="s">
        <v>1</v>
      </c>
      <c r="B1702" s="1" t="s">
        <v>60</v>
      </c>
      <c r="C1702" s="5">
        <f>DATE(2024, 7, 22) + TIME(11, 14, 49)</f>
        <v>45495.468622685185</v>
      </c>
      <c r="D1702" s="1" t="s">
        <v>396</v>
      </c>
      <c r="E1702" s="1" t="s">
        <v>286</v>
      </c>
    </row>
    <row r="1703" spans="1:5" x14ac:dyDescent="0.2">
      <c r="A1703" s="1" t="s">
        <v>1</v>
      </c>
      <c r="B1703" s="1" t="s">
        <v>60</v>
      </c>
      <c r="C1703" s="5">
        <f>DATE(2024, 7, 22) + TIME(9, 55, 1)</f>
        <v>45495.413206018522</v>
      </c>
      <c r="D1703" s="1" t="s">
        <v>450</v>
      </c>
      <c r="E1703" s="1" t="s">
        <v>691</v>
      </c>
    </row>
    <row r="1704" spans="1:5" x14ac:dyDescent="0.2">
      <c r="A1704" s="1" t="s">
        <v>1</v>
      </c>
      <c r="B1704" s="1" t="s">
        <v>60</v>
      </c>
      <c r="C1704" s="5">
        <f>DATE(2024, 7, 18) + TIME(15, 1, 31)</f>
        <v>45491.62605324074</v>
      </c>
      <c r="D1704" s="1" t="s">
        <v>638</v>
      </c>
      <c r="E1704" s="1" t="s">
        <v>315</v>
      </c>
    </row>
    <row r="1705" spans="1:5" x14ac:dyDescent="0.2">
      <c r="A1705" s="1" t="s">
        <v>1</v>
      </c>
      <c r="B1705" s="1" t="s">
        <v>60</v>
      </c>
      <c r="C1705" s="5">
        <f>DATE(2024, 7, 18) + TIME(14, 16, 32)</f>
        <v>45491.594814814816</v>
      </c>
      <c r="D1705" s="1" t="s">
        <v>638</v>
      </c>
      <c r="E1705" s="1" t="s">
        <v>901</v>
      </c>
    </row>
    <row r="1706" spans="1:5" x14ac:dyDescent="0.2">
      <c r="A1706" s="1" t="s">
        <v>1</v>
      </c>
      <c r="B1706" s="1" t="s">
        <v>60</v>
      </c>
      <c r="C1706" s="5">
        <f>DATE(2024, 7, 18) + TIME(13, 36, 9)</f>
        <v>45491.566770833335</v>
      </c>
      <c r="D1706" s="1" t="s">
        <v>320</v>
      </c>
      <c r="E1706" s="1" t="s">
        <v>2</v>
      </c>
    </row>
    <row r="1707" spans="1:5" x14ac:dyDescent="0.2">
      <c r="A1707" s="1" t="s">
        <v>1</v>
      </c>
      <c r="B1707" s="1" t="s">
        <v>323</v>
      </c>
      <c r="C1707" s="5">
        <f>DATE(2024, 7, 18) + TIME(11, 35, 8)</f>
        <v>45491.482731481483</v>
      </c>
      <c r="D1707" s="1" t="s">
        <v>269</v>
      </c>
      <c r="E1707" s="1" t="s">
        <v>743</v>
      </c>
    </row>
    <row r="1708" spans="1:5" x14ac:dyDescent="0.2">
      <c r="A1708" s="1" t="s">
        <v>1</v>
      </c>
      <c r="B1708" s="1" t="s">
        <v>60</v>
      </c>
      <c r="C1708" s="5">
        <f>DATE(2024, 7, 18) + TIME(11, 15, 30)</f>
        <v>45491.469097222223</v>
      </c>
      <c r="D1708" s="1" t="s">
        <v>126</v>
      </c>
      <c r="E1708" s="1" t="s">
        <v>360</v>
      </c>
    </row>
    <row r="1709" spans="1:5" x14ac:dyDescent="0.2">
      <c r="A1709" s="1" t="s">
        <v>1</v>
      </c>
      <c r="B1709" s="1" t="s">
        <v>60</v>
      </c>
      <c r="C1709" s="5">
        <f>DATE(2024, 7, 18) + TIME(9, 56, 4)</f>
        <v>45491.413935185185</v>
      </c>
      <c r="D1709" s="1" t="s">
        <v>269</v>
      </c>
      <c r="E1709" s="1" t="s">
        <v>748</v>
      </c>
    </row>
    <row r="1710" spans="1:5" x14ac:dyDescent="0.2">
      <c r="A1710" s="1" t="s">
        <v>1</v>
      </c>
      <c r="B1710" s="1" t="s">
        <v>60</v>
      </c>
      <c r="C1710" s="5">
        <f>DATE(2024, 7, 18) + TIME(9, 44, 7)</f>
        <v>45491.405636574076</v>
      </c>
      <c r="D1710" s="1" t="s">
        <v>638</v>
      </c>
      <c r="E1710" s="1" t="s">
        <v>1237</v>
      </c>
    </row>
    <row r="1711" spans="1:5" x14ac:dyDescent="0.2">
      <c r="A1711" s="1" t="s">
        <v>1</v>
      </c>
      <c r="B1711" s="1" t="s">
        <v>60</v>
      </c>
      <c r="C1711" s="5">
        <f>DATE(2024, 7, 17) + TIME(14, 58, 5)</f>
        <v>45490.623668981483</v>
      </c>
      <c r="D1711" s="1" t="s">
        <v>900</v>
      </c>
      <c r="E1711" s="1" t="s">
        <v>337</v>
      </c>
    </row>
    <row r="1712" spans="1:5" x14ac:dyDescent="0.2">
      <c r="A1712" s="1" t="s">
        <v>1</v>
      </c>
      <c r="B1712" s="1" t="s">
        <v>60</v>
      </c>
      <c r="C1712" s="5">
        <f>DATE(2024, 7, 17) + TIME(14, 58, 5)</f>
        <v>45490.623668981483</v>
      </c>
      <c r="D1712" s="1" t="s">
        <v>900</v>
      </c>
      <c r="E1712" s="1" t="s">
        <v>595</v>
      </c>
    </row>
    <row r="1713" spans="1:5" x14ac:dyDescent="0.2">
      <c r="A1713" s="1" t="s">
        <v>1</v>
      </c>
      <c r="B1713" s="1" t="s">
        <v>323</v>
      </c>
      <c r="C1713" s="5">
        <f>DATE(2024, 7, 17) + TIME(14, 24, 33)</f>
        <v>45490.600381944445</v>
      </c>
      <c r="D1713" s="1" t="s">
        <v>341</v>
      </c>
      <c r="E1713" s="1" t="s">
        <v>185</v>
      </c>
    </row>
    <row r="1714" spans="1:5" x14ac:dyDescent="0.2">
      <c r="A1714" s="1" t="s">
        <v>1</v>
      </c>
      <c r="B1714" s="1" t="s">
        <v>60</v>
      </c>
      <c r="C1714" s="5">
        <f>DATE(2024, 7, 16) + TIME(16, 8, 18)</f>
        <v>45489.672430555554</v>
      </c>
      <c r="D1714" s="1" t="s">
        <v>459</v>
      </c>
      <c r="E1714" s="1" t="s">
        <v>49</v>
      </c>
    </row>
    <row r="1715" spans="1:5" x14ac:dyDescent="0.2">
      <c r="A1715" s="1" t="s">
        <v>1</v>
      </c>
      <c r="B1715" s="1" t="s">
        <v>60</v>
      </c>
      <c r="C1715" s="5">
        <f>DATE(2024, 7, 16) + TIME(15, 42, 6)</f>
        <v>45489.654236111113</v>
      </c>
      <c r="D1715" s="1" t="s">
        <v>398</v>
      </c>
      <c r="E1715" s="1" t="s">
        <v>142</v>
      </c>
    </row>
    <row r="1716" spans="1:5" x14ac:dyDescent="0.2">
      <c r="A1716" s="1" t="s">
        <v>1</v>
      </c>
      <c r="B1716" s="1" t="s">
        <v>60</v>
      </c>
      <c r="C1716" s="5">
        <f>DATE(2024, 7, 16) + TIME(13, 54, 59)</f>
        <v>45489.57984953704</v>
      </c>
      <c r="D1716" s="1" t="s">
        <v>255</v>
      </c>
      <c r="E1716" s="1" t="s">
        <v>17</v>
      </c>
    </row>
    <row r="1717" spans="1:5" x14ac:dyDescent="0.2">
      <c r="A1717" s="1" t="s">
        <v>1</v>
      </c>
      <c r="B1717" s="1" t="s">
        <v>927</v>
      </c>
      <c r="C1717" s="5">
        <f>DATE(2024, 7, 16) + TIME(13, 19, 16)</f>
        <v>45489.555046296293</v>
      </c>
      <c r="D1717" s="1" t="s">
        <v>506</v>
      </c>
      <c r="E1717" s="1" t="s">
        <v>712</v>
      </c>
    </row>
    <row r="1718" spans="1:5" x14ac:dyDescent="0.2">
      <c r="A1718" s="1" t="s">
        <v>1</v>
      </c>
      <c r="B1718" s="1" t="s">
        <v>60</v>
      </c>
      <c r="C1718" s="5">
        <f>DATE(2024, 7, 16) + TIME(5, 41, 43)</f>
        <v>45489.237303240741</v>
      </c>
      <c r="D1718" s="1" t="s">
        <v>65</v>
      </c>
      <c r="E1718" s="1" t="s">
        <v>103</v>
      </c>
    </row>
    <row r="1719" spans="1:5" x14ac:dyDescent="0.2">
      <c r="A1719" s="1" t="s">
        <v>1</v>
      </c>
      <c r="B1719" s="1" t="s">
        <v>866</v>
      </c>
      <c r="C1719" s="5">
        <f>DATE(2024, 7, 15) + TIME(14, 40, 52)</f>
        <v>45488.611712962964</v>
      </c>
      <c r="D1719" s="1" t="s">
        <v>144</v>
      </c>
      <c r="E1719" s="1" t="s">
        <v>1240</v>
      </c>
    </row>
    <row r="1720" spans="1:5" x14ac:dyDescent="0.2">
      <c r="A1720" s="1" t="s">
        <v>1</v>
      </c>
      <c r="B1720" s="1" t="s">
        <v>866</v>
      </c>
      <c r="C1720" s="5">
        <f>DATE(2024, 7, 15) + TIME(14, 7, 46)</f>
        <v>45488.588726851849</v>
      </c>
      <c r="D1720" s="1" t="s">
        <v>144</v>
      </c>
      <c r="E1720" s="1" t="s">
        <v>946</v>
      </c>
    </row>
    <row r="1721" spans="1:5" x14ac:dyDescent="0.2">
      <c r="A1721" s="1" t="s">
        <v>1</v>
      </c>
      <c r="B1721" s="1" t="s">
        <v>60</v>
      </c>
      <c r="C1721" s="5">
        <f>DATE(2024, 7, 15) + TIME(14, 1, 6)</f>
        <v>45488.584097222221</v>
      </c>
      <c r="D1721" s="1" t="s">
        <v>144</v>
      </c>
      <c r="E1721" s="1" t="s">
        <v>695</v>
      </c>
    </row>
    <row r="1722" spans="1:5" x14ac:dyDescent="0.2">
      <c r="A1722" s="1" t="s">
        <v>1</v>
      </c>
      <c r="B1722" s="1" t="s">
        <v>60</v>
      </c>
      <c r="C1722" s="5">
        <f>DATE(2024, 7, 15) + TIME(12, 23, 11)</f>
        <v>45488.516099537039</v>
      </c>
      <c r="D1722" s="1" t="s">
        <v>900</v>
      </c>
      <c r="E1722" s="1" t="s">
        <v>630</v>
      </c>
    </row>
    <row r="1723" spans="1:5" x14ac:dyDescent="0.2">
      <c r="A1723" s="1" t="s">
        <v>1</v>
      </c>
      <c r="B1723" s="1" t="s">
        <v>323</v>
      </c>
      <c r="C1723" s="5">
        <f>DATE(2024, 7, 15) + TIME(11, 50, 31)</f>
        <v>45488.493414351855</v>
      </c>
      <c r="D1723" s="1" t="s">
        <v>269</v>
      </c>
      <c r="E1723" s="1" t="s">
        <v>748</v>
      </c>
    </row>
    <row r="1724" spans="1:5" x14ac:dyDescent="0.2">
      <c r="A1724" s="1" t="s">
        <v>1</v>
      </c>
      <c r="B1724" s="1" t="s">
        <v>60</v>
      </c>
      <c r="C1724" s="5">
        <f>DATE(2024, 7, 15) + TIME(11, 16, 25)</f>
        <v>45488.469733796293</v>
      </c>
      <c r="D1724" s="1" t="s">
        <v>3</v>
      </c>
      <c r="E1724" s="1" t="s">
        <v>696</v>
      </c>
    </row>
    <row r="1725" spans="1:5" x14ac:dyDescent="0.2">
      <c r="A1725" s="1" t="s">
        <v>1</v>
      </c>
      <c r="B1725" s="1" t="s">
        <v>60</v>
      </c>
      <c r="C1725" s="5">
        <f>DATE(2024, 7, 15) + TIME(11, 16, 25)</f>
        <v>45488.469733796293</v>
      </c>
      <c r="D1725" s="1" t="s">
        <v>3</v>
      </c>
      <c r="E1725" s="1" t="s">
        <v>168</v>
      </c>
    </row>
    <row r="1726" spans="1:5" x14ac:dyDescent="0.2">
      <c r="A1726" s="1" t="s">
        <v>1</v>
      </c>
      <c r="B1726" s="1" t="s">
        <v>60</v>
      </c>
      <c r="C1726" s="5">
        <f>DATE(2024, 7, 11) + TIME(15, 47, 10)</f>
        <v>45484.657754629632</v>
      </c>
      <c r="D1726" s="1" t="s">
        <v>566</v>
      </c>
      <c r="E1726" s="1" t="s">
        <v>883</v>
      </c>
    </row>
    <row r="1727" spans="1:5" x14ac:dyDescent="0.2">
      <c r="A1727" s="1" t="s">
        <v>1</v>
      </c>
      <c r="B1727" s="1" t="s">
        <v>60</v>
      </c>
      <c r="C1727" s="5">
        <f>DATE(2024, 7, 11) + TIME(15, 47, 10)</f>
        <v>45484.657754629632</v>
      </c>
      <c r="D1727" s="1" t="s">
        <v>566</v>
      </c>
      <c r="E1727" s="1" t="s">
        <v>619</v>
      </c>
    </row>
    <row r="1728" spans="1:5" x14ac:dyDescent="0.2">
      <c r="A1728" s="1" t="s">
        <v>1</v>
      </c>
      <c r="B1728" s="1" t="s">
        <v>60</v>
      </c>
      <c r="C1728" s="5">
        <f>DATE(2024, 7, 11) + TIME(14, 2, 17)</f>
        <v>45484.584918981483</v>
      </c>
      <c r="D1728" s="1" t="s">
        <v>144</v>
      </c>
      <c r="E1728" s="1" t="s">
        <v>946</v>
      </c>
    </row>
    <row r="1729" spans="1:5" x14ac:dyDescent="0.2">
      <c r="A1729" s="1" t="s">
        <v>1</v>
      </c>
      <c r="B1729" s="1" t="s">
        <v>60</v>
      </c>
      <c r="C1729" s="5">
        <f>DATE(2024, 7, 11) + TIME(14, 0, 37)</f>
        <v>45484.583761574075</v>
      </c>
      <c r="D1729" s="1" t="s">
        <v>5</v>
      </c>
      <c r="E1729" s="1" t="s">
        <v>763</v>
      </c>
    </row>
    <row r="1730" spans="1:5" x14ac:dyDescent="0.2">
      <c r="A1730" s="1" t="s">
        <v>1</v>
      </c>
      <c r="B1730" s="1" t="s">
        <v>60</v>
      </c>
      <c r="C1730" s="5">
        <f>DATE(2024, 7, 11) + TIME(13, 53, 55)</f>
        <v>45484.579108796293</v>
      </c>
      <c r="D1730" s="1" t="s">
        <v>731</v>
      </c>
      <c r="E1730" s="1" t="s">
        <v>441</v>
      </c>
    </row>
    <row r="1731" spans="1:5" x14ac:dyDescent="0.2">
      <c r="A1731" s="1" t="s">
        <v>1</v>
      </c>
      <c r="B1731" s="1" t="s">
        <v>866</v>
      </c>
      <c r="C1731" s="5">
        <f>DATE(2024, 7, 11) + TIME(13, 53, 55)</f>
        <v>45484.579108796293</v>
      </c>
      <c r="D1731" s="1" t="s">
        <v>731</v>
      </c>
      <c r="E1731" s="1" t="s">
        <v>441</v>
      </c>
    </row>
    <row r="1732" spans="1:5" x14ac:dyDescent="0.2">
      <c r="A1732" s="1" t="s">
        <v>1</v>
      </c>
      <c r="B1732" s="1" t="s">
        <v>271</v>
      </c>
      <c r="C1732" s="5">
        <f>DATE(2024, 7, 11) + TIME(13, 53, 55)</f>
        <v>45484.579108796293</v>
      </c>
      <c r="D1732" s="1" t="s">
        <v>731</v>
      </c>
      <c r="E1732" s="1" t="s">
        <v>441</v>
      </c>
    </row>
    <row r="1733" spans="1:5" x14ac:dyDescent="0.2">
      <c r="A1733" s="1" t="s">
        <v>1</v>
      </c>
      <c r="B1733" s="1" t="s">
        <v>60</v>
      </c>
      <c r="C1733" s="5">
        <f>DATE(2024, 7, 11) + TIME(12, 59, 34)</f>
        <v>45484.541365740741</v>
      </c>
      <c r="D1733" s="1" t="s">
        <v>396</v>
      </c>
      <c r="E1733" s="1" t="s">
        <v>1086</v>
      </c>
    </row>
    <row r="1734" spans="1:5" x14ac:dyDescent="0.2">
      <c r="A1734" s="1" t="s">
        <v>1</v>
      </c>
      <c r="B1734" s="1" t="s">
        <v>60</v>
      </c>
      <c r="C1734" s="5">
        <f>DATE(2024, 7, 11) + TIME(12, 43, 15)</f>
        <v>45484.530034722222</v>
      </c>
      <c r="D1734" s="1" t="s">
        <v>638</v>
      </c>
      <c r="E1734" s="1" t="s">
        <v>157</v>
      </c>
    </row>
    <row r="1735" spans="1:5" x14ac:dyDescent="0.2">
      <c r="A1735" s="1" t="s">
        <v>1</v>
      </c>
      <c r="B1735" s="1" t="s">
        <v>60</v>
      </c>
      <c r="C1735" s="5">
        <f>DATE(2024, 7, 11) + TIME(9, 49, 14)</f>
        <v>45484.409189814818</v>
      </c>
      <c r="D1735" s="1" t="s">
        <v>216</v>
      </c>
      <c r="E1735" s="1" t="s">
        <v>372</v>
      </c>
    </row>
    <row r="1736" spans="1:5" x14ac:dyDescent="0.2">
      <c r="A1736" s="1" t="s">
        <v>1</v>
      </c>
      <c r="B1736" s="1" t="s">
        <v>866</v>
      </c>
      <c r="C1736" s="5">
        <f>DATE(2024, 7, 10) + TIME(12, 30, 53)</f>
        <v>45483.52144675926</v>
      </c>
      <c r="D1736" s="1" t="s">
        <v>396</v>
      </c>
      <c r="E1736" s="1" t="s">
        <v>507</v>
      </c>
    </row>
    <row r="1737" spans="1:5" x14ac:dyDescent="0.2">
      <c r="A1737" s="1" t="s">
        <v>1</v>
      </c>
      <c r="B1737" s="1" t="s">
        <v>60</v>
      </c>
      <c r="C1737" s="5">
        <f>DATE(2024, 7, 10) + TIME(12, 25, 14)</f>
        <v>45483.517523148148</v>
      </c>
      <c r="D1737" s="1" t="s">
        <v>731</v>
      </c>
      <c r="E1737" s="1" t="s">
        <v>363</v>
      </c>
    </row>
    <row r="1738" spans="1:5" x14ac:dyDescent="0.2">
      <c r="A1738" s="1" t="s">
        <v>1</v>
      </c>
      <c r="B1738" s="1" t="s">
        <v>564</v>
      </c>
      <c r="C1738" s="5">
        <f>DATE(2024, 7, 10) + TIME(12, 25, 14)</f>
        <v>45483.517523148148</v>
      </c>
      <c r="D1738" s="1" t="s">
        <v>731</v>
      </c>
      <c r="E1738" s="1" t="s">
        <v>363</v>
      </c>
    </row>
    <row r="1739" spans="1:5" x14ac:dyDescent="0.2">
      <c r="A1739" s="1" t="s">
        <v>1</v>
      </c>
      <c r="B1739" s="1" t="s">
        <v>69</v>
      </c>
      <c r="C1739" s="5">
        <f>DATE(2024, 7, 10) + TIME(10, 15, 20)</f>
        <v>45483.427314814813</v>
      </c>
      <c r="D1739" s="1" t="s">
        <v>731</v>
      </c>
      <c r="E1739" s="1" t="s">
        <v>760</v>
      </c>
    </row>
    <row r="1740" spans="1:5" x14ac:dyDescent="0.2">
      <c r="A1740" s="1" t="s">
        <v>1</v>
      </c>
      <c r="B1740" s="1" t="s">
        <v>60</v>
      </c>
      <c r="C1740" s="5">
        <f>DATE(2024, 7, 10) + TIME(10, 15, 20)</f>
        <v>45483.427314814813</v>
      </c>
      <c r="D1740" s="1" t="s">
        <v>731</v>
      </c>
      <c r="E1740" s="1" t="s">
        <v>760</v>
      </c>
    </row>
    <row r="1741" spans="1:5" x14ac:dyDescent="0.2">
      <c r="A1741" s="1" t="s">
        <v>1</v>
      </c>
      <c r="B1741" s="1" t="s">
        <v>564</v>
      </c>
      <c r="C1741" s="5">
        <f>DATE(2024, 7, 9) + TIME(16, 35, 35)</f>
        <v>45482.691377314812</v>
      </c>
      <c r="D1741" s="1" t="s">
        <v>459</v>
      </c>
      <c r="E1741" s="1" t="s">
        <v>49</v>
      </c>
    </row>
    <row r="1742" spans="1:5" x14ac:dyDescent="0.2">
      <c r="A1742" s="1" t="s">
        <v>1</v>
      </c>
      <c r="B1742" s="1" t="s">
        <v>60</v>
      </c>
      <c r="C1742" s="5">
        <f>DATE(2024, 7, 9) + TIME(15, 44, 39)</f>
        <v>45482.656006944446</v>
      </c>
      <c r="D1742" s="1" t="s">
        <v>398</v>
      </c>
      <c r="E1742" s="1" t="s">
        <v>675</v>
      </c>
    </row>
    <row r="1743" spans="1:5" x14ac:dyDescent="0.2">
      <c r="A1743" s="1" t="s">
        <v>1</v>
      </c>
      <c r="B1743" s="1" t="s">
        <v>60</v>
      </c>
      <c r="C1743" s="5">
        <f>DATE(2024, 7, 9) + TIME(14, 42, 28)</f>
        <v>45482.612824074073</v>
      </c>
      <c r="D1743" s="1" t="s">
        <v>65</v>
      </c>
      <c r="E1743" s="1" t="s">
        <v>227</v>
      </c>
    </row>
    <row r="1744" spans="1:5" x14ac:dyDescent="0.2">
      <c r="A1744" s="1" t="s">
        <v>1</v>
      </c>
      <c r="B1744" s="1" t="s">
        <v>60</v>
      </c>
      <c r="C1744" s="5">
        <f>DATE(2024, 7, 9) + TIME(14, 36, 54)</f>
        <v>45482.608958333331</v>
      </c>
      <c r="D1744" s="1" t="s">
        <v>566</v>
      </c>
      <c r="E1744" s="1" t="s">
        <v>619</v>
      </c>
    </row>
    <row r="1745" spans="1:5" x14ac:dyDescent="0.2">
      <c r="A1745" s="1" t="s">
        <v>1</v>
      </c>
      <c r="B1745" s="1" t="s">
        <v>60</v>
      </c>
      <c r="C1745" s="5">
        <f>DATE(2024, 7, 9) + TIME(14, 36, 54)</f>
        <v>45482.608958333331</v>
      </c>
      <c r="D1745" s="1" t="s">
        <v>566</v>
      </c>
      <c r="E1745" s="1" t="s">
        <v>883</v>
      </c>
    </row>
    <row r="1746" spans="1:5" x14ac:dyDescent="0.2">
      <c r="A1746" s="1" t="s">
        <v>1</v>
      </c>
      <c r="B1746" s="1" t="s">
        <v>60</v>
      </c>
      <c r="C1746" s="5">
        <f>DATE(2024, 7, 9) + TIME(10, 14, 4)</f>
        <v>45482.426435185182</v>
      </c>
      <c r="D1746" s="1" t="s">
        <v>450</v>
      </c>
      <c r="E1746" s="1" t="s">
        <v>185</v>
      </c>
    </row>
    <row r="1747" spans="1:5" x14ac:dyDescent="0.2">
      <c r="A1747" s="1" t="s">
        <v>1</v>
      </c>
      <c r="B1747" s="1" t="s">
        <v>560</v>
      </c>
      <c r="C1747" s="5">
        <f>DATE(2024, 7, 8) + TIME(15, 47, 28)</f>
        <v>45481.657962962963</v>
      </c>
      <c r="D1747" s="1" t="s">
        <v>459</v>
      </c>
      <c r="E1747" s="1" t="s">
        <v>836</v>
      </c>
    </row>
    <row r="1748" spans="1:5" x14ac:dyDescent="0.2">
      <c r="A1748" s="1" t="s">
        <v>1</v>
      </c>
      <c r="B1748" s="1" t="s">
        <v>564</v>
      </c>
      <c r="C1748" s="5">
        <f>DATE(2024, 7, 8) + TIME(13, 17, 57)</f>
        <v>45481.554131944446</v>
      </c>
      <c r="D1748" s="1" t="s">
        <v>731</v>
      </c>
      <c r="E1748" s="1" t="s">
        <v>870</v>
      </c>
    </row>
    <row r="1749" spans="1:5" x14ac:dyDescent="0.2">
      <c r="A1749" s="1" t="s">
        <v>1</v>
      </c>
      <c r="B1749" s="1" t="s">
        <v>271</v>
      </c>
      <c r="C1749" s="5">
        <f>DATE(2024, 7, 8) + TIME(13, 17, 57)</f>
        <v>45481.554131944446</v>
      </c>
      <c r="D1749" s="1" t="s">
        <v>731</v>
      </c>
      <c r="E1749" s="1" t="s">
        <v>870</v>
      </c>
    </row>
    <row r="1750" spans="1:5" x14ac:dyDescent="0.2">
      <c r="A1750" s="1" t="s">
        <v>1</v>
      </c>
      <c r="B1750" s="1" t="s">
        <v>60</v>
      </c>
      <c r="C1750" s="5">
        <f>DATE(2024, 7, 8) + TIME(13, 17, 56)</f>
        <v>45481.554120370369</v>
      </c>
      <c r="D1750" s="1" t="s">
        <v>731</v>
      </c>
      <c r="E1750" s="1" t="s">
        <v>870</v>
      </c>
    </row>
    <row r="1751" spans="1:5" x14ac:dyDescent="0.2">
      <c r="A1751" s="1" t="s">
        <v>1</v>
      </c>
      <c r="B1751" s="1" t="s">
        <v>60</v>
      </c>
      <c r="C1751" s="5">
        <f>DATE(2024, 7, 8) + TIME(12, 39, 44)</f>
        <v>45481.527592592596</v>
      </c>
      <c r="D1751" s="1" t="s">
        <v>731</v>
      </c>
      <c r="E1751" s="1" t="s">
        <v>330</v>
      </c>
    </row>
    <row r="1752" spans="1:5" x14ac:dyDescent="0.2">
      <c r="A1752" s="1" t="s">
        <v>1</v>
      </c>
      <c r="B1752" s="1" t="s">
        <v>323</v>
      </c>
      <c r="C1752" s="5">
        <f>DATE(2024, 7, 8) + TIME(11, 48, 47)</f>
        <v>45481.492210648146</v>
      </c>
      <c r="D1752" s="1" t="s">
        <v>269</v>
      </c>
      <c r="E1752" s="1" t="s">
        <v>748</v>
      </c>
    </row>
    <row r="1753" spans="1:5" x14ac:dyDescent="0.2">
      <c r="A1753" s="1" t="s">
        <v>1</v>
      </c>
      <c r="B1753" s="1" t="s">
        <v>60</v>
      </c>
      <c r="C1753" s="5">
        <f>DATE(2024, 7, 4) + TIME(15, 36, 38)</f>
        <v>45477.650439814817</v>
      </c>
      <c r="D1753" s="1" t="s">
        <v>566</v>
      </c>
      <c r="E1753" s="1" t="s">
        <v>883</v>
      </c>
    </row>
    <row r="1754" spans="1:5" x14ac:dyDescent="0.2">
      <c r="A1754" s="1" t="s">
        <v>1</v>
      </c>
      <c r="B1754" s="1" t="s">
        <v>60</v>
      </c>
      <c r="C1754" s="5">
        <f>DATE(2024, 7, 4) + TIME(15, 36, 38)</f>
        <v>45477.650439814817</v>
      </c>
      <c r="D1754" s="1" t="s">
        <v>566</v>
      </c>
      <c r="E1754" s="1" t="s">
        <v>619</v>
      </c>
    </row>
    <row r="1755" spans="1:5" x14ac:dyDescent="0.2">
      <c r="A1755" s="1" t="s">
        <v>1</v>
      </c>
      <c r="B1755" s="1" t="s">
        <v>644</v>
      </c>
      <c r="C1755" s="5">
        <f>DATE(2024, 7, 4) + TIME(13, 56, 12)</f>
        <v>45477.580694444441</v>
      </c>
      <c r="D1755" s="1" t="s">
        <v>396</v>
      </c>
      <c r="E1755" s="1" t="s">
        <v>567</v>
      </c>
    </row>
    <row r="1756" spans="1:5" x14ac:dyDescent="0.2">
      <c r="A1756" s="1" t="s">
        <v>1</v>
      </c>
      <c r="B1756" s="1" t="s">
        <v>271</v>
      </c>
      <c r="C1756" s="5">
        <f>DATE(2024, 7, 3) + TIME(14, 2, 47)</f>
        <v>45476.585266203707</v>
      </c>
      <c r="D1756" s="1" t="s">
        <v>269</v>
      </c>
      <c r="E1756" s="1" t="s">
        <v>492</v>
      </c>
    </row>
    <row r="1757" spans="1:5" x14ac:dyDescent="0.2">
      <c r="A1757" s="1" t="s">
        <v>1</v>
      </c>
      <c r="B1757" s="1" t="s">
        <v>60</v>
      </c>
      <c r="C1757" s="5">
        <f>DATE(2024, 7, 2) + TIME(15, 56, 4)</f>
        <v>45475.663935185185</v>
      </c>
      <c r="D1757" s="1" t="s">
        <v>731</v>
      </c>
      <c r="E1757" s="1" t="s">
        <v>379</v>
      </c>
    </row>
    <row r="1758" spans="1:5" x14ac:dyDescent="0.2">
      <c r="A1758" s="1" t="s">
        <v>1</v>
      </c>
      <c r="B1758" s="1" t="s">
        <v>60</v>
      </c>
      <c r="C1758" s="5">
        <f>DATE(2024, 7, 2) + TIME(15, 38, 10)</f>
        <v>45475.651504629626</v>
      </c>
      <c r="D1758" s="1" t="s">
        <v>731</v>
      </c>
      <c r="E1758" s="1" t="s">
        <v>227</v>
      </c>
    </row>
    <row r="1759" spans="1:5" x14ac:dyDescent="0.2">
      <c r="A1759" s="1" t="s">
        <v>1</v>
      </c>
      <c r="B1759" s="1" t="s">
        <v>60</v>
      </c>
      <c r="C1759" s="5">
        <f>DATE(2024, 7, 2) + TIME(15, 18, 3)</f>
        <v>45475.63753472222</v>
      </c>
      <c r="D1759" s="1" t="s">
        <v>396</v>
      </c>
      <c r="E1759" s="1" t="s">
        <v>76</v>
      </c>
    </row>
    <row r="1760" spans="1:5" x14ac:dyDescent="0.2">
      <c r="A1760" s="1" t="s">
        <v>1</v>
      </c>
      <c r="B1760" s="1" t="s">
        <v>60</v>
      </c>
      <c r="C1760" s="5">
        <f>DATE(2024, 7, 2) + TIME(15, 2, 5)</f>
        <v>45475.626446759263</v>
      </c>
      <c r="D1760" s="1" t="s">
        <v>398</v>
      </c>
      <c r="E1760" s="1" t="s">
        <v>142</v>
      </c>
    </row>
    <row r="1761" spans="1:5" x14ac:dyDescent="0.2">
      <c r="A1761" s="1" t="s">
        <v>1</v>
      </c>
      <c r="B1761" s="1" t="s">
        <v>60</v>
      </c>
      <c r="C1761" s="5">
        <f>DATE(2024, 7, 2) + TIME(10, 16, 5)</f>
        <v>45475.427835648145</v>
      </c>
      <c r="D1761" s="1" t="s">
        <v>3</v>
      </c>
      <c r="E1761" s="1" t="s">
        <v>571</v>
      </c>
    </row>
    <row r="1762" spans="1:5" x14ac:dyDescent="0.2">
      <c r="A1762" s="1" t="s">
        <v>1</v>
      </c>
      <c r="B1762" s="1" t="s">
        <v>60</v>
      </c>
      <c r="C1762" s="5">
        <f>DATE(2024, 7, 1) + TIME(13, 21, 5)</f>
        <v>45474.556307870371</v>
      </c>
      <c r="D1762" s="1" t="s">
        <v>3</v>
      </c>
      <c r="E1762" s="1" t="s">
        <v>1129</v>
      </c>
    </row>
    <row r="1763" spans="1:5" x14ac:dyDescent="0.2">
      <c r="A1763" s="1" t="s">
        <v>1</v>
      </c>
      <c r="B1763" s="1" t="s">
        <v>323</v>
      </c>
      <c r="C1763" s="5">
        <f>DATE(2024, 7, 1) + TIME(13, 8, 15)</f>
        <v>45474.547395833331</v>
      </c>
      <c r="D1763" s="1" t="s">
        <v>269</v>
      </c>
      <c r="E1763" s="1" t="s">
        <v>748</v>
      </c>
    </row>
    <row r="1764" spans="1:5" x14ac:dyDescent="0.2">
      <c r="A1764" s="1" t="s">
        <v>1</v>
      </c>
      <c r="B1764" s="1" t="s">
        <v>60</v>
      </c>
      <c r="C1764" s="5">
        <f>DATE(2024, 7, 1) + TIME(12, 39, 53)</f>
        <v>45474.527696759258</v>
      </c>
      <c r="D1764" s="1" t="s">
        <v>144</v>
      </c>
      <c r="E1764" s="1" t="s">
        <v>695</v>
      </c>
    </row>
    <row r="1765" spans="1:5" x14ac:dyDescent="0.2">
      <c r="A1765" s="1" t="s">
        <v>1</v>
      </c>
      <c r="B1765" s="1" t="s">
        <v>323</v>
      </c>
      <c r="C1765" s="5">
        <f>DATE(2024, 7, 1) + TIME(12, 21, 11)</f>
        <v>45474.514710648145</v>
      </c>
      <c r="D1765" s="1" t="s">
        <v>576</v>
      </c>
      <c r="E1765" s="1" t="s">
        <v>1250</v>
      </c>
    </row>
    <row r="1766" spans="1:5" x14ac:dyDescent="0.2">
      <c r="A1766" s="1" t="s">
        <v>1</v>
      </c>
      <c r="B1766" s="1" t="s">
        <v>60</v>
      </c>
      <c r="C1766" s="5">
        <f>DATE(2024, 7, 1) + TIME(11, 50, 19)</f>
        <v>45474.493275462963</v>
      </c>
      <c r="D1766" s="1" t="s">
        <v>506</v>
      </c>
      <c r="E1766" s="1" t="s">
        <v>697</v>
      </c>
    </row>
    <row r="1767" spans="1:5" x14ac:dyDescent="0.2">
      <c r="A1767" s="1" t="s">
        <v>1</v>
      </c>
      <c r="B1767" s="1" t="s">
        <v>564</v>
      </c>
      <c r="C1767" s="5">
        <f>DATE(2024, 7, 1) + TIME(11, 22, 37)</f>
        <v>45474.474039351851</v>
      </c>
      <c r="D1767" s="1" t="s">
        <v>1221</v>
      </c>
      <c r="E1767" s="1" t="s">
        <v>865</v>
      </c>
    </row>
    <row r="1768" spans="1:5" x14ac:dyDescent="0.2">
      <c r="A1768" s="1" t="s">
        <v>1</v>
      </c>
      <c r="B1768" s="1" t="s">
        <v>60</v>
      </c>
      <c r="C1768" s="5">
        <f>DATE(2024, 6, 27) + TIME(15, 51, 15)</f>
        <v>45470.660590277781</v>
      </c>
      <c r="D1768" s="1" t="s">
        <v>638</v>
      </c>
      <c r="E1768" s="1" t="s">
        <v>362</v>
      </c>
    </row>
    <row r="1769" spans="1:5" x14ac:dyDescent="0.2">
      <c r="A1769" s="1" t="s">
        <v>1</v>
      </c>
      <c r="B1769" s="1" t="s">
        <v>60</v>
      </c>
      <c r="C1769" s="5">
        <f>DATE(2024, 6, 27) + TIME(15, 24, 35)</f>
        <v>45470.642071759263</v>
      </c>
      <c r="D1769" s="1" t="s">
        <v>144</v>
      </c>
      <c r="E1769" s="1" t="s">
        <v>946</v>
      </c>
    </row>
    <row r="1770" spans="1:5" x14ac:dyDescent="0.2">
      <c r="A1770" s="1" t="s">
        <v>1</v>
      </c>
      <c r="B1770" s="1" t="s">
        <v>564</v>
      </c>
      <c r="C1770" s="5">
        <f>DATE(2024, 6, 27) + TIME(14, 51, 23)</f>
        <v>45470.619016203702</v>
      </c>
      <c r="D1770" s="1" t="s">
        <v>1054</v>
      </c>
      <c r="E1770" s="1" t="s">
        <v>809</v>
      </c>
    </row>
    <row r="1771" spans="1:5" x14ac:dyDescent="0.2">
      <c r="A1771" s="1" t="s">
        <v>1</v>
      </c>
      <c r="B1771" s="1" t="s">
        <v>60</v>
      </c>
      <c r="C1771" s="5">
        <f>DATE(2024, 6, 27) + TIME(14, 42, 4)</f>
        <v>45470.612546296295</v>
      </c>
      <c r="D1771" s="1" t="s">
        <v>566</v>
      </c>
      <c r="E1771" s="1" t="s">
        <v>883</v>
      </c>
    </row>
    <row r="1772" spans="1:5" x14ac:dyDescent="0.2">
      <c r="A1772" s="1" t="s">
        <v>1</v>
      </c>
      <c r="B1772" s="1" t="s">
        <v>60</v>
      </c>
      <c r="C1772" s="5">
        <f>DATE(2024, 6, 27) + TIME(14, 42, 4)</f>
        <v>45470.612546296295</v>
      </c>
      <c r="D1772" s="1" t="s">
        <v>566</v>
      </c>
      <c r="E1772" s="1" t="s">
        <v>619</v>
      </c>
    </row>
    <row r="1773" spans="1:5" x14ac:dyDescent="0.2">
      <c r="A1773" s="1" t="s">
        <v>1</v>
      </c>
      <c r="B1773" s="1" t="s">
        <v>323</v>
      </c>
      <c r="C1773" s="5">
        <f>DATE(2024, 6, 27) + TIME(12, 54, 23)</f>
        <v>45470.537766203706</v>
      </c>
      <c r="D1773" s="1" t="s">
        <v>341</v>
      </c>
      <c r="E1773" s="1" t="s">
        <v>567</v>
      </c>
    </row>
    <row r="1774" spans="1:5" x14ac:dyDescent="0.2">
      <c r="A1774" s="1" t="s">
        <v>1</v>
      </c>
      <c r="B1774" s="1" t="s">
        <v>323</v>
      </c>
      <c r="C1774" s="5">
        <f>DATE(2024, 6, 27) + TIME(11, 16, 42)</f>
        <v>45470.469930555555</v>
      </c>
      <c r="D1774" s="1" t="s">
        <v>269</v>
      </c>
      <c r="E1774" s="1" t="s">
        <v>748</v>
      </c>
    </row>
    <row r="1775" spans="1:5" x14ac:dyDescent="0.2">
      <c r="A1775" s="1" t="s">
        <v>1</v>
      </c>
      <c r="B1775" s="1" t="s">
        <v>60</v>
      </c>
      <c r="C1775" s="5">
        <f>DATE(2024, 6, 26) + TIME(15, 0, 56)</f>
        <v>45469.625648148147</v>
      </c>
      <c r="D1775" s="1" t="s">
        <v>450</v>
      </c>
      <c r="E1775" s="1" t="s">
        <v>78</v>
      </c>
    </row>
    <row r="1776" spans="1:5" x14ac:dyDescent="0.2">
      <c r="A1776" s="1" t="s">
        <v>1</v>
      </c>
      <c r="B1776" s="1" t="s">
        <v>927</v>
      </c>
      <c r="C1776" s="5">
        <f>DATE(2024, 6, 26) + TIME(13, 44, 6)</f>
        <v>45469.572291666664</v>
      </c>
      <c r="D1776" s="1" t="s">
        <v>450</v>
      </c>
      <c r="E1776" s="1" t="s">
        <v>185</v>
      </c>
    </row>
    <row r="1777" spans="1:5" x14ac:dyDescent="0.2">
      <c r="A1777" s="1" t="s">
        <v>1</v>
      </c>
      <c r="B1777" s="1" t="s">
        <v>60</v>
      </c>
      <c r="C1777" s="5">
        <f>DATE(2024, 6, 26) + TIME(13, 9, 54)</f>
        <v>45469.548541666663</v>
      </c>
      <c r="D1777" s="1" t="s">
        <v>216</v>
      </c>
      <c r="E1777" s="1" t="s">
        <v>321</v>
      </c>
    </row>
    <row r="1778" spans="1:5" x14ac:dyDescent="0.2">
      <c r="A1778" s="1" t="s">
        <v>1</v>
      </c>
      <c r="B1778" s="1" t="s">
        <v>60</v>
      </c>
      <c r="C1778" s="5">
        <f>DATE(2024, 6, 25) + TIME(15, 58, 8)</f>
        <v>45468.665370370371</v>
      </c>
      <c r="D1778" s="1" t="s">
        <v>65</v>
      </c>
      <c r="E1778" s="1" t="s">
        <v>103</v>
      </c>
    </row>
    <row r="1779" spans="1:5" x14ac:dyDescent="0.2">
      <c r="A1779" s="1" t="s">
        <v>1</v>
      </c>
      <c r="B1779" s="1" t="s">
        <v>60</v>
      </c>
      <c r="C1779" s="5">
        <f>DATE(2024, 6, 25) + TIME(15, 25, 3)</f>
        <v>45468.642395833333</v>
      </c>
      <c r="D1779" s="1" t="s">
        <v>65</v>
      </c>
      <c r="E1779" s="1" t="s">
        <v>103</v>
      </c>
    </row>
    <row r="1780" spans="1:5" x14ac:dyDescent="0.2">
      <c r="A1780" s="1" t="s">
        <v>1</v>
      </c>
      <c r="B1780" s="1" t="s">
        <v>60</v>
      </c>
      <c r="C1780" s="5">
        <f>DATE(2024, 6, 25) + TIME(12, 21, 33)</f>
        <v>45468.514965277776</v>
      </c>
      <c r="D1780" s="1" t="s">
        <v>398</v>
      </c>
      <c r="E1780" s="1" t="s">
        <v>675</v>
      </c>
    </row>
    <row r="1781" spans="1:5" x14ac:dyDescent="0.2">
      <c r="A1781" s="1" t="s">
        <v>1</v>
      </c>
      <c r="B1781" s="1" t="s">
        <v>60</v>
      </c>
      <c r="C1781" s="5">
        <f>DATE(2024, 6, 25) + TIME(9, 30, 8)</f>
        <v>45468.395925925928</v>
      </c>
      <c r="D1781" s="1" t="s">
        <v>65</v>
      </c>
      <c r="E1781" s="1" t="s">
        <v>152</v>
      </c>
    </row>
    <row r="1782" spans="1:5" x14ac:dyDescent="0.2">
      <c r="A1782" s="1" t="s">
        <v>1</v>
      </c>
      <c r="B1782" s="1" t="s">
        <v>60</v>
      </c>
      <c r="C1782" s="5">
        <f>DATE(2024, 6, 24) + TIME(19, 29, 45)</f>
        <v>45467.812326388892</v>
      </c>
      <c r="D1782" s="1" t="s">
        <v>65</v>
      </c>
      <c r="E1782" s="1" t="s">
        <v>400</v>
      </c>
    </row>
    <row r="1783" spans="1:5" x14ac:dyDescent="0.2">
      <c r="A1783" s="1" t="s">
        <v>1</v>
      </c>
      <c r="B1783" s="1" t="s">
        <v>866</v>
      </c>
      <c r="C1783" s="5">
        <f>DATE(2024, 6, 24) + TIME(16, 23, 9)</f>
        <v>45467.682743055557</v>
      </c>
      <c r="D1783" s="1" t="s">
        <v>320</v>
      </c>
      <c r="E1783" s="1" t="s">
        <v>687</v>
      </c>
    </row>
    <row r="1784" spans="1:5" x14ac:dyDescent="0.2">
      <c r="A1784" s="1" t="s">
        <v>1</v>
      </c>
      <c r="B1784" s="1" t="s">
        <v>60</v>
      </c>
      <c r="C1784" s="5">
        <f>DATE(2024, 6, 24) + TIME(16, 4, 11)</f>
        <v>45467.669571759259</v>
      </c>
      <c r="D1784" s="1" t="s">
        <v>144</v>
      </c>
      <c r="E1784" s="1" t="s">
        <v>946</v>
      </c>
    </row>
    <row r="1785" spans="1:5" x14ac:dyDescent="0.2">
      <c r="A1785" s="1" t="s">
        <v>1</v>
      </c>
      <c r="B1785" s="1" t="s">
        <v>60</v>
      </c>
      <c r="C1785" s="5">
        <f>DATE(2024, 6, 24) + TIME(15, 8, 1)</f>
        <v>45467.630567129629</v>
      </c>
      <c r="D1785" s="1" t="s">
        <v>216</v>
      </c>
      <c r="E1785" s="1" t="s">
        <v>1259</v>
      </c>
    </row>
    <row r="1786" spans="1:5" x14ac:dyDescent="0.2">
      <c r="A1786" s="1" t="s">
        <v>1</v>
      </c>
      <c r="B1786" s="1" t="s">
        <v>60</v>
      </c>
      <c r="C1786" s="5">
        <f>DATE(2024, 6, 24) + TIME(14, 26, 0)</f>
        <v>45467.601388888892</v>
      </c>
      <c r="D1786" s="1" t="s">
        <v>900</v>
      </c>
      <c r="E1786" s="1" t="s">
        <v>630</v>
      </c>
    </row>
    <row r="1787" spans="1:5" x14ac:dyDescent="0.2">
      <c r="A1787" s="1" t="s">
        <v>1</v>
      </c>
      <c r="B1787" s="1" t="s">
        <v>60</v>
      </c>
      <c r="C1787" s="5">
        <f>DATE(2024, 6, 24) + TIME(13, 52, 20)</f>
        <v>45467.578009259261</v>
      </c>
      <c r="D1787" s="1" t="s">
        <v>638</v>
      </c>
      <c r="E1787" s="1" t="s">
        <v>738</v>
      </c>
    </row>
    <row r="1788" spans="1:5" x14ac:dyDescent="0.2">
      <c r="A1788" s="1" t="s">
        <v>1</v>
      </c>
      <c r="B1788" s="1" t="s">
        <v>60</v>
      </c>
      <c r="C1788" s="5">
        <f>DATE(2024, 6, 24) + TIME(12, 20, 58)</f>
        <v>45467.514560185184</v>
      </c>
      <c r="D1788" s="1" t="s">
        <v>269</v>
      </c>
      <c r="E1788" s="1" t="s">
        <v>79</v>
      </c>
    </row>
    <row r="1789" spans="1:5" x14ac:dyDescent="0.2">
      <c r="A1789" s="1" t="s">
        <v>1</v>
      </c>
      <c r="B1789" s="1" t="s">
        <v>323</v>
      </c>
      <c r="C1789" s="5">
        <f>DATE(2024, 6, 24) + TIME(12, 14, 14)</f>
        <v>45467.509884259256</v>
      </c>
      <c r="D1789" s="1" t="s">
        <v>269</v>
      </c>
      <c r="E1789" s="1" t="s">
        <v>748</v>
      </c>
    </row>
    <row r="1790" spans="1:5" x14ac:dyDescent="0.2">
      <c r="A1790" s="1" t="s">
        <v>1</v>
      </c>
      <c r="B1790" s="1" t="s">
        <v>60</v>
      </c>
      <c r="C1790" s="5">
        <f>DATE(2024, 6, 24) + TIME(12, 12, 8)</f>
        <v>45467.508425925924</v>
      </c>
      <c r="D1790" s="1" t="s">
        <v>216</v>
      </c>
      <c r="E1790" s="1" t="s">
        <v>607</v>
      </c>
    </row>
    <row r="1791" spans="1:5" x14ac:dyDescent="0.2">
      <c r="A1791" s="1" t="s">
        <v>1</v>
      </c>
      <c r="B1791" s="1" t="s">
        <v>60</v>
      </c>
      <c r="C1791" s="5">
        <f>DATE(2024, 6, 24) + TIME(11, 3, 5)</f>
        <v>45467.460474537038</v>
      </c>
      <c r="D1791" s="1" t="s">
        <v>1260</v>
      </c>
      <c r="E1791" s="1" t="s">
        <v>1250</v>
      </c>
    </row>
    <row r="1792" spans="1:5" x14ac:dyDescent="0.2">
      <c r="A1792" s="1" t="s">
        <v>1</v>
      </c>
      <c r="B1792" s="1" t="s">
        <v>564</v>
      </c>
      <c r="C1792" s="5">
        <f>DATE(2024, 6, 24) + TIME(10, 36, 36)</f>
        <v>45467.442083333335</v>
      </c>
      <c r="D1792" s="1" t="s">
        <v>754</v>
      </c>
      <c r="E1792" s="1" t="s">
        <v>245</v>
      </c>
    </row>
    <row r="1793" spans="1:5" x14ac:dyDescent="0.2">
      <c r="A1793" s="1" t="s">
        <v>1</v>
      </c>
      <c r="B1793" s="1" t="s">
        <v>60</v>
      </c>
      <c r="C1793" s="5">
        <f>DATE(2024, 6, 24) + TIME(10, 3, 36)</f>
        <v>45467.419166666667</v>
      </c>
      <c r="D1793" s="1" t="s">
        <v>3</v>
      </c>
      <c r="E1793" s="1" t="s">
        <v>168</v>
      </c>
    </row>
    <row r="1794" spans="1:5" x14ac:dyDescent="0.2">
      <c r="A1794" s="1" t="s">
        <v>1</v>
      </c>
      <c r="B1794" s="1" t="s">
        <v>323</v>
      </c>
      <c r="C1794" s="5">
        <f>DATE(2024, 6, 20) + TIME(16, 14, 32)</f>
        <v>45463.676759259259</v>
      </c>
      <c r="D1794" s="1" t="s">
        <v>731</v>
      </c>
      <c r="E1794" s="1" t="s">
        <v>32</v>
      </c>
    </row>
    <row r="1795" spans="1:5" x14ac:dyDescent="0.2">
      <c r="A1795" s="1" t="s">
        <v>1</v>
      </c>
      <c r="B1795" s="1" t="s">
        <v>60</v>
      </c>
      <c r="C1795" s="5">
        <f>DATE(2024, 6, 20) + TIME(16, 14, 32)</f>
        <v>45463.676759259259</v>
      </c>
      <c r="D1795" s="1" t="s">
        <v>731</v>
      </c>
      <c r="E1795" s="1" t="s">
        <v>32</v>
      </c>
    </row>
    <row r="1796" spans="1:5" x14ac:dyDescent="0.2">
      <c r="A1796" s="1" t="s">
        <v>1</v>
      </c>
      <c r="B1796" s="1" t="s">
        <v>60</v>
      </c>
      <c r="C1796" s="5">
        <f>DATE(2024, 6, 20) + TIME(16, 1, 34)</f>
        <v>45463.667754629627</v>
      </c>
      <c r="D1796" s="1" t="s">
        <v>731</v>
      </c>
      <c r="E1796" s="1" t="s">
        <v>667</v>
      </c>
    </row>
    <row r="1797" spans="1:5" x14ac:dyDescent="0.2">
      <c r="A1797" s="1" t="s">
        <v>1</v>
      </c>
      <c r="B1797" s="1" t="s">
        <v>564</v>
      </c>
      <c r="C1797" s="5">
        <f>DATE(2024, 6, 20) + TIME(16, 1, 34)</f>
        <v>45463.667754629627</v>
      </c>
      <c r="D1797" s="1" t="s">
        <v>731</v>
      </c>
      <c r="E1797" s="1" t="s">
        <v>667</v>
      </c>
    </row>
    <row r="1798" spans="1:5" x14ac:dyDescent="0.2">
      <c r="A1798" s="1" t="s">
        <v>1</v>
      </c>
      <c r="B1798" s="1" t="s">
        <v>866</v>
      </c>
      <c r="C1798" s="5">
        <f>DATE(2024, 6, 20) + TIME(16, 1, 33)</f>
        <v>45463.667743055557</v>
      </c>
      <c r="D1798" s="1" t="s">
        <v>731</v>
      </c>
      <c r="E1798" s="1" t="s">
        <v>667</v>
      </c>
    </row>
    <row r="1799" spans="1:5" x14ac:dyDescent="0.2">
      <c r="A1799" s="1" t="s">
        <v>1</v>
      </c>
      <c r="B1799" s="1" t="s">
        <v>60</v>
      </c>
      <c r="C1799" s="5">
        <f>DATE(2024, 6, 20) + TIME(14, 31, 1)</f>
        <v>45463.604872685188</v>
      </c>
      <c r="D1799" s="1" t="s">
        <v>638</v>
      </c>
      <c r="E1799" s="1" t="s">
        <v>1062</v>
      </c>
    </row>
    <row r="1800" spans="1:5" x14ac:dyDescent="0.2">
      <c r="A1800" s="1" t="s">
        <v>1</v>
      </c>
      <c r="B1800" s="1" t="s">
        <v>60</v>
      </c>
      <c r="C1800" s="5">
        <f>DATE(2024, 6, 20) + TIME(14, 18, 1)</f>
        <v>45463.59584490741</v>
      </c>
      <c r="D1800" s="1" t="s">
        <v>506</v>
      </c>
      <c r="E1800" s="1" t="s">
        <v>6</v>
      </c>
    </row>
    <row r="1801" spans="1:5" x14ac:dyDescent="0.2">
      <c r="A1801" s="1" t="s">
        <v>1</v>
      </c>
      <c r="B1801" s="1" t="s">
        <v>60</v>
      </c>
      <c r="C1801" s="5">
        <f>DATE(2024, 6, 20) + TIME(14, 15, 25)</f>
        <v>45463.594039351854</v>
      </c>
      <c r="D1801" s="1" t="s">
        <v>320</v>
      </c>
      <c r="E1801" s="1" t="s">
        <v>2</v>
      </c>
    </row>
    <row r="1802" spans="1:5" x14ac:dyDescent="0.2">
      <c r="A1802" s="1" t="s">
        <v>1</v>
      </c>
      <c r="B1802" s="1" t="s">
        <v>564</v>
      </c>
      <c r="C1802" s="5">
        <f>DATE(2024, 6, 20) + TIME(13, 48, 48)</f>
        <v>45463.575555555559</v>
      </c>
      <c r="D1802" s="1" t="s">
        <v>731</v>
      </c>
      <c r="E1802" s="1" t="s">
        <v>838</v>
      </c>
    </row>
    <row r="1803" spans="1:5" x14ac:dyDescent="0.2">
      <c r="A1803" s="1" t="s">
        <v>1</v>
      </c>
      <c r="B1803" s="1" t="s">
        <v>60</v>
      </c>
      <c r="C1803" s="5">
        <f>DATE(2024, 6, 20) + TIME(13, 47, 25)</f>
        <v>45463.574594907404</v>
      </c>
      <c r="D1803" s="1" t="s">
        <v>506</v>
      </c>
      <c r="E1803" s="1" t="s">
        <v>510</v>
      </c>
    </row>
    <row r="1804" spans="1:5" x14ac:dyDescent="0.2">
      <c r="A1804" s="1" t="s">
        <v>1</v>
      </c>
      <c r="B1804" s="1" t="s">
        <v>60</v>
      </c>
      <c r="C1804" s="5">
        <f>DATE(2024, 6, 20) + TIME(13, 17, 36)</f>
        <v>45463.553888888891</v>
      </c>
      <c r="D1804" s="1" t="s">
        <v>506</v>
      </c>
      <c r="E1804" s="1" t="s">
        <v>867</v>
      </c>
    </row>
    <row r="1805" spans="1:5" x14ac:dyDescent="0.2">
      <c r="A1805" s="1" t="s">
        <v>1</v>
      </c>
      <c r="B1805" s="1" t="s">
        <v>866</v>
      </c>
      <c r="C1805" s="5">
        <f>DATE(2024, 6, 20) + TIME(13, 6, 44)</f>
        <v>45463.546342592592</v>
      </c>
      <c r="D1805" s="1" t="s">
        <v>320</v>
      </c>
      <c r="E1805" s="1" t="s">
        <v>698</v>
      </c>
    </row>
    <row r="1806" spans="1:5" x14ac:dyDescent="0.2">
      <c r="A1806" s="1" t="s">
        <v>1</v>
      </c>
      <c r="B1806" s="1" t="s">
        <v>60</v>
      </c>
      <c r="C1806" s="5">
        <f>DATE(2024, 6, 20) + TIME(12, 45, 3)</f>
        <v>45463.531284722223</v>
      </c>
      <c r="D1806" s="1" t="s">
        <v>269</v>
      </c>
      <c r="E1806" s="1" t="s">
        <v>748</v>
      </c>
    </row>
    <row r="1807" spans="1:5" x14ac:dyDescent="0.2">
      <c r="A1807" s="1" t="s">
        <v>1</v>
      </c>
      <c r="B1807" s="1" t="s">
        <v>60</v>
      </c>
      <c r="C1807" s="5">
        <f>DATE(2024, 6, 20) + TIME(12, 3, 29)</f>
        <v>45463.502418981479</v>
      </c>
      <c r="D1807" s="1" t="s">
        <v>638</v>
      </c>
      <c r="E1807" s="1" t="s">
        <v>397</v>
      </c>
    </row>
    <row r="1808" spans="1:5" x14ac:dyDescent="0.2">
      <c r="A1808" s="1" t="s">
        <v>1</v>
      </c>
      <c r="B1808" s="1" t="s">
        <v>60</v>
      </c>
      <c r="C1808" s="5">
        <f>DATE(2024, 6, 20) + TIME(12, 2, 41)</f>
        <v>45463.501863425925</v>
      </c>
      <c r="D1808" s="1" t="s">
        <v>638</v>
      </c>
      <c r="E1808" s="1" t="s">
        <v>940</v>
      </c>
    </row>
    <row r="1809" spans="1:5" x14ac:dyDescent="0.2">
      <c r="A1809" s="1" t="s">
        <v>1</v>
      </c>
      <c r="B1809" s="1" t="s">
        <v>60</v>
      </c>
      <c r="C1809" s="5">
        <f>DATE(2024, 6, 19) + TIME(13, 49, 11)</f>
        <v>45462.575821759259</v>
      </c>
      <c r="D1809" s="1" t="s">
        <v>921</v>
      </c>
      <c r="E1809" s="1" t="s">
        <v>474</v>
      </c>
    </row>
    <row r="1810" spans="1:5" x14ac:dyDescent="0.2">
      <c r="A1810" s="1" t="s">
        <v>1</v>
      </c>
      <c r="B1810" s="1" t="s">
        <v>60</v>
      </c>
      <c r="C1810" s="5">
        <f>DATE(2024, 6, 19) + TIME(12, 35, 9)</f>
        <v>45462.524409722224</v>
      </c>
      <c r="D1810" s="1" t="s">
        <v>900</v>
      </c>
      <c r="E1810" s="1" t="s">
        <v>595</v>
      </c>
    </row>
    <row r="1811" spans="1:5" x14ac:dyDescent="0.2">
      <c r="A1811" s="1" t="s">
        <v>1</v>
      </c>
      <c r="B1811" s="1" t="s">
        <v>60</v>
      </c>
      <c r="C1811" s="5">
        <f>DATE(2024, 6, 19) + TIME(12, 6, 59)</f>
        <v>45462.504849537036</v>
      </c>
      <c r="D1811" s="1" t="s">
        <v>506</v>
      </c>
      <c r="E1811" s="1" t="s">
        <v>702</v>
      </c>
    </row>
    <row r="1812" spans="1:5" x14ac:dyDescent="0.2">
      <c r="A1812" s="1" t="s">
        <v>1</v>
      </c>
      <c r="B1812" s="1" t="s">
        <v>60</v>
      </c>
      <c r="C1812" s="5">
        <f>DATE(2024, 6, 18) + TIME(16, 17, 53)</f>
        <v>45461.679085648146</v>
      </c>
      <c r="D1812" s="1" t="s">
        <v>396</v>
      </c>
      <c r="E1812" s="1" t="s">
        <v>76</v>
      </c>
    </row>
    <row r="1813" spans="1:5" x14ac:dyDescent="0.2">
      <c r="A1813" s="1" t="s">
        <v>1</v>
      </c>
      <c r="B1813" s="1" t="s">
        <v>60</v>
      </c>
      <c r="C1813" s="5">
        <f>DATE(2024, 6, 18) + TIME(14, 47, 33)</f>
        <v>45461.616354166668</v>
      </c>
      <c r="D1813" s="1" t="s">
        <v>869</v>
      </c>
      <c r="E1813" s="1" t="s">
        <v>275</v>
      </c>
    </row>
    <row r="1814" spans="1:5" x14ac:dyDescent="0.2">
      <c r="A1814" s="1" t="s">
        <v>1</v>
      </c>
      <c r="B1814" s="1" t="s">
        <v>60</v>
      </c>
      <c r="C1814" s="5">
        <f>DATE(2024, 6, 18) + TIME(13, 42, 48)</f>
        <v>45461.571388888886</v>
      </c>
      <c r="D1814" s="1" t="s">
        <v>398</v>
      </c>
      <c r="E1814" s="1" t="s">
        <v>142</v>
      </c>
    </row>
    <row r="1815" spans="1:5" x14ac:dyDescent="0.2">
      <c r="A1815" s="1" t="s">
        <v>1</v>
      </c>
      <c r="B1815" s="1" t="s">
        <v>60</v>
      </c>
      <c r="C1815" s="5">
        <f>DATE(2024, 6, 18) + TIME(12, 23, 31)</f>
        <v>45461.516331018516</v>
      </c>
      <c r="D1815" s="1" t="s">
        <v>320</v>
      </c>
      <c r="E1815" s="1" t="s">
        <v>95</v>
      </c>
    </row>
    <row r="1816" spans="1:5" x14ac:dyDescent="0.2">
      <c r="A1816" s="1" t="s">
        <v>1</v>
      </c>
      <c r="B1816" s="1" t="s">
        <v>60</v>
      </c>
      <c r="C1816" s="5">
        <f>DATE(2024, 6, 18) + TIME(12, 21, 17)</f>
        <v>45461.514780092592</v>
      </c>
      <c r="D1816" s="1" t="s">
        <v>900</v>
      </c>
      <c r="E1816" s="1" t="s">
        <v>1265</v>
      </c>
    </row>
    <row r="1817" spans="1:5" x14ac:dyDescent="0.2">
      <c r="A1817" s="1" t="s">
        <v>1</v>
      </c>
      <c r="B1817" s="1" t="s">
        <v>60</v>
      </c>
      <c r="C1817" s="5">
        <f>DATE(2024, 6, 18) + TIME(9, 29, 4)</f>
        <v>45461.395185185182</v>
      </c>
      <c r="D1817" s="1" t="s">
        <v>65</v>
      </c>
      <c r="E1817" s="1" t="s">
        <v>152</v>
      </c>
    </row>
    <row r="1818" spans="1:5" x14ac:dyDescent="0.2">
      <c r="A1818" s="1" t="s">
        <v>1</v>
      </c>
      <c r="B1818" s="1" t="s">
        <v>60</v>
      </c>
      <c r="C1818" s="5">
        <f>DATE(2024, 6, 17) + TIME(16, 7, 21)</f>
        <v>45460.671770833331</v>
      </c>
      <c r="D1818" s="1" t="s">
        <v>65</v>
      </c>
      <c r="E1818" s="1" t="s">
        <v>400</v>
      </c>
    </row>
    <row r="1819" spans="1:5" x14ac:dyDescent="0.2">
      <c r="A1819" s="1" t="s">
        <v>1</v>
      </c>
      <c r="B1819" s="1" t="s">
        <v>60</v>
      </c>
      <c r="C1819" s="5">
        <f>DATE(2024, 6, 17) + TIME(15, 19, 2)</f>
        <v>45460.63821759259</v>
      </c>
      <c r="D1819" s="1" t="s">
        <v>320</v>
      </c>
      <c r="E1819" s="1" t="s">
        <v>687</v>
      </c>
    </row>
    <row r="1820" spans="1:5" x14ac:dyDescent="0.2">
      <c r="A1820" s="1" t="s">
        <v>1</v>
      </c>
      <c r="B1820" s="1" t="s">
        <v>60</v>
      </c>
      <c r="C1820" s="5">
        <f>DATE(2024, 6, 17) + TIME(13, 30, 39)</f>
        <v>45460.562951388885</v>
      </c>
      <c r="D1820" s="1" t="s">
        <v>144</v>
      </c>
      <c r="E1820" s="1" t="s">
        <v>498</v>
      </c>
    </row>
    <row r="1821" spans="1:5" x14ac:dyDescent="0.2">
      <c r="A1821" s="1" t="s">
        <v>1</v>
      </c>
      <c r="B1821" s="1" t="s">
        <v>60</v>
      </c>
      <c r="C1821" s="5">
        <f>DATE(2024, 6, 17) + TIME(12, 16, 48)</f>
        <v>45460.511666666665</v>
      </c>
      <c r="D1821" s="1" t="s">
        <v>1260</v>
      </c>
      <c r="E1821" s="1" t="s">
        <v>1268</v>
      </c>
    </row>
    <row r="1822" spans="1:5" x14ac:dyDescent="0.2">
      <c r="A1822" s="1" t="s">
        <v>1</v>
      </c>
      <c r="B1822" s="1" t="s">
        <v>323</v>
      </c>
      <c r="C1822" s="5">
        <f>DATE(2024, 6, 17) + TIME(12, 16, 5)</f>
        <v>45460.51116898148</v>
      </c>
      <c r="D1822" s="1" t="s">
        <v>269</v>
      </c>
      <c r="E1822" s="1" t="s">
        <v>79</v>
      </c>
    </row>
    <row r="1823" spans="1:5" x14ac:dyDescent="0.2">
      <c r="A1823" s="1" t="s">
        <v>1</v>
      </c>
      <c r="B1823" s="1" t="s">
        <v>323</v>
      </c>
      <c r="C1823" s="5">
        <f>DATE(2024, 6, 17) + TIME(10, 38, 35)</f>
        <v>45460.443460648145</v>
      </c>
      <c r="D1823" s="1" t="s">
        <v>64</v>
      </c>
      <c r="E1823" s="1" t="s">
        <v>795</v>
      </c>
    </row>
    <row r="1824" spans="1:5" x14ac:dyDescent="0.2">
      <c r="A1824" s="1" t="s">
        <v>1</v>
      </c>
      <c r="B1824" s="1" t="s">
        <v>60</v>
      </c>
      <c r="C1824" s="5">
        <f>DATE(2024, 6, 13) + TIME(15, 59, 18)</f>
        <v>45456.666180555556</v>
      </c>
      <c r="D1824" s="1" t="s">
        <v>638</v>
      </c>
      <c r="E1824" s="1" t="s">
        <v>362</v>
      </c>
    </row>
    <row r="1825" spans="1:5" x14ac:dyDescent="0.2">
      <c r="A1825" s="1" t="s">
        <v>1</v>
      </c>
      <c r="B1825" s="1" t="s">
        <v>139</v>
      </c>
      <c r="C1825" s="5">
        <f>DATE(2024, 6, 13) + TIME(13, 33, 41)</f>
        <v>45456.565057870372</v>
      </c>
      <c r="D1825" s="1" t="s">
        <v>396</v>
      </c>
      <c r="E1825" s="1" t="s">
        <v>1086</v>
      </c>
    </row>
    <row r="1826" spans="1:5" x14ac:dyDescent="0.2">
      <c r="A1826" s="1" t="s">
        <v>1</v>
      </c>
      <c r="B1826" s="1" t="s">
        <v>60</v>
      </c>
      <c r="C1826" s="5">
        <f>DATE(2024, 6, 13) + TIME(12, 40, 29)</f>
        <v>45456.528113425928</v>
      </c>
      <c r="D1826" s="1" t="s">
        <v>638</v>
      </c>
      <c r="E1826" s="1" t="s">
        <v>157</v>
      </c>
    </row>
    <row r="1827" spans="1:5" x14ac:dyDescent="0.2">
      <c r="A1827" s="1" t="s">
        <v>1</v>
      </c>
      <c r="B1827" s="1" t="s">
        <v>323</v>
      </c>
      <c r="C1827" s="5">
        <f>DATE(2024, 6, 13) + TIME(12, 31, 26)</f>
        <v>45456.521828703706</v>
      </c>
      <c r="D1827" s="1" t="s">
        <v>64</v>
      </c>
      <c r="E1827" s="1" t="s">
        <v>763</v>
      </c>
    </row>
    <row r="1828" spans="1:5" x14ac:dyDescent="0.2">
      <c r="A1828" s="1" t="s">
        <v>1</v>
      </c>
      <c r="B1828" s="1" t="s">
        <v>323</v>
      </c>
      <c r="C1828" s="5">
        <f>DATE(2024, 6, 13) + TIME(11, 25, 30)</f>
        <v>45456.476041666669</v>
      </c>
      <c r="D1828" s="1" t="s">
        <v>269</v>
      </c>
      <c r="E1828" s="1" t="s">
        <v>748</v>
      </c>
    </row>
    <row r="1829" spans="1:5" x14ac:dyDescent="0.2">
      <c r="A1829" s="1" t="s">
        <v>1</v>
      </c>
      <c r="B1829" s="1" t="s">
        <v>60</v>
      </c>
      <c r="C1829" s="5">
        <f>DATE(2024, 6, 12) + TIME(14, 4, 14)</f>
        <v>45455.586273148147</v>
      </c>
      <c r="D1829" s="1" t="s">
        <v>1260</v>
      </c>
      <c r="E1829" s="1" t="s">
        <v>1272</v>
      </c>
    </row>
    <row r="1830" spans="1:5" x14ac:dyDescent="0.2">
      <c r="A1830" s="1" t="s">
        <v>1</v>
      </c>
      <c r="B1830" s="1" t="s">
        <v>60</v>
      </c>
      <c r="C1830" s="5">
        <f>DATE(2024, 6, 12) + TIME(13, 8, 51)</f>
        <v>45455.547812500001</v>
      </c>
      <c r="D1830" s="1" t="s">
        <v>638</v>
      </c>
      <c r="E1830" s="1" t="s">
        <v>535</v>
      </c>
    </row>
    <row r="1831" spans="1:5" x14ac:dyDescent="0.2">
      <c r="A1831" s="1" t="s">
        <v>1</v>
      </c>
      <c r="B1831" s="1" t="s">
        <v>60</v>
      </c>
      <c r="C1831" s="5">
        <f>DATE(2024, 6, 12) + TIME(11, 34, 55)</f>
        <v>45455.482581018521</v>
      </c>
      <c r="D1831" s="1" t="s">
        <v>1260</v>
      </c>
      <c r="E1831" s="1" t="s">
        <v>56</v>
      </c>
    </row>
    <row r="1832" spans="1:5" x14ac:dyDescent="0.2">
      <c r="A1832" s="1" t="s">
        <v>751</v>
      </c>
      <c r="B1832" s="1" t="s">
        <v>323</v>
      </c>
      <c r="C1832" s="5">
        <f>DATE(2026, 3, 11) + TIME(8, 15, 57)</f>
        <v>46092.344409722224</v>
      </c>
      <c r="D1832" s="1" t="s">
        <v>640</v>
      </c>
      <c r="E1832" s="1" t="s">
        <v>10</v>
      </c>
    </row>
    <row r="1833" spans="1:5" x14ac:dyDescent="0.2">
      <c r="A1833" s="1" t="s">
        <v>751</v>
      </c>
      <c r="B1833" s="1" t="s">
        <v>67</v>
      </c>
      <c r="C1833" s="5">
        <f>DATE(2026, 3, 11) + TIME(8, 15, 57)</f>
        <v>46092.344409722224</v>
      </c>
      <c r="D1833" s="1" t="s">
        <v>640</v>
      </c>
      <c r="E1833" s="1" t="s">
        <v>10</v>
      </c>
    </row>
    <row r="1834" spans="1:5" x14ac:dyDescent="0.2">
      <c r="A1834" s="1" t="s">
        <v>751</v>
      </c>
      <c r="B1834" s="1" t="s">
        <v>141</v>
      </c>
      <c r="C1834" s="5">
        <f>DATE(2026, 3, 11) + TIME(8, 15, 57)</f>
        <v>46092.344409722224</v>
      </c>
      <c r="D1834" s="1" t="s">
        <v>640</v>
      </c>
      <c r="E1834" s="1" t="s">
        <v>10</v>
      </c>
    </row>
    <row r="1835" spans="1:5" x14ac:dyDescent="0.2">
      <c r="A1835" s="1" t="s">
        <v>751</v>
      </c>
      <c r="B1835" s="1" t="s">
        <v>60</v>
      </c>
      <c r="C1835" s="5">
        <f>DATE(2026, 3, 11) + TIME(6, 49, 56)</f>
        <v>46092.284675925926</v>
      </c>
      <c r="D1835" s="1" t="s">
        <v>459</v>
      </c>
      <c r="E1835" s="1" t="s">
        <v>868</v>
      </c>
    </row>
    <row r="1836" spans="1:5" x14ac:dyDescent="0.2">
      <c r="A1836" s="1" t="s">
        <v>751</v>
      </c>
      <c r="B1836" s="1" t="s">
        <v>323</v>
      </c>
      <c r="C1836" s="5">
        <f>DATE(2026, 3, 11) + TIME(6, 49, 56)</f>
        <v>46092.284675925926</v>
      </c>
      <c r="D1836" s="1" t="s">
        <v>459</v>
      </c>
      <c r="E1836" s="1" t="s">
        <v>868</v>
      </c>
    </row>
    <row r="1837" spans="1:5" x14ac:dyDescent="0.2">
      <c r="A1837" s="1" t="s">
        <v>751</v>
      </c>
      <c r="B1837" s="1" t="s">
        <v>60</v>
      </c>
      <c r="C1837" s="5">
        <f>DATE(2026, 3, 10) + TIME(8, 43, 9)</f>
        <v>46091.363298611112</v>
      </c>
      <c r="D1837" s="1" t="s">
        <v>506</v>
      </c>
      <c r="E1837" s="1" t="s">
        <v>509</v>
      </c>
    </row>
    <row r="1838" spans="1:5" x14ac:dyDescent="0.2">
      <c r="A1838" s="1" t="s">
        <v>751</v>
      </c>
      <c r="B1838" s="1" t="s">
        <v>323</v>
      </c>
      <c r="C1838" s="5">
        <f>DATE(2026, 3, 10) + TIME(8, 43, 9)</f>
        <v>46091.363298611112</v>
      </c>
      <c r="D1838" s="1" t="s">
        <v>506</v>
      </c>
      <c r="E1838" s="1" t="s">
        <v>509</v>
      </c>
    </row>
    <row r="1839" spans="1:5" x14ac:dyDescent="0.2">
      <c r="A1839" s="1" t="s">
        <v>751</v>
      </c>
      <c r="B1839" s="1" t="s">
        <v>139</v>
      </c>
      <c r="C1839" s="5">
        <f>DATE(2026, 3, 9) + TIME(12, 28, 37)</f>
        <v>46090.519872685189</v>
      </c>
      <c r="D1839" s="1" t="s">
        <v>563</v>
      </c>
      <c r="E1839" s="1" t="s">
        <v>68</v>
      </c>
    </row>
    <row r="1840" spans="1:5" x14ac:dyDescent="0.2">
      <c r="A1840" s="1" t="s">
        <v>751</v>
      </c>
      <c r="B1840" s="1" t="s">
        <v>642</v>
      </c>
      <c r="C1840" s="5">
        <f>DATE(2026, 3, 5) + TIME(14, 48, 58)</f>
        <v>46086.617337962962</v>
      </c>
      <c r="D1840" s="1" t="s">
        <v>320</v>
      </c>
      <c r="E1840" s="1" t="s">
        <v>689</v>
      </c>
    </row>
    <row r="1841" spans="1:5" x14ac:dyDescent="0.2">
      <c r="A1841" s="1" t="s">
        <v>751</v>
      </c>
      <c r="B1841" s="1" t="s">
        <v>642</v>
      </c>
      <c r="C1841" s="5">
        <f>DATE(2026, 3, 5) + TIME(14, 24, 20)</f>
        <v>46086.600231481483</v>
      </c>
      <c r="D1841" s="1" t="s">
        <v>566</v>
      </c>
      <c r="E1841" s="1" t="s">
        <v>570</v>
      </c>
    </row>
    <row r="1842" spans="1:5" x14ac:dyDescent="0.2">
      <c r="A1842" s="1" t="s">
        <v>751</v>
      </c>
      <c r="B1842" s="1" t="s">
        <v>564</v>
      </c>
      <c r="C1842" s="5">
        <f>DATE(2026, 3, 5) + TIME(13, 28, 46)</f>
        <v>46086.561643518522</v>
      </c>
      <c r="D1842" s="1" t="s">
        <v>148</v>
      </c>
      <c r="E1842" s="1" t="s">
        <v>756</v>
      </c>
    </row>
    <row r="1843" spans="1:5" x14ac:dyDescent="0.2">
      <c r="A1843" s="1" t="s">
        <v>751</v>
      </c>
      <c r="B1843" s="1" t="s">
        <v>141</v>
      </c>
      <c r="C1843" s="5">
        <f>DATE(2026, 3, 5) + TIME(11, 58, 53)</f>
        <v>46086.499224537038</v>
      </c>
      <c r="D1843" s="1" t="s">
        <v>216</v>
      </c>
      <c r="E1843" s="1" t="s">
        <v>326</v>
      </c>
    </row>
    <row r="1844" spans="1:5" x14ac:dyDescent="0.2">
      <c r="A1844" s="1" t="s">
        <v>751</v>
      </c>
      <c r="B1844" s="1" t="s">
        <v>866</v>
      </c>
      <c r="C1844" s="5">
        <f>DATE(2026, 3, 5) + TIME(8, 28, 19)</f>
        <v>46086.352997685186</v>
      </c>
      <c r="D1844" s="1" t="s">
        <v>863</v>
      </c>
      <c r="E1844" s="1" t="s">
        <v>693</v>
      </c>
    </row>
    <row r="1845" spans="1:5" x14ac:dyDescent="0.2">
      <c r="A1845" s="1" t="s">
        <v>751</v>
      </c>
      <c r="B1845" s="1" t="s">
        <v>866</v>
      </c>
      <c r="C1845" s="5">
        <f>DATE(2026, 3, 2) + TIME(15, 54, 42)</f>
        <v>46083.662986111114</v>
      </c>
      <c r="D1845" s="1" t="s">
        <v>506</v>
      </c>
      <c r="E1845" s="1" t="s">
        <v>811</v>
      </c>
    </row>
    <row r="1846" spans="1:5" x14ac:dyDescent="0.2">
      <c r="A1846" s="1" t="s">
        <v>751</v>
      </c>
      <c r="B1846" s="1" t="s">
        <v>154</v>
      </c>
      <c r="C1846" s="5">
        <f>DATE(2026, 3, 2) + TIME(11, 36, 4)</f>
        <v>46083.48337962963</v>
      </c>
      <c r="D1846" s="1" t="s">
        <v>320</v>
      </c>
      <c r="E1846" s="1" t="s">
        <v>332</v>
      </c>
    </row>
    <row r="1847" spans="1:5" x14ac:dyDescent="0.2">
      <c r="A1847" s="1" t="s">
        <v>751</v>
      </c>
      <c r="B1847" s="1" t="s">
        <v>155</v>
      </c>
      <c r="C1847" s="5">
        <f>DATE(2026, 3, 1) + TIME(15, 52, 35)</f>
        <v>46082.661516203705</v>
      </c>
      <c r="D1847" s="1" t="s">
        <v>62</v>
      </c>
      <c r="E1847" s="1" t="s">
        <v>18</v>
      </c>
    </row>
    <row r="1848" spans="1:5" x14ac:dyDescent="0.2">
      <c r="A1848" s="1" t="s">
        <v>751</v>
      </c>
      <c r="B1848" s="1" t="s">
        <v>512</v>
      </c>
      <c r="C1848" s="5">
        <f>DATE(2026, 3, 1) + TIME(15, 52, 35)</f>
        <v>46082.661516203705</v>
      </c>
      <c r="D1848" s="1" t="s">
        <v>62</v>
      </c>
      <c r="E1848" s="1" t="s">
        <v>18</v>
      </c>
    </row>
    <row r="1849" spans="1:5" x14ac:dyDescent="0.2">
      <c r="A1849" s="1" t="s">
        <v>751</v>
      </c>
      <c r="B1849" s="1" t="s">
        <v>156</v>
      </c>
      <c r="C1849" s="5">
        <f>DATE(2026, 3, 1) + TIME(15, 52, 35)</f>
        <v>46082.661516203705</v>
      </c>
      <c r="D1849" s="1" t="s">
        <v>62</v>
      </c>
      <c r="E1849" s="1" t="s">
        <v>18</v>
      </c>
    </row>
    <row r="1850" spans="1:5" x14ac:dyDescent="0.2">
      <c r="A1850" s="1" t="s">
        <v>751</v>
      </c>
      <c r="B1850" s="1" t="s">
        <v>692</v>
      </c>
      <c r="C1850" s="5">
        <f>DATE(2026, 2, 26) + TIME(14, 15, 52)</f>
        <v>46079.594351851854</v>
      </c>
      <c r="D1850" s="1" t="s">
        <v>398</v>
      </c>
      <c r="E1850" s="1" t="s">
        <v>324</v>
      </c>
    </row>
    <row r="1851" spans="1:5" x14ac:dyDescent="0.2">
      <c r="A1851" s="1" t="s">
        <v>751</v>
      </c>
      <c r="B1851" s="1" t="s">
        <v>139</v>
      </c>
      <c r="C1851" s="5">
        <f>DATE(2026, 2, 26) + TIME(13, 47, 40)</f>
        <v>46079.57476851852</v>
      </c>
      <c r="D1851" s="1" t="s">
        <v>563</v>
      </c>
      <c r="E1851" s="1" t="s">
        <v>68</v>
      </c>
    </row>
    <row r="1852" spans="1:5" x14ac:dyDescent="0.2">
      <c r="A1852" s="1" t="s">
        <v>751</v>
      </c>
      <c r="B1852" s="1" t="s">
        <v>513</v>
      </c>
      <c r="C1852" s="5">
        <f>DATE(2026, 2, 26) + TIME(12, 28, 4)</f>
        <v>46079.519490740742</v>
      </c>
      <c r="D1852" s="1" t="s">
        <v>148</v>
      </c>
      <c r="E1852" s="1" t="s">
        <v>756</v>
      </c>
    </row>
    <row r="1853" spans="1:5" x14ac:dyDescent="0.2">
      <c r="A1853" s="1" t="s">
        <v>751</v>
      </c>
      <c r="B1853" s="1" t="s">
        <v>866</v>
      </c>
      <c r="C1853" s="5">
        <f>DATE(2026, 2, 26) + TIME(12, 25, 58)</f>
        <v>46079.51803240741</v>
      </c>
      <c r="D1853" s="1" t="s">
        <v>148</v>
      </c>
      <c r="E1853" s="1" t="s">
        <v>221</v>
      </c>
    </row>
    <row r="1854" spans="1:5" x14ac:dyDescent="0.2">
      <c r="A1854" s="1" t="s">
        <v>751</v>
      </c>
      <c r="B1854" s="1" t="s">
        <v>272</v>
      </c>
      <c r="C1854" s="5">
        <f>DATE(2026, 2, 26) + TIME(12, 25, 58)</f>
        <v>46079.51803240741</v>
      </c>
      <c r="D1854" s="1" t="s">
        <v>148</v>
      </c>
      <c r="E1854" s="1" t="s">
        <v>221</v>
      </c>
    </row>
    <row r="1855" spans="1:5" x14ac:dyDescent="0.2">
      <c r="A1855" s="1" t="s">
        <v>751</v>
      </c>
      <c r="B1855" s="1" t="s">
        <v>141</v>
      </c>
      <c r="C1855" s="5">
        <f>DATE(2026, 2, 25) + TIME(9, 27, 11)</f>
        <v>46078.393877314818</v>
      </c>
      <c r="D1855" s="1" t="s">
        <v>566</v>
      </c>
      <c r="E1855" s="1" t="s">
        <v>570</v>
      </c>
    </row>
    <row r="1856" spans="1:5" x14ac:dyDescent="0.2">
      <c r="A1856" s="1" t="s">
        <v>751</v>
      </c>
      <c r="B1856" s="1" t="s">
        <v>154</v>
      </c>
      <c r="C1856" s="5">
        <f>DATE(2026, 2, 19) + TIME(10, 27, 41)</f>
        <v>46072.435891203706</v>
      </c>
      <c r="D1856" s="1" t="s">
        <v>3</v>
      </c>
      <c r="E1856" s="1" t="s">
        <v>515</v>
      </c>
    </row>
    <row r="1857" spans="1:5" x14ac:dyDescent="0.2">
      <c r="A1857" s="1" t="s">
        <v>751</v>
      </c>
      <c r="B1857" s="1" t="s">
        <v>60</v>
      </c>
      <c r="C1857" s="5">
        <f>DATE(2026, 2, 19) + TIME(8, 18, 44)</f>
        <v>46072.346342592595</v>
      </c>
      <c r="D1857" s="1" t="s">
        <v>863</v>
      </c>
      <c r="E1857" s="1" t="s">
        <v>465</v>
      </c>
    </row>
    <row r="1858" spans="1:5" x14ac:dyDescent="0.2">
      <c r="A1858" s="1" t="s">
        <v>751</v>
      </c>
      <c r="B1858" s="1" t="s">
        <v>323</v>
      </c>
      <c r="C1858" s="5">
        <f>DATE(2026, 2, 18) + TIME(13, 48, 21)</f>
        <v>46071.575243055559</v>
      </c>
      <c r="D1858" s="1" t="s">
        <v>640</v>
      </c>
      <c r="E1858" s="1" t="s">
        <v>10</v>
      </c>
    </row>
    <row r="1859" spans="1:5" x14ac:dyDescent="0.2">
      <c r="A1859" s="1" t="s">
        <v>751</v>
      </c>
      <c r="B1859" s="1" t="s">
        <v>707</v>
      </c>
      <c r="C1859" s="5">
        <f>DATE(2026, 2, 12) + TIME(13, 21, 53)</f>
        <v>46065.556863425925</v>
      </c>
      <c r="D1859" s="1" t="s">
        <v>923</v>
      </c>
      <c r="E1859" s="1" t="s">
        <v>284</v>
      </c>
    </row>
    <row r="1860" spans="1:5" x14ac:dyDescent="0.2">
      <c r="A1860" s="1" t="s">
        <v>751</v>
      </c>
      <c r="B1860" s="1" t="s">
        <v>60</v>
      </c>
      <c r="C1860" s="5">
        <f>DATE(2026, 2, 12) + TIME(10, 44, 30)</f>
        <v>46065.447569444441</v>
      </c>
      <c r="D1860" s="1" t="s">
        <v>3</v>
      </c>
      <c r="E1860" s="1" t="s">
        <v>515</v>
      </c>
    </row>
    <row r="1861" spans="1:5" x14ac:dyDescent="0.2">
      <c r="A1861" s="1" t="s">
        <v>751</v>
      </c>
      <c r="B1861" s="1" t="s">
        <v>60</v>
      </c>
      <c r="C1861" s="5">
        <f>DATE(2026, 2, 12) + TIME(9, 49, 3)</f>
        <v>46065.409062500003</v>
      </c>
      <c r="D1861" s="1" t="s">
        <v>863</v>
      </c>
      <c r="E1861" s="1" t="s">
        <v>80</v>
      </c>
    </row>
    <row r="1862" spans="1:5" x14ac:dyDescent="0.2">
      <c r="A1862" s="1" t="s">
        <v>751</v>
      </c>
      <c r="B1862" s="1" t="s">
        <v>60</v>
      </c>
      <c r="C1862" s="5">
        <f>DATE(2026, 2, 11) + TIME(14, 18, 11)</f>
        <v>46064.595960648148</v>
      </c>
      <c r="D1862" s="1" t="s">
        <v>398</v>
      </c>
      <c r="E1862" s="1" t="s">
        <v>166</v>
      </c>
    </row>
    <row r="1863" spans="1:5" x14ac:dyDescent="0.2">
      <c r="A1863" s="1" t="s">
        <v>751</v>
      </c>
      <c r="B1863" s="1" t="s">
        <v>323</v>
      </c>
      <c r="C1863" s="5">
        <f>DATE(2026, 2, 11) + TIME(14, 0, 35)</f>
        <v>46064.583738425928</v>
      </c>
      <c r="D1863" s="1" t="s">
        <v>62</v>
      </c>
      <c r="E1863" s="1" t="s">
        <v>23</v>
      </c>
    </row>
    <row r="1864" spans="1:5" x14ac:dyDescent="0.2">
      <c r="A1864" s="1" t="s">
        <v>751</v>
      </c>
      <c r="B1864" s="1" t="s">
        <v>60</v>
      </c>
      <c r="C1864" s="5">
        <f>DATE(2026, 2, 11) + TIME(13, 38, 55)</f>
        <v>46064.568692129629</v>
      </c>
      <c r="D1864" s="1" t="s">
        <v>398</v>
      </c>
      <c r="E1864" s="1" t="s">
        <v>579</v>
      </c>
    </row>
    <row r="1865" spans="1:5" x14ac:dyDescent="0.2">
      <c r="A1865" s="1" t="s">
        <v>751</v>
      </c>
      <c r="B1865" s="1" t="s">
        <v>60</v>
      </c>
      <c r="C1865" s="5">
        <f>DATE(2026, 2, 11) + TIME(11, 50, 57)</f>
        <v>46064.493715277778</v>
      </c>
      <c r="D1865" s="1" t="s">
        <v>506</v>
      </c>
      <c r="E1865" s="1" t="s">
        <v>167</v>
      </c>
    </row>
    <row r="1866" spans="1:5" x14ac:dyDescent="0.2">
      <c r="A1866" s="1" t="s">
        <v>751</v>
      </c>
      <c r="B1866" s="1" t="s">
        <v>928</v>
      </c>
      <c r="C1866" s="5">
        <f>DATE(2026, 2, 11) + TIME(10, 12, 59)</f>
        <v>46064.425682870373</v>
      </c>
      <c r="D1866" s="1" t="s">
        <v>62</v>
      </c>
      <c r="E1866" s="1" t="s">
        <v>23</v>
      </c>
    </row>
    <row r="1867" spans="1:5" x14ac:dyDescent="0.2">
      <c r="A1867" s="1" t="s">
        <v>751</v>
      </c>
      <c r="B1867" s="1" t="s">
        <v>928</v>
      </c>
      <c r="C1867" s="5">
        <f>DATE(2026, 2, 11) + TIME(10, 12, 16)</f>
        <v>46064.425185185188</v>
      </c>
      <c r="D1867" s="1" t="s">
        <v>62</v>
      </c>
      <c r="E1867" s="1" t="s">
        <v>18</v>
      </c>
    </row>
    <row r="1868" spans="1:5" x14ac:dyDescent="0.2">
      <c r="A1868" s="1" t="s">
        <v>751</v>
      </c>
      <c r="B1868" s="1" t="s">
        <v>60</v>
      </c>
      <c r="C1868" s="5">
        <f>DATE(2026, 2, 11) + TIME(10, 12, 16)</f>
        <v>46064.425185185188</v>
      </c>
      <c r="D1868" s="1" t="s">
        <v>62</v>
      </c>
      <c r="E1868" s="1" t="s">
        <v>18</v>
      </c>
    </row>
    <row r="1869" spans="1:5" x14ac:dyDescent="0.2">
      <c r="A1869" s="1" t="s">
        <v>751</v>
      </c>
      <c r="B1869" s="1" t="s">
        <v>60</v>
      </c>
      <c r="C1869" s="5">
        <f>DATE(2026, 2, 11) + TIME(10, 12, 16)</f>
        <v>46064.425185185188</v>
      </c>
      <c r="D1869" s="1" t="s">
        <v>62</v>
      </c>
      <c r="E1869" s="1" t="s">
        <v>23</v>
      </c>
    </row>
    <row r="1870" spans="1:5" x14ac:dyDescent="0.2">
      <c r="A1870" s="1" t="s">
        <v>751</v>
      </c>
      <c r="B1870" s="1" t="s">
        <v>60</v>
      </c>
      <c r="C1870" s="5">
        <f>DATE(2026, 2, 11) + TIME(10, 12, 16)</f>
        <v>46064.425185185188</v>
      </c>
      <c r="D1870" s="1" t="s">
        <v>62</v>
      </c>
      <c r="E1870" s="1" t="s">
        <v>23</v>
      </c>
    </row>
    <row r="1871" spans="1:5" x14ac:dyDescent="0.2">
      <c r="A1871" s="1" t="s">
        <v>751</v>
      </c>
      <c r="B1871" s="1" t="s">
        <v>60</v>
      </c>
      <c r="C1871" s="5">
        <f>DATE(2026, 2, 10) + TIME(15, 36, 2)</f>
        <v>46063.650023148148</v>
      </c>
      <c r="D1871" s="1" t="s">
        <v>148</v>
      </c>
      <c r="E1871" s="1" t="s">
        <v>929</v>
      </c>
    </row>
    <row r="1872" spans="1:5" x14ac:dyDescent="0.2">
      <c r="A1872" s="1" t="s">
        <v>751</v>
      </c>
      <c r="B1872" s="1" t="s">
        <v>60</v>
      </c>
      <c r="C1872" s="5">
        <f>DATE(2026, 2, 10) + TIME(11, 10, 40)</f>
        <v>46063.465740740743</v>
      </c>
      <c r="D1872" s="1" t="s">
        <v>506</v>
      </c>
      <c r="E1872" s="1" t="s">
        <v>930</v>
      </c>
    </row>
    <row r="1873" spans="1:5" x14ac:dyDescent="0.2">
      <c r="A1873" s="1" t="s">
        <v>751</v>
      </c>
      <c r="B1873" s="1" t="s">
        <v>60</v>
      </c>
      <c r="C1873" s="5">
        <f>DATE(2026, 2, 10) + TIME(11, 10, 40)</f>
        <v>46063.465740740743</v>
      </c>
      <c r="D1873" s="1" t="s">
        <v>506</v>
      </c>
      <c r="E1873" s="1" t="s">
        <v>819</v>
      </c>
    </row>
    <row r="1874" spans="1:5" x14ac:dyDescent="0.2">
      <c r="A1874" s="1" t="s">
        <v>751</v>
      </c>
      <c r="B1874" s="1" t="s">
        <v>60</v>
      </c>
      <c r="C1874" s="5">
        <f>DATE(2026, 2, 9) + TIME(15, 10, 7)</f>
        <v>46062.632025462961</v>
      </c>
      <c r="D1874" s="1" t="s">
        <v>863</v>
      </c>
      <c r="E1874" s="1" t="s">
        <v>80</v>
      </c>
    </row>
    <row r="1875" spans="1:5" x14ac:dyDescent="0.2">
      <c r="A1875" s="1" t="s">
        <v>751</v>
      </c>
      <c r="B1875" s="1" t="s">
        <v>323</v>
      </c>
      <c r="C1875" s="5">
        <f>DATE(2026, 2, 9) + TIME(15, 10, 7)</f>
        <v>46062.632025462961</v>
      </c>
      <c r="D1875" s="1" t="s">
        <v>863</v>
      </c>
      <c r="E1875" s="1" t="s">
        <v>80</v>
      </c>
    </row>
    <row r="1876" spans="1:5" x14ac:dyDescent="0.2">
      <c r="A1876" s="1" t="s">
        <v>751</v>
      </c>
      <c r="B1876" s="1" t="s">
        <v>60</v>
      </c>
      <c r="C1876" s="5">
        <f>DATE(2026, 2, 9) + TIME(14, 37, 50)</f>
        <v>46062.609606481485</v>
      </c>
      <c r="D1876" s="1" t="s">
        <v>506</v>
      </c>
      <c r="E1876" s="1" t="s">
        <v>811</v>
      </c>
    </row>
    <row r="1877" spans="1:5" x14ac:dyDescent="0.2">
      <c r="A1877" s="1" t="s">
        <v>751</v>
      </c>
      <c r="B1877" s="1" t="s">
        <v>60</v>
      </c>
      <c r="C1877" s="5">
        <f>DATE(2026, 2, 9) + TIME(12, 40, 22)</f>
        <v>46062.528032407405</v>
      </c>
      <c r="D1877" s="1" t="s">
        <v>320</v>
      </c>
      <c r="E1877" s="1" t="s">
        <v>820</v>
      </c>
    </row>
    <row r="1878" spans="1:5" x14ac:dyDescent="0.2">
      <c r="A1878" s="1" t="s">
        <v>751</v>
      </c>
      <c r="B1878" s="1" t="s">
        <v>60</v>
      </c>
      <c r="C1878" s="5">
        <f>DATE(2026, 2, 9) + TIME(11, 42, 47)</f>
        <v>46062.488043981481</v>
      </c>
      <c r="D1878" s="1" t="s">
        <v>506</v>
      </c>
      <c r="E1878" s="1" t="s">
        <v>710</v>
      </c>
    </row>
    <row r="1879" spans="1:5" x14ac:dyDescent="0.2">
      <c r="A1879" s="1" t="s">
        <v>751</v>
      </c>
      <c r="B1879" s="1" t="s">
        <v>60</v>
      </c>
      <c r="C1879" s="5">
        <f>DATE(2026, 2, 9) + TIME(11, 40, 9)</f>
        <v>46062.486215277779</v>
      </c>
      <c r="D1879" s="1" t="s">
        <v>148</v>
      </c>
      <c r="E1879" s="1" t="s">
        <v>221</v>
      </c>
    </row>
    <row r="1880" spans="1:5" x14ac:dyDescent="0.2">
      <c r="A1880" s="1" t="s">
        <v>751</v>
      </c>
      <c r="B1880" s="1" t="s">
        <v>60</v>
      </c>
      <c r="C1880" s="5">
        <f>DATE(2026, 2, 9) + TIME(10, 48, 42)</f>
        <v>46062.450486111113</v>
      </c>
      <c r="D1880" s="1" t="s">
        <v>320</v>
      </c>
      <c r="E1880" s="1" t="s">
        <v>332</v>
      </c>
    </row>
    <row r="1881" spans="1:5" x14ac:dyDescent="0.2">
      <c r="A1881" s="1" t="s">
        <v>751</v>
      </c>
      <c r="B1881" s="1" t="s">
        <v>323</v>
      </c>
      <c r="C1881" s="5">
        <f>DATE(2026, 2, 5) + TIME(10, 20, 59)</f>
        <v>46058.431238425925</v>
      </c>
      <c r="D1881" s="1" t="s">
        <v>148</v>
      </c>
      <c r="E1881" s="1" t="s">
        <v>221</v>
      </c>
    </row>
    <row r="1882" spans="1:5" x14ac:dyDescent="0.2">
      <c r="A1882" s="1" t="s">
        <v>751</v>
      </c>
      <c r="B1882" s="1" t="s">
        <v>229</v>
      </c>
      <c r="C1882" s="5">
        <f>DATE(2026, 2, 5) + TIME(8, 42, 52)</f>
        <v>46058.36310185185</v>
      </c>
      <c r="D1882" s="1" t="s">
        <v>863</v>
      </c>
      <c r="E1882" s="1" t="s">
        <v>0</v>
      </c>
    </row>
    <row r="1883" spans="1:5" x14ac:dyDescent="0.2">
      <c r="A1883" s="1" t="s">
        <v>751</v>
      </c>
      <c r="B1883" s="1" t="s">
        <v>323</v>
      </c>
      <c r="C1883" s="5">
        <f>DATE(2026, 2, 4) + TIME(15, 21, 53)</f>
        <v>46057.640196759261</v>
      </c>
      <c r="D1883" s="1" t="s">
        <v>563</v>
      </c>
      <c r="E1883" s="1" t="s">
        <v>68</v>
      </c>
    </row>
    <row r="1884" spans="1:5" x14ac:dyDescent="0.2">
      <c r="A1884" s="1" t="s">
        <v>751</v>
      </c>
      <c r="B1884" s="1" t="s">
        <v>60</v>
      </c>
      <c r="C1884" s="5">
        <f>DATE(2026, 2, 2) + TIME(11, 51, 12)</f>
        <v>46055.493888888886</v>
      </c>
      <c r="D1884" s="1" t="s">
        <v>320</v>
      </c>
      <c r="E1884" s="1" t="s">
        <v>332</v>
      </c>
    </row>
    <row r="1885" spans="1:5" x14ac:dyDescent="0.2">
      <c r="A1885" s="1" t="s">
        <v>751</v>
      </c>
      <c r="B1885" s="1" t="s">
        <v>866</v>
      </c>
      <c r="C1885" s="5">
        <f>DATE(2026, 2, 2) + TIME(11, 51, 12)</f>
        <v>46055.493888888886</v>
      </c>
      <c r="D1885" s="1" t="s">
        <v>320</v>
      </c>
      <c r="E1885" s="1" t="s">
        <v>332</v>
      </c>
    </row>
    <row r="1886" spans="1:5" x14ac:dyDescent="0.2">
      <c r="A1886" s="1" t="s">
        <v>751</v>
      </c>
      <c r="B1886" s="1" t="s">
        <v>866</v>
      </c>
      <c r="C1886" s="5">
        <f>DATE(2026, 2, 2) + TIME(10, 35, 5)</f>
        <v>46055.441030092596</v>
      </c>
      <c r="D1886" s="1" t="s">
        <v>640</v>
      </c>
      <c r="E1886" s="1" t="s">
        <v>348</v>
      </c>
    </row>
    <row r="1887" spans="1:5" x14ac:dyDescent="0.2">
      <c r="A1887" s="1" t="s">
        <v>751</v>
      </c>
      <c r="B1887" s="1" t="s">
        <v>866</v>
      </c>
      <c r="C1887" s="5">
        <f>DATE(2026, 1, 29) + TIME(14, 11, 15)</f>
        <v>46051.591145833336</v>
      </c>
      <c r="D1887" s="1" t="s">
        <v>563</v>
      </c>
      <c r="E1887" s="1" t="s">
        <v>68</v>
      </c>
    </row>
    <row r="1888" spans="1:5" x14ac:dyDescent="0.2">
      <c r="A1888" s="1" t="s">
        <v>751</v>
      </c>
      <c r="B1888" s="1" t="s">
        <v>642</v>
      </c>
      <c r="C1888" s="5">
        <f>DATE(2026, 1, 29) + TIME(13, 43, 5)</f>
        <v>46051.571585648147</v>
      </c>
      <c r="D1888" s="1" t="s">
        <v>923</v>
      </c>
      <c r="E1888" s="1" t="s">
        <v>232</v>
      </c>
    </row>
    <row r="1889" spans="1:5" x14ac:dyDescent="0.2">
      <c r="A1889" s="1" t="s">
        <v>751</v>
      </c>
      <c r="B1889" s="1" t="s">
        <v>866</v>
      </c>
      <c r="C1889" s="5">
        <f>DATE(2026, 1, 29) + TIME(12, 50, 43)</f>
        <v>46051.535219907404</v>
      </c>
      <c r="D1889" s="1" t="s">
        <v>863</v>
      </c>
      <c r="E1889" s="1" t="s">
        <v>465</v>
      </c>
    </row>
    <row r="1890" spans="1:5" x14ac:dyDescent="0.2">
      <c r="A1890" s="1" t="s">
        <v>751</v>
      </c>
      <c r="B1890" s="1" t="s">
        <v>60</v>
      </c>
      <c r="C1890" s="5">
        <f>DATE(2026, 1, 29) + TIME(12, 50, 43)</f>
        <v>46051.535219907404</v>
      </c>
      <c r="D1890" s="1" t="s">
        <v>863</v>
      </c>
      <c r="E1890" s="1" t="s">
        <v>711</v>
      </c>
    </row>
    <row r="1891" spans="1:5" x14ac:dyDescent="0.2">
      <c r="A1891" s="1" t="s">
        <v>751</v>
      </c>
      <c r="B1891" s="1" t="s">
        <v>60</v>
      </c>
      <c r="C1891" s="5">
        <f>DATE(2026, 1, 29) + TIME(12, 50, 42)</f>
        <v>46051.535208333335</v>
      </c>
      <c r="D1891" s="1" t="s">
        <v>863</v>
      </c>
      <c r="E1891" s="1" t="s">
        <v>711</v>
      </c>
    </row>
    <row r="1892" spans="1:5" x14ac:dyDescent="0.2">
      <c r="A1892" s="1" t="s">
        <v>751</v>
      </c>
      <c r="B1892" s="1" t="s">
        <v>866</v>
      </c>
      <c r="C1892" s="5">
        <f>DATE(2026, 1, 29) + TIME(11, 2, 43)</f>
        <v>46051.460219907407</v>
      </c>
      <c r="D1892" s="1" t="s">
        <v>148</v>
      </c>
      <c r="E1892" s="1" t="s">
        <v>469</v>
      </c>
    </row>
    <row r="1893" spans="1:5" x14ac:dyDescent="0.2">
      <c r="A1893" s="1" t="s">
        <v>751</v>
      </c>
      <c r="B1893" s="1" t="s">
        <v>60</v>
      </c>
      <c r="C1893" s="5">
        <f>DATE(2026, 1, 29) + TIME(11, 2, 43)</f>
        <v>46051.460219907407</v>
      </c>
      <c r="D1893" s="1" t="s">
        <v>148</v>
      </c>
      <c r="E1893" s="1" t="s">
        <v>469</v>
      </c>
    </row>
    <row r="1894" spans="1:5" x14ac:dyDescent="0.2">
      <c r="A1894" s="1" t="s">
        <v>751</v>
      </c>
      <c r="B1894" s="1" t="s">
        <v>60</v>
      </c>
      <c r="C1894" s="5">
        <f>DATE(2026, 1, 27) + TIME(14, 39, 43)</f>
        <v>46049.610914351855</v>
      </c>
      <c r="D1894" s="1" t="s">
        <v>148</v>
      </c>
      <c r="E1894" s="1" t="s">
        <v>929</v>
      </c>
    </row>
    <row r="1895" spans="1:5" x14ac:dyDescent="0.2">
      <c r="A1895" s="1" t="s">
        <v>751</v>
      </c>
      <c r="B1895" s="1" t="s">
        <v>60</v>
      </c>
      <c r="C1895" s="5">
        <f>DATE(2026, 1, 27) + TIME(9, 16, 30)</f>
        <v>46049.386458333334</v>
      </c>
      <c r="D1895" s="1" t="s">
        <v>506</v>
      </c>
      <c r="E1895" s="1" t="s">
        <v>525</v>
      </c>
    </row>
    <row r="1896" spans="1:5" x14ac:dyDescent="0.2">
      <c r="A1896" s="1" t="s">
        <v>751</v>
      </c>
      <c r="B1896" s="1" t="s">
        <v>526</v>
      </c>
      <c r="C1896" s="5">
        <f>DATE(2026, 1, 25) + TIME(8, 41, 33)</f>
        <v>46047.362187500003</v>
      </c>
      <c r="D1896" s="1" t="s">
        <v>3</v>
      </c>
      <c r="E1896" s="1" t="s">
        <v>89</v>
      </c>
    </row>
    <row r="1897" spans="1:5" x14ac:dyDescent="0.2">
      <c r="A1897" s="1" t="s">
        <v>751</v>
      </c>
      <c r="B1897" s="1" t="s">
        <v>60</v>
      </c>
      <c r="C1897" s="5">
        <f>DATE(2026, 1, 22) + TIME(12, 53, 46)</f>
        <v>46044.53733796296</v>
      </c>
      <c r="D1897" s="1" t="s">
        <v>566</v>
      </c>
      <c r="E1897" s="1" t="s">
        <v>570</v>
      </c>
    </row>
    <row r="1898" spans="1:5" x14ac:dyDescent="0.2">
      <c r="A1898" s="1" t="s">
        <v>751</v>
      </c>
      <c r="B1898" s="1" t="s">
        <v>60</v>
      </c>
      <c r="C1898" s="5">
        <f>DATE(2026, 1, 22) + TIME(12, 35, 27)</f>
        <v>46044.524618055555</v>
      </c>
      <c r="D1898" s="1" t="s">
        <v>863</v>
      </c>
      <c r="E1898" s="1" t="s">
        <v>80</v>
      </c>
    </row>
    <row r="1899" spans="1:5" x14ac:dyDescent="0.2">
      <c r="A1899" s="1" t="s">
        <v>751</v>
      </c>
      <c r="B1899" s="1" t="s">
        <v>60</v>
      </c>
      <c r="C1899" s="5">
        <f>DATE(2026, 1, 22) + TIME(9, 51, 44)</f>
        <v>46044.410925925928</v>
      </c>
      <c r="D1899" s="1" t="s">
        <v>3</v>
      </c>
      <c r="E1899" s="1" t="s">
        <v>515</v>
      </c>
    </row>
    <row r="1900" spans="1:5" x14ac:dyDescent="0.2">
      <c r="A1900" s="1" t="s">
        <v>751</v>
      </c>
      <c r="B1900" s="1" t="s">
        <v>60</v>
      </c>
      <c r="C1900" s="5">
        <f>DATE(2026, 1, 21) + TIME(7, 20, 50)</f>
        <v>46043.306134259263</v>
      </c>
      <c r="D1900" s="1" t="s">
        <v>640</v>
      </c>
      <c r="E1900" s="1" t="s">
        <v>10</v>
      </c>
    </row>
    <row r="1901" spans="1:5" x14ac:dyDescent="0.2">
      <c r="A1901" s="1" t="s">
        <v>751</v>
      </c>
      <c r="B1901" s="1" t="s">
        <v>231</v>
      </c>
      <c r="C1901" s="5">
        <f>DATE(2026, 1, 21) + TIME(7, 20, 50)</f>
        <v>46043.306134259263</v>
      </c>
      <c r="D1901" s="1" t="s">
        <v>640</v>
      </c>
      <c r="E1901" s="1" t="s">
        <v>10</v>
      </c>
    </row>
    <row r="1902" spans="1:5" x14ac:dyDescent="0.2">
      <c r="A1902" s="1" t="s">
        <v>751</v>
      </c>
      <c r="B1902" s="1" t="s">
        <v>526</v>
      </c>
      <c r="C1902" s="5">
        <f>DATE(2026, 1, 19) + TIME(9, 48, 3)</f>
        <v>46041.408368055556</v>
      </c>
      <c r="D1902" s="1" t="s">
        <v>923</v>
      </c>
      <c r="E1902" s="1" t="s">
        <v>232</v>
      </c>
    </row>
    <row r="1903" spans="1:5" x14ac:dyDescent="0.2">
      <c r="A1903" s="1" t="s">
        <v>751</v>
      </c>
      <c r="B1903" s="1" t="s">
        <v>141</v>
      </c>
      <c r="C1903" s="5">
        <f>DATE(2026, 1, 19) + TIME(9, 40, 33)</f>
        <v>46041.40315972222</v>
      </c>
      <c r="D1903" s="1" t="s">
        <v>863</v>
      </c>
      <c r="E1903" s="1" t="s">
        <v>711</v>
      </c>
    </row>
    <row r="1904" spans="1:5" x14ac:dyDescent="0.2">
      <c r="A1904" s="1" t="s">
        <v>751</v>
      </c>
      <c r="B1904" s="1" t="s">
        <v>323</v>
      </c>
      <c r="C1904" s="5">
        <f>DATE(2026, 1, 15) + TIME(13, 3, 26)</f>
        <v>46037.544050925928</v>
      </c>
      <c r="D1904" s="1" t="s">
        <v>216</v>
      </c>
      <c r="E1904" s="1" t="s">
        <v>326</v>
      </c>
    </row>
    <row r="1905" spans="1:5" x14ac:dyDescent="0.2">
      <c r="A1905" s="1" t="s">
        <v>751</v>
      </c>
      <c r="B1905" s="1" t="s">
        <v>60</v>
      </c>
      <c r="C1905" s="5">
        <f>DATE(2026, 1, 15) + TIME(12, 5, 15)</f>
        <v>46037.503645833334</v>
      </c>
      <c r="D1905" s="1" t="s">
        <v>863</v>
      </c>
      <c r="E1905" s="1" t="s">
        <v>711</v>
      </c>
    </row>
    <row r="1906" spans="1:5" x14ac:dyDescent="0.2">
      <c r="A1906" s="1" t="s">
        <v>751</v>
      </c>
      <c r="B1906" s="1" t="s">
        <v>141</v>
      </c>
      <c r="C1906" s="5">
        <f>DATE(2026, 1, 15) + TIME(12, 4, 54)</f>
        <v>46037.50340277778</v>
      </c>
      <c r="D1906" s="1" t="s">
        <v>638</v>
      </c>
      <c r="E1906" s="1" t="s">
        <v>172</v>
      </c>
    </row>
    <row r="1907" spans="1:5" x14ac:dyDescent="0.2">
      <c r="A1907" s="1" t="s">
        <v>751</v>
      </c>
      <c r="B1907" s="1" t="s">
        <v>60</v>
      </c>
      <c r="C1907" s="5">
        <f>DATE(2026, 1, 15) + TIME(11, 56, 26)</f>
        <v>46037.497523148151</v>
      </c>
      <c r="D1907" s="1" t="s">
        <v>863</v>
      </c>
      <c r="E1907" s="1" t="s">
        <v>80</v>
      </c>
    </row>
    <row r="1908" spans="1:5" x14ac:dyDescent="0.2">
      <c r="A1908" s="1" t="s">
        <v>751</v>
      </c>
      <c r="B1908" s="1" t="s">
        <v>60</v>
      </c>
      <c r="C1908" s="5">
        <f>DATE(2026, 1, 15) + TIME(11, 56, 25)</f>
        <v>46037.497511574074</v>
      </c>
      <c r="D1908" s="1" t="s">
        <v>863</v>
      </c>
      <c r="E1908" s="1" t="s">
        <v>80</v>
      </c>
    </row>
    <row r="1909" spans="1:5" x14ac:dyDescent="0.2">
      <c r="A1909" s="1" t="s">
        <v>751</v>
      </c>
      <c r="B1909" s="1" t="s">
        <v>141</v>
      </c>
      <c r="C1909" s="5">
        <f>DATE(2026, 1, 15) + TIME(11, 43, 8)</f>
        <v>46037.488287037035</v>
      </c>
      <c r="D1909" s="1" t="s">
        <v>459</v>
      </c>
      <c r="E1909" s="1" t="s">
        <v>528</v>
      </c>
    </row>
    <row r="1910" spans="1:5" x14ac:dyDescent="0.2">
      <c r="A1910" s="1" t="s">
        <v>751</v>
      </c>
      <c r="B1910" s="1" t="s">
        <v>60</v>
      </c>
      <c r="C1910" s="5">
        <f>DATE(2026, 1, 15) + TIME(9, 25, 18)</f>
        <v>46037.392569444448</v>
      </c>
      <c r="D1910" s="1" t="s">
        <v>640</v>
      </c>
      <c r="E1910" s="1" t="s">
        <v>10</v>
      </c>
    </row>
    <row r="1911" spans="1:5" x14ac:dyDescent="0.2">
      <c r="A1911" s="1" t="s">
        <v>751</v>
      </c>
      <c r="B1911" s="1" t="s">
        <v>714</v>
      </c>
      <c r="C1911" s="5">
        <f>DATE(2026, 1, 14) + TIME(15, 4, 22)</f>
        <v>46036.628032407411</v>
      </c>
      <c r="D1911" s="1" t="s">
        <v>144</v>
      </c>
      <c r="E1911" s="1" t="s">
        <v>293</v>
      </c>
    </row>
    <row r="1912" spans="1:5" x14ac:dyDescent="0.2">
      <c r="A1912" s="1" t="s">
        <v>751</v>
      </c>
      <c r="B1912" s="1" t="s">
        <v>229</v>
      </c>
      <c r="C1912" s="5">
        <f>DATE(2026, 1, 14) + TIME(8, 35, 0)</f>
        <v>46036.357638888891</v>
      </c>
      <c r="D1912" s="1" t="s">
        <v>750</v>
      </c>
      <c r="E1912" s="1" t="s">
        <v>586</v>
      </c>
    </row>
    <row r="1913" spans="1:5" x14ac:dyDescent="0.2">
      <c r="A1913" s="1" t="s">
        <v>751</v>
      </c>
      <c r="B1913" s="1" t="s">
        <v>60</v>
      </c>
      <c r="C1913" s="5">
        <f>DATE(2026, 1, 13) + TIME(10, 20, 54)</f>
        <v>46035.431180555555</v>
      </c>
      <c r="D1913" s="1" t="s">
        <v>506</v>
      </c>
      <c r="E1913" s="1" t="s">
        <v>930</v>
      </c>
    </row>
    <row r="1914" spans="1:5" x14ac:dyDescent="0.2">
      <c r="A1914" s="1" t="s">
        <v>751</v>
      </c>
      <c r="B1914" s="1" t="s">
        <v>60</v>
      </c>
      <c r="C1914" s="5">
        <f>DATE(2026, 1, 12) + TIME(15, 49, 36)</f>
        <v>46034.659444444442</v>
      </c>
      <c r="D1914" s="1" t="s">
        <v>506</v>
      </c>
      <c r="E1914" s="1" t="s">
        <v>710</v>
      </c>
    </row>
    <row r="1915" spans="1:5" x14ac:dyDescent="0.2">
      <c r="A1915" s="1" t="s">
        <v>751</v>
      </c>
      <c r="B1915" s="1" t="s">
        <v>60</v>
      </c>
      <c r="C1915" s="5">
        <f>DATE(2026, 1, 8) + TIME(13, 42, 48)</f>
        <v>46030.571388888886</v>
      </c>
      <c r="D1915" s="1" t="s">
        <v>148</v>
      </c>
      <c r="E1915" s="1" t="s">
        <v>221</v>
      </c>
    </row>
    <row r="1916" spans="1:5" x14ac:dyDescent="0.2">
      <c r="A1916" s="1" t="s">
        <v>751</v>
      </c>
      <c r="B1916" s="1" t="s">
        <v>141</v>
      </c>
      <c r="C1916" s="5">
        <f>DATE(2026, 1, 8) + TIME(11, 34, 20)</f>
        <v>46030.482175925928</v>
      </c>
      <c r="D1916" s="1" t="s">
        <v>64</v>
      </c>
      <c r="E1916" s="1" t="s">
        <v>352</v>
      </c>
    </row>
    <row r="1917" spans="1:5" x14ac:dyDescent="0.2">
      <c r="A1917" s="1" t="s">
        <v>751</v>
      </c>
      <c r="B1917" s="1" t="s">
        <v>415</v>
      </c>
      <c r="C1917" s="5">
        <f>DATE(2026, 1, 8) + TIME(8, 46, 38)</f>
        <v>46030.365717592591</v>
      </c>
      <c r="D1917" s="1" t="s">
        <v>64</v>
      </c>
      <c r="E1917" s="1" t="s">
        <v>174</v>
      </c>
    </row>
    <row r="1918" spans="1:5" x14ac:dyDescent="0.2">
      <c r="A1918" s="1" t="s">
        <v>751</v>
      </c>
      <c r="B1918" s="1" t="s">
        <v>60</v>
      </c>
      <c r="C1918" s="5">
        <f>DATE(2026, 1, 8) + TIME(7, 55, 59)</f>
        <v>46030.330543981479</v>
      </c>
      <c r="D1918" s="1" t="s">
        <v>459</v>
      </c>
      <c r="E1918" s="1" t="s">
        <v>528</v>
      </c>
    </row>
    <row r="1919" spans="1:5" x14ac:dyDescent="0.2">
      <c r="A1919" s="1" t="s">
        <v>751</v>
      </c>
      <c r="B1919" s="1" t="s">
        <v>60</v>
      </c>
      <c r="C1919" s="5">
        <f>DATE(2026, 1, 7) + TIME(13, 51, 8)</f>
        <v>46029.577175925922</v>
      </c>
      <c r="D1919" s="1" t="s">
        <v>563</v>
      </c>
      <c r="E1919" s="1" t="s">
        <v>475</v>
      </c>
    </row>
    <row r="1920" spans="1:5" x14ac:dyDescent="0.2">
      <c r="A1920" s="1" t="s">
        <v>751</v>
      </c>
      <c r="B1920" s="1" t="s">
        <v>60</v>
      </c>
      <c r="C1920" s="5">
        <f>DATE(2026, 1, 7) + TIME(12, 16, 47)</f>
        <v>46029.511655092596</v>
      </c>
      <c r="D1920" s="1" t="s">
        <v>506</v>
      </c>
      <c r="E1920" s="1" t="s">
        <v>353</v>
      </c>
    </row>
    <row r="1921" spans="1:5" x14ac:dyDescent="0.2">
      <c r="A1921" s="1" t="s">
        <v>751</v>
      </c>
      <c r="B1921" s="1" t="s">
        <v>866</v>
      </c>
      <c r="C1921" s="5">
        <f>DATE(2026, 1, 7) + TIME(11, 42, 27)</f>
        <v>46029.487812500003</v>
      </c>
      <c r="D1921" s="1" t="s">
        <v>506</v>
      </c>
      <c r="E1921" s="1" t="s">
        <v>167</v>
      </c>
    </row>
    <row r="1922" spans="1:5" x14ac:dyDescent="0.2">
      <c r="A1922" s="1" t="s">
        <v>751</v>
      </c>
      <c r="B1922" s="1" t="s">
        <v>141</v>
      </c>
      <c r="C1922" s="5">
        <f>DATE(2026, 1, 7) + TIME(8, 54, 12)</f>
        <v>46029.370972222219</v>
      </c>
      <c r="D1922" s="1" t="s">
        <v>398</v>
      </c>
      <c r="E1922" s="1" t="s">
        <v>166</v>
      </c>
    </row>
    <row r="1923" spans="1:5" x14ac:dyDescent="0.2">
      <c r="A1923" s="1" t="s">
        <v>751</v>
      </c>
      <c r="B1923" s="1" t="s">
        <v>229</v>
      </c>
      <c r="C1923" s="5">
        <f>DATE(2026, 1, 6) + TIME(16, 18, 55)</f>
        <v>46028.679803240739</v>
      </c>
      <c r="D1923" s="1" t="s">
        <v>216</v>
      </c>
      <c r="E1923" s="1" t="s">
        <v>94</v>
      </c>
    </row>
    <row r="1924" spans="1:5" x14ac:dyDescent="0.2">
      <c r="A1924" s="1" t="s">
        <v>751</v>
      </c>
      <c r="B1924" s="1" t="s">
        <v>866</v>
      </c>
      <c r="C1924" s="5">
        <f>DATE(2026, 1, 6) + TIME(15, 50, 19)</f>
        <v>46028.659942129627</v>
      </c>
      <c r="D1924" s="1" t="s">
        <v>506</v>
      </c>
      <c r="E1924" s="1" t="s">
        <v>509</v>
      </c>
    </row>
    <row r="1925" spans="1:5" x14ac:dyDescent="0.2">
      <c r="A1925" s="1" t="s">
        <v>751</v>
      </c>
      <c r="B1925" s="1" t="s">
        <v>229</v>
      </c>
      <c r="C1925" s="5">
        <f>DATE(2026, 1, 6) + TIME(15, 5, 8)</f>
        <v>46028.628564814811</v>
      </c>
      <c r="D1925" s="1" t="s">
        <v>216</v>
      </c>
      <c r="E1925" s="1" t="s">
        <v>530</v>
      </c>
    </row>
    <row r="1926" spans="1:5" x14ac:dyDescent="0.2">
      <c r="A1926" s="1" t="s">
        <v>751</v>
      </c>
      <c r="B1926" s="1" t="s">
        <v>229</v>
      </c>
      <c r="C1926" s="5">
        <f>DATE(2026, 1, 6) + TIME(15, 5, 7)</f>
        <v>46028.628553240742</v>
      </c>
      <c r="D1926" s="1" t="s">
        <v>216</v>
      </c>
      <c r="E1926" s="1" t="s">
        <v>589</v>
      </c>
    </row>
    <row r="1927" spans="1:5" x14ac:dyDescent="0.2">
      <c r="A1927" s="1" t="s">
        <v>751</v>
      </c>
      <c r="B1927" s="1" t="s">
        <v>229</v>
      </c>
      <c r="C1927" s="5">
        <f>DATE(2026, 1, 6) + TIME(13, 33, 2)</f>
        <v>46028.564606481479</v>
      </c>
      <c r="D1927" s="1" t="s">
        <v>506</v>
      </c>
      <c r="E1927" s="1" t="s">
        <v>590</v>
      </c>
    </row>
    <row r="1928" spans="1:5" x14ac:dyDescent="0.2">
      <c r="A1928" s="1" t="s">
        <v>751</v>
      </c>
      <c r="B1928" s="1" t="s">
        <v>866</v>
      </c>
      <c r="C1928" s="5">
        <f>DATE(2026, 1, 5) + TIME(9, 38, 37)</f>
        <v>46027.401817129627</v>
      </c>
      <c r="D1928" s="1" t="s">
        <v>506</v>
      </c>
      <c r="E1928" s="1" t="s">
        <v>710</v>
      </c>
    </row>
    <row r="1929" spans="1:5" x14ac:dyDescent="0.2">
      <c r="A1929" s="1" t="s">
        <v>751</v>
      </c>
      <c r="B1929" s="1" t="s">
        <v>60</v>
      </c>
      <c r="C1929" s="5">
        <f>DATE(2025, 12, 31) + TIME(14, 15, 59)</f>
        <v>46022.59443287037</v>
      </c>
      <c r="D1929" s="1" t="s">
        <v>148</v>
      </c>
      <c r="E1929" s="1" t="s">
        <v>221</v>
      </c>
    </row>
    <row r="1930" spans="1:5" x14ac:dyDescent="0.2">
      <c r="A1930" s="1" t="s">
        <v>751</v>
      </c>
      <c r="B1930" s="1" t="s">
        <v>60</v>
      </c>
      <c r="C1930" s="5">
        <f>DATE(2025, 12, 31) + TIME(14, 15, 30)</f>
        <v>46022.594097222223</v>
      </c>
      <c r="D1930" s="1" t="s">
        <v>148</v>
      </c>
      <c r="E1930" s="1" t="s">
        <v>469</v>
      </c>
    </row>
    <row r="1931" spans="1:5" x14ac:dyDescent="0.2">
      <c r="A1931" s="1" t="s">
        <v>751</v>
      </c>
      <c r="B1931" s="1" t="s">
        <v>60</v>
      </c>
      <c r="C1931" s="5">
        <f>DATE(2025, 12, 31) + TIME(13, 21, 2)</f>
        <v>46022.556273148148</v>
      </c>
      <c r="D1931" s="1" t="s">
        <v>216</v>
      </c>
      <c r="E1931" s="1" t="s">
        <v>326</v>
      </c>
    </row>
    <row r="1932" spans="1:5" x14ac:dyDescent="0.2">
      <c r="A1932" s="1" t="s">
        <v>751</v>
      </c>
      <c r="B1932" s="1" t="s">
        <v>60</v>
      </c>
      <c r="C1932" s="5">
        <f>DATE(2025, 12, 31) + TIME(11, 5, 52)</f>
        <v>46022.462407407409</v>
      </c>
      <c r="D1932" s="1" t="s">
        <v>148</v>
      </c>
      <c r="E1932" s="1" t="s">
        <v>221</v>
      </c>
    </row>
    <row r="1933" spans="1:5" x14ac:dyDescent="0.2">
      <c r="A1933" s="1" t="s">
        <v>751</v>
      </c>
      <c r="B1933" s="1" t="s">
        <v>141</v>
      </c>
      <c r="C1933" s="5">
        <f>DATE(2025, 12, 31) + TIME(8, 32, 20)</f>
        <v>46022.355787037035</v>
      </c>
      <c r="D1933" s="1" t="s">
        <v>863</v>
      </c>
      <c r="E1933" s="1" t="s">
        <v>465</v>
      </c>
    </row>
    <row r="1934" spans="1:5" x14ac:dyDescent="0.2">
      <c r="A1934" s="1" t="s">
        <v>751</v>
      </c>
      <c r="B1934" s="1" t="s">
        <v>642</v>
      </c>
      <c r="C1934" s="5">
        <f>DATE(2025, 12, 30) + TIME(15, 50, 30)</f>
        <v>46021.660069444442</v>
      </c>
      <c r="D1934" s="1" t="s">
        <v>144</v>
      </c>
      <c r="E1934" s="1" t="s">
        <v>826</v>
      </c>
    </row>
    <row r="1935" spans="1:5" x14ac:dyDescent="0.2">
      <c r="A1935" s="1" t="s">
        <v>751</v>
      </c>
      <c r="B1935" s="1" t="s">
        <v>229</v>
      </c>
      <c r="C1935" s="5">
        <f>DATE(2025, 12, 29) + TIME(9, 13, 14)</f>
        <v>46020.384189814817</v>
      </c>
      <c r="D1935" s="1" t="s">
        <v>396</v>
      </c>
      <c r="E1935" s="1" t="s">
        <v>827</v>
      </c>
    </row>
    <row r="1936" spans="1:5" x14ac:dyDescent="0.2">
      <c r="A1936" s="1" t="s">
        <v>751</v>
      </c>
      <c r="B1936" s="1" t="s">
        <v>415</v>
      </c>
      <c r="C1936" s="5">
        <f>DATE(2025, 12, 29) + TIME(9, 13, 13)</f>
        <v>46020.38417824074</v>
      </c>
      <c r="D1936" s="1" t="s">
        <v>396</v>
      </c>
      <c r="E1936" s="1" t="s">
        <v>827</v>
      </c>
    </row>
    <row r="1937" spans="1:5" x14ac:dyDescent="0.2">
      <c r="A1937" s="1" t="s">
        <v>751</v>
      </c>
      <c r="B1937" s="1" t="s">
        <v>323</v>
      </c>
      <c r="C1937" s="5">
        <f>DATE(2025, 12, 24) + TIME(13, 10, 0)</f>
        <v>46015.548611111109</v>
      </c>
      <c r="D1937" s="1" t="s">
        <v>863</v>
      </c>
      <c r="E1937" s="1" t="s">
        <v>711</v>
      </c>
    </row>
    <row r="1938" spans="1:5" x14ac:dyDescent="0.2">
      <c r="A1938" s="1" t="s">
        <v>751</v>
      </c>
      <c r="B1938" s="1" t="s">
        <v>60</v>
      </c>
      <c r="C1938" s="5">
        <f>DATE(2025, 12, 23) + TIME(13, 46, 29)</f>
        <v>46014.573946759258</v>
      </c>
      <c r="D1938" s="1" t="s">
        <v>148</v>
      </c>
      <c r="E1938" s="1" t="s">
        <v>756</v>
      </c>
    </row>
    <row r="1939" spans="1:5" x14ac:dyDescent="0.2">
      <c r="A1939" s="1" t="s">
        <v>751</v>
      </c>
      <c r="B1939" s="1" t="s">
        <v>526</v>
      </c>
      <c r="C1939" s="5">
        <f>DATE(2025, 12, 21) + TIME(13, 48, 44)</f>
        <v>46012.575509259259</v>
      </c>
      <c r="D1939" s="1" t="s">
        <v>923</v>
      </c>
      <c r="E1939" s="1" t="s">
        <v>355</v>
      </c>
    </row>
    <row r="1940" spans="1:5" x14ac:dyDescent="0.2">
      <c r="A1940" s="1" t="s">
        <v>751</v>
      </c>
      <c r="B1940" s="1" t="s">
        <v>866</v>
      </c>
      <c r="C1940" s="5">
        <f>DATE(2025, 12, 18) + TIME(13, 45, 3)</f>
        <v>46009.572951388887</v>
      </c>
      <c r="D1940" s="1" t="s">
        <v>148</v>
      </c>
      <c r="E1940" s="1" t="s">
        <v>221</v>
      </c>
    </row>
    <row r="1941" spans="1:5" x14ac:dyDescent="0.2">
      <c r="A1941" s="1" t="s">
        <v>751</v>
      </c>
      <c r="B1941" s="1" t="s">
        <v>526</v>
      </c>
      <c r="C1941" s="5">
        <f>DATE(2025, 12, 18) + TIME(10, 22, 38)</f>
        <v>46009.432384259257</v>
      </c>
      <c r="D1941" s="1" t="s">
        <v>638</v>
      </c>
      <c r="E1941" s="1" t="s">
        <v>172</v>
      </c>
    </row>
    <row r="1942" spans="1:5" x14ac:dyDescent="0.2">
      <c r="A1942" s="1" t="s">
        <v>751</v>
      </c>
      <c r="B1942" s="1" t="s">
        <v>60</v>
      </c>
      <c r="C1942" s="5">
        <f>DATE(2025, 12, 18) + TIME(10, 18, 40)</f>
        <v>46009.429629629631</v>
      </c>
      <c r="D1942" s="1" t="s">
        <v>638</v>
      </c>
      <c r="E1942" s="1" t="s">
        <v>172</v>
      </c>
    </row>
    <row r="1943" spans="1:5" x14ac:dyDescent="0.2">
      <c r="A1943" s="1" t="s">
        <v>751</v>
      </c>
      <c r="B1943" s="1" t="s">
        <v>526</v>
      </c>
      <c r="C1943" s="5">
        <f>DATE(2025, 12, 17) + TIME(16, 2, 59)</f>
        <v>46008.668738425928</v>
      </c>
      <c r="D1943" s="1" t="s">
        <v>921</v>
      </c>
      <c r="E1943" s="1" t="s">
        <v>176</v>
      </c>
    </row>
    <row r="1944" spans="1:5" x14ac:dyDescent="0.2">
      <c r="A1944" s="1" t="s">
        <v>751</v>
      </c>
      <c r="B1944" s="1" t="s">
        <v>526</v>
      </c>
      <c r="C1944" s="5">
        <f>DATE(2025, 12, 16) + TIME(15, 0, 20)</f>
        <v>46007.625231481485</v>
      </c>
      <c r="D1944" s="1" t="s">
        <v>506</v>
      </c>
      <c r="E1944" s="1" t="s">
        <v>590</v>
      </c>
    </row>
    <row r="1945" spans="1:5" x14ac:dyDescent="0.2">
      <c r="A1945" s="1" t="s">
        <v>751</v>
      </c>
      <c r="B1945" s="1" t="s">
        <v>526</v>
      </c>
      <c r="C1945" s="5">
        <f>DATE(2025, 12, 16) + TIME(12, 18, 39)</f>
        <v>46007.51295138889</v>
      </c>
      <c r="D1945" s="1" t="s">
        <v>3</v>
      </c>
      <c r="E1945" s="1" t="s">
        <v>478</v>
      </c>
    </row>
    <row r="1946" spans="1:5" x14ac:dyDescent="0.2">
      <c r="A1946" s="1" t="s">
        <v>751</v>
      </c>
      <c r="B1946" s="1" t="s">
        <v>644</v>
      </c>
      <c r="C1946" s="5">
        <f>DATE(2025, 12, 16) + TIME(9, 26, 17)</f>
        <v>46007.393252314818</v>
      </c>
      <c r="D1946" s="1" t="s">
        <v>506</v>
      </c>
      <c r="E1946" s="1" t="s">
        <v>509</v>
      </c>
    </row>
    <row r="1947" spans="1:5" x14ac:dyDescent="0.2">
      <c r="A1947" s="1" t="s">
        <v>751</v>
      </c>
      <c r="B1947" s="1" t="s">
        <v>526</v>
      </c>
      <c r="C1947" s="5">
        <f>DATE(2025, 12, 11) + TIME(11, 15, 39)</f>
        <v>46002.469201388885</v>
      </c>
      <c r="D1947" s="1" t="s">
        <v>64</v>
      </c>
      <c r="E1947" s="1" t="s">
        <v>532</v>
      </c>
    </row>
    <row r="1948" spans="1:5" x14ac:dyDescent="0.2">
      <c r="A1948" s="1" t="s">
        <v>751</v>
      </c>
      <c r="B1948" s="1" t="s">
        <v>526</v>
      </c>
      <c r="C1948" s="5">
        <f>DATE(2025, 12, 11) + TIME(8, 44, 35)</f>
        <v>46002.364293981482</v>
      </c>
      <c r="D1948" s="1" t="s">
        <v>64</v>
      </c>
      <c r="E1948" s="1" t="s">
        <v>533</v>
      </c>
    </row>
    <row r="1949" spans="1:5" x14ac:dyDescent="0.2">
      <c r="A1949" s="1" t="s">
        <v>751</v>
      </c>
      <c r="B1949" s="1" t="s">
        <v>526</v>
      </c>
      <c r="C1949" s="5">
        <f>DATE(2025, 12, 10) + TIME(16, 8, 28)</f>
        <v>46001.672546296293</v>
      </c>
      <c r="D1949" s="1" t="s">
        <v>64</v>
      </c>
      <c r="E1949" s="1" t="s">
        <v>719</v>
      </c>
    </row>
    <row r="1950" spans="1:5" x14ac:dyDescent="0.2">
      <c r="A1950" s="1" t="s">
        <v>751</v>
      </c>
      <c r="B1950" s="1" t="s">
        <v>526</v>
      </c>
      <c r="C1950" s="5">
        <f>DATE(2025, 12, 10) + TIME(10, 28, 58)</f>
        <v>46001.436782407407</v>
      </c>
      <c r="D1950" s="1" t="s">
        <v>64</v>
      </c>
      <c r="E1950" s="1" t="s">
        <v>534</v>
      </c>
    </row>
    <row r="1951" spans="1:5" x14ac:dyDescent="0.2">
      <c r="A1951" s="1" t="s">
        <v>751</v>
      </c>
      <c r="B1951" s="1" t="s">
        <v>526</v>
      </c>
      <c r="C1951" s="5">
        <f>DATE(2025, 12, 10) + TIME(9, 45, 31)</f>
        <v>46001.406608796293</v>
      </c>
      <c r="D1951" s="1" t="s">
        <v>64</v>
      </c>
      <c r="E1951" s="1" t="s">
        <v>776</v>
      </c>
    </row>
    <row r="1952" spans="1:5" x14ac:dyDescent="0.2">
      <c r="A1952" s="1" t="s">
        <v>751</v>
      </c>
      <c r="B1952" s="1" t="s">
        <v>526</v>
      </c>
      <c r="C1952" s="5">
        <f>DATE(2025, 12, 9) + TIME(15, 36, 22)</f>
        <v>46000.650254629632</v>
      </c>
      <c r="D1952" s="1" t="s">
        <v>216</v>
      </c>
      <c r="E1952" s="1" t="s">
        <v>530</v>
      </c>
    </row>
    <row r="1953" spans="1:5" x14ac:dyDescent="0.2">
      <c r="A1953" s="1" t="s">
        <v>751</v>
      </c>
      <c r="B1953" s="1" t="s">
        <v>526</v>
      </c>
      <c r="C1953" s="5">
        <f>DATE(2025, 12, 9) + TIME(13, 55, 49)</f>
        <v>46000.580428240741</v>
      </c>
      <c r="D1953" s="1" t="s">
        <v>863</v>
      </c>
      <c r="E1953" s="1" t="s">
        <v>359</v>
      </c>
    </row>
    <row r="1954" spans="1:5" x14ac:dyDescent="0.2">
      <c r="A1954" s="1" t="s">
        <v>751</v>
      </c>
      <c r="B1954" s="1" t="s">
        <v>526</v>
      </c>
      <c r="C1954" s="5">
        <f>DATE(2025, 12, 9) + TIME(13, 38, 21)</f>
        <v>46000.568298611113</v>
      </c>
      <c r="D1954" s="1" t="s">
        <v>506</v>
      </c>
      <c r="E1954" s="1" t="s">
        <v>590</v>
      </c>
    </row>
    <row r="1955" spans="1:5" x14ac:dyDescent="0.2">
      <c r="A1955" s="1" t="s">
        <v>751</v>
      </c>
      <c r="B1955" s="1" t="s">
        <v>526</v>
      </c>
      <c r="C1955" s="5">
        <f>DATE(2025, 12, 9) + TIME(10, 41, 51)</f>
        <v>46000.445729166669</v>
      </c>
      <c r="D1955" s="1" t="s">
        <v>459</v>
      </c>
      <c r="E1955" s="1" t="s">
        <v>596</v>
      </c>
    </row>
    <row r="1956" spans="1:5" x14ac:dyDescent="0.2">
      <c r="A1956" s="1" t="s">
        <v>751</v>
      </c>
      <c r="B1956" s="1" t="s">
        <v>526</v>
      </c>
      <c r="C1956" s="5">
        <f>DATE(2025, 12, 9) + TIME(9, 43, 36)</f>
        <v>46000.405277777776</v>
      </c>
      <c r="D1956" s="1" t="s">
        <v>64</v>
      </c>
      <c r="E1956" s="1" t="s">
        <v>479</v>
      </c>
    </row>
    <row r="1957" spans="1:5" x14ac:dyDescent="0.2">
      <c r="A1957" s="1" t="s">
        <v>751</v>
      </c>
      <c r="B1957" s="1" t="s">
        <v>526</v>
      </c>
      <c r="C1957" s="5">
        <f>DATE(2025, 12, 9) + TIME(8, 53, 56)</f>
        <v>46000.370787037034</v>
      </c>
      <c r="D1957" s="1" t="s">
        <v>459</v>
      </c>
      <c r="E1957" s="1" t="s">
        <v>236</v>
      </c>
    </row>
    <row r="1958" spans="1:5" x14ac:dyDescent="0.2">
      <c r="A1958" s="1" t="s">
        <v>751</v>
      </c>
      <c r="B1958" s="1" t="s">
        <v>526</v>
      </c>
      <c r="C1958" s="5">
        <f>DATE(2025, 12, 8) + TIME(16, 10, 50)</f>
        <v>45999.674189814818</v>
      </c>
      <c r="D1958" s="1" t="s">
        <v>64</v>
      </c>
      <c r="E1958" s="1" t="s">
        <v>833</v>
      </c>
    </row>
    <row r="1959" spans="1:5" x14ac:dyDescent="0.2">
      <c r="A1959" s="1" t="s">
        <v>751</v>
      </c>
      <c r="B1959" s="1" t="s">
        <v>526</v>
      </c>
      <c r="C1959" s="5">
        <f>DATE(2025, 12, 8) + TIME(13, 54, 56)</f>
        <v>45999.579814814817</v>
      </c>
      <c r="D1959" s="1" t="s">
        <v>64</v>
      </c>
      <c r="E1959" s="1" t="s">
        <v>720</v>
      </c>
    </row>
    <row r="1960" spans="1:5" x14ac:dyDescent="0.2">
      <c r="A1960" s="1" t="s">
        <v>751</v>
      </c>
      <c r="B1960" s="1" t="s">
        <v>526</v>
      </c>
      <c r="C1960" s="5">
        <f>DATE(2025, 12, 8) + TIME(9, 33, 44)</f>
        <v>45999.398425925923</v>
      </c>
      <c r="D1960" s="1" t="s">
        <v>921</v>
      </c>
      <c r="E1960" s="1" t="s">
        <v>597</v>
      </c>
    </row>
    <row r="1961" spans="1:5" x14ac:dyDescent="0.2">
      <c r="A1961" s="1" t="s">
        <v>751</v>
      </c>
      <c r="B1961" s="1" t="s">
        <v>866</v>
      </c>
      <c r="C1961" s="5">
        <f>DATE(2025, 12, 7) + TIME(10, 47, 51)</f>
        <v>45998.449895833335</v>
      </c>
      <c r="D1961" s="1" t="s">
        <v>459</v>
      </c>
      <c r="E1961" s="1" t="s">
        <v>777</v>
      </c>
    </row>
    <row r="1962" spans="1:5" x14ac:dyDescent="0.2">
      <c r="A1962" s="1" t="s">
        <v>751</v>
      </c>
      <c r="B1962" s="1" t="s">
        <v>526</v>
      </c>
      <c r="C1962" s="5">
        <f>DATE(2025, 12, 4) + TIME(10, 39, 10)</f>
        <v>45995.443865740737</v>
      </c>
      <c r="D1962" s="1" t="s">
        <v>269</v>
      </c>
      <c r="E1962" s="1" t="s">
        <v>778</v>
      </c>
    </row>
    <row r="1963" spans="1:5" x14ac:dyDescent="0.2">
      <c r="A1963" s="1" t="s">
        <v>751</v>
      </c>
      <c r="B1963" s="1" t="s">
        <v>526</v>
      </c>
      <c r="C1963" s="5">
        <f>DATE(2025, 12, 3) + TIME(13, 52, 14)</f>
        <v>45994.577939814815</v>
      </c>
      <c r="D1963" s="1" t="s">
        <v>506</v>
      </c>
      <c r="E1963" s="1" t="s">
        <v>38</v>
      </c>
    </row>
    <row r="1964" spans="1:5" x14ac:dyDescent="0.2">
      <c r="A1964" s="1" t="s">
        <v>751</v>
      </c>
      <c r="B1964" s="1" t="s">
        <v>323</v>
      </c>
      <c r="C1964" s="5">
        <f>DATE(2025, 12, 3) + TIME(13, 33, 23)</f>
        <v>45994.564849537041</v>
      </c>
      <c r="D1964" s="1" t="s">
        <v>563</v>
      </c>
      <c r="E1964" s="1" t="s">
        <v>475</v>
      </c>
    </row>
    <row r="1965" spans="1:5" x14ac:dyDescent="0.2">
      <c r="A1965" s="1" t="s">
        <v>751</v>
      </c>
      <c r="B1965" s="1" t="s">
        <v>526</v>
      </c>
      <c r="C1965" s="5">
        <f>DATE(2025, 12, 2) + TIME(13, 31, 27)</f>
        <v>45993.563506944447</v>
      </c>
      <c r="D1965" s="1" t="s">
        <v>506</v>
      </c>
      <c r="E1965" s="1" t="s">
        <v>421</v>
      </c>
    </row>
    <row r="1966" spans="1:5" x14ac:dyDescent="0.2">
      <c r="A1966" s="1" t="s">
        <v>751</v>
      </c>
      <c r="B1966" s="1" t="s">
        <v>423</v>
      </c>
      <c r="C1966" s="5">
        <f>DATE(2025, 12, 2) + TIME(10, 15, 48)</f>
        <v>45993.42763888889</v>
      </c>
      <c r="D1966" s="1" t="s">
        <v>506</v>
      </c>
      <c r="E1966" s="1" t="s">
        <v>509</v>
      </c>
    </row>
    <row r="1967" spans="1:5" x14ac:dyDescent="0.2">
      <c r="A1967" s="1" t="s">
        <v>751</v>
      </c>
      <c r="B1967" s="1" t="s">
        <v>526</v>
      </c>
      <c r="C1967" s="5">
        <f>DATE(2025, 12, 2) + TIME(9, 13, 59)</f>
        <v>45993.384710648148</v>
      </c>
      <c r="D1967" s="1" t="s">
        <v>467</v>
      </c>
      <c r="E1967" s="1" t="s">
        <v>424</v>
      </c>
    </row>
    <row r="1968" spans="1:5" x14ac:dyDescent="0.2">
      <c r="A1968" s="1" t="s">
        <v>751</v>
      </c>
      <c r="B1968" s="1" t="s">
        <v>526</v>
      </c>
      <c r="C1968" s="5">
        <f>DATE(2025, 12, 1) + TIME(9, 50, 58)</f>
        <v>45992.410393518519</v>
      </c>
      <c r="D1968" s="1" t="s">
        <v>148</v>
      </c>
      <c r="E1968" s="1" t="s">
        <v>600</v>
      </c>
    </row>
    <row r="1969" spans="1:5" x14ac:dyDescent="0.2">
      <c r="A1969" s="1" t="s">
        <v>751</v>
      </c>
      <c r="B1969" s="1" t="s">
        <v>526</v>
      </c>
      <c r="C1969" s="5">
        <f>DATE(2025, 12, 1) + TIME(9, 50, 58)</f>
        <v>45992.410393518519</v>
      </c>
      <c r="D1969" s="1" t="s">
        <v>148</v>
      </c>
      <c r="E1969" s="1" t="s">
        <v>240</v>
      </c>
    </row>
    <row r="1970" spans="1:5" x14ac:dyDescent="0.2">
      <c r="A1970" s="1" t="s">
        <v>751</v>
      </c>
      <c r="B1970" s="1" t="s">
        <v>526</v>
      </c>
      <c r="C1970" s="5">
        <f>DATE(2025, 12, 1) + TIME(9, 45, 22)</f>
        <v>45992.406504629631</v>
      </c>
      <c r="D1970" s="1" t="s">
        <v>921</v>
      </c>
      <c r="E1970" s="1" t="s">
        <v>181</v>
      </c>
    </row>
    <row r="1971" spans="1:5" x14ac:dyDescent="0.2">
      <c r="A1971" s="1" t="s">
        <v>751</v>
      </c>
      <c r="B1971" s="1" t="s">
        <v>526</v>
      </c>
      <c r="C1971" s="5">
        <f>DATE(2025, 11, 26) + TIME(15, 14, 19)</f>
        <v>45987.634942129633</v>
      </c>
      <c r="D1971" s="1" t="s">
        <v>640</v>
      </c>
      <c r="E1971" s="1" t="s">
        <v>834</v>
      </c>
    </row>
    <row r="1972" spans="1:5" x14ac:dyDescent="0.2">
      <c r="A1972" s="1" t="s">
        <v>751</v>
      </c>
      <c r="B1972" s="1" t="s">
        <v>323</v>
      </c>
      <c r="C1972" s="5">
        <f>DATE(2025, 11, 26) + TIME(13, 18, 44)</f>
        <v>45987.554675925923</v>
      </c>
      <c r="D1972" s="1" t="s">
        <v>863</v>
      </c>
      <c r="E1972" s="1" t="s">
        <v>711</v>
      </c>
    </row>
    <row r="1973" spans="1:5" x14ac:dyDescent="0.2">
      <c r="A1973" s="1" t="s">
        <v>751</v>
      </c>
      <c r="B1973" s="1" t="s">
        <v>323</v>
      </c>
      <c r="C1973" s="5">
        <f>DATE(2025, 11, 26) + TIME(13, 18, 43)</f>
        <v>45987.554664351854</v>
      </c>
      <c r="D1973" s="1" t="s">
        <v>863</v>
      </c>
      <c r="E1973" s="1" t="s">
        <v>80</v>
      </c>
    </row>
    <row r="1974" spans="1:5" x14ac:dyDescent="0.2">
      <c r="A1974" s="1" t="s">
        <v>751</v>
      </c>
      <c r="B1974" s="1" t="s">
        <v>644</v>
      </c>
      <c r="C1974" s="5">
        <f>DATE(2025, 11, 26) + TIME(13, 18, 43)</f>
        <v>45987.554664351854</v>
      </c>
      <c r="D1974" s="1" t="s">
        <v>863</v>
      </c>
      <c r="E1974" s="1" t="s">
        <v>711</v>
      </c>
    </row>
    <row r="1975" spans="1:5" x14ac:dyDescent="0.2">
      <c r="A1975" s="1" t="s">
        <v>751</v>
      </c>
      <c r="B1975" s="1" t="s">
        <v>526</v>
      </c>
      <c r="C1975" s="5">
        <f>DATE(2025, 11, 26) + TIME(11, 17, 31)</f>
        <v>45987.470497685186</v>
      </c>
      <c r="D1975" s="1" t="s">
        <v>148</v>
      </c>
      <c r="E1975" s="1" t="s">
        <v>469</v>
      </c>
    </row>
    <row r="1976" spans="1:5" x14ac:dyDescent="0.2">
      <c r="A1976" s="1" t="s">
        <v>751</v>
      </c>
      <c r="B1976" s="1" t="s">
        <v>526</v>
      </c>
      <c r="C1976" s="5">
        <f>DATE(2025, 11, 25) + TIME(11, 53, 21)</f>
        <v>45986.495381944442</v>
      </c>
      <c r="D1976" s="1" t="s">
        <v>148</v>
      </c>
      <c r="E1976" s="1" t="s">
        <v>99</v>
      </c>
    </row>
    <row r="1977" spans="1:5" x14ac:dyDescent="0.2">
      <c r="A1977" s="1" t="s">
        <v>751</v>
      </c>
      <c r="B1977" s="1" t="s">
        <v>526</v>
      </c>
      <c r="C1977" s="5">
        <f>DATE(2025, 11, 25) + TIME(7, 55, 18)</f>
        <v>45986.330069444448</v>
      </c>
      <c r="D1977" s="1" t="s">
        <v>640</v>
      </c>
      <c r="E1977" s="1" t="s">
        <v>426</v>
      </c>
    </row>
    <row r="1978" spans="1:5" x14ac:dyDescent="0.2">
      <c r="A1978" s="1" t="s">
        <v>751</v>
      </c>
      <c r="B1978" s="1" t="s">
        <v>526</v>
      </c>
      <c r="C1978" s="5">
        <f>DATE(2025, 11, 25) + TIME(7, 22, 21)</f>
        <v>45986.307187500002</v>
      </c>
      <c r="D1978" s="1" t="s">
        <v>640</v>
      </c>
      <c r="E1978" s="1" t="s">
        <v>10</v>
      </c>
    </row>
    <row r="1979" spans="1:5" x14ac:dyDescent="0.2">
      <c r="A1979" s="1" t="s">
        <v>751</v>
      </c>
      <c r="B1979" s="1" t="s">
        <v>323</v>
      </c>
      <c r="C1979" s="5">
        <f>DATE(2025, 11, 24) + TIME(10, 29, 38)</f>
        <v>45985.437245370369</v>
      </c>
      <c r="D1979" s="1" t="s">
        <v>506</v>
      </c>
      <c r="E1979" s="1" t="s">
        <v>509</v>
      </c>
    </row>
    <row r="1980" spans="1:5" x14ac:dyDescent="0.2">
      <c r="A1980" s="1" t="s">
        <v>751</v>
      </c>
      <c r="B1980" s="1" t="s">
        <v>323</v>
      </c>
      <c r="C1980" s="5">
        <f>DATE(2025, 11, 24) + TIME(9, 58, 52)</f>
        <v>45985.415879629632</v>
      </c>
      <c r="D1980" s="1" t="s">
        <v>269</v>
      </c>
      <c r="E1980" s="1" t="s">
        <v>588</v>
      </c>
    </row>
    <row r="1981" spans="1:5" x14ac:dyDescent="0.2">
      <c r="A1981" s="1" t="s">
        <v>751</v>
      </c>
      <c r="B1981" s="1" t="s">
        <v>323</v>
      </c>
      <c r="C1981" s="5">
        <f>DATE(2025, 11, 20) + TIME(14, 10, 4)</f>
        <v>45981.590324074074</v>
      </c>
      <c r="D1981" s="1" t="s">
        <v>640</v>
      </c>
      <c r="E1981" s="1" t="s">
        <v>348</v>
      </c>
    </row>
    <row r="1982" spans="1:5" x14ac:dyDescent="0.2">
      <c r="A1982" s="1" t="s">
        <v>751</v>
      </c>
      <c r="B1982" s="1" t="s">
        <v>644</v>
      </c>
      <c r="C1982" s="5">
        <f>DATE(2025, 11, 20) + TIME(14, 10, 4)</f>
        <v>45981.590324074074</v>
      </c>
      <c r="D1982" s="1" t="s">
        <v>640</v>
      </c>
      <c r="E1982" s="1" t="s">
        <v>348</v>
      </c>
    </row>
    <row r="1983" spans="1:5" x14ac:dyDescent="0.2">
      <c r="A1983" s="1" t="s">
        <v>751</v>
      </c>
      <c r="B1983" s="1" t="s">
        <v>644</v>
      </c>
      <c r="C1983" s="5">
        <f>DATE(2025, 11, 20) + TIME(10, 4, 35)</f>
        <v>45981.419849537036</v>
      </c>
      <c r="D1983" s="1" t="s">
        <v>638</v>
      </c>
      <c r="E1983" s="1" t="s">
        <v>172</v>
      </c>
    </row>
    <row r="1984" spans="1:5" x14ac:dyDescent="0.2">
      <c r="A1984" s="1" t="s">
        <v>751</v>
      </c>
      <c r="B1984" s="1" t="s">
        <v>139</v>
      </c>
      <c r="C1984" s="5">
        <f>DATE(2025, 11, 20) + TIME(10, 4, 35)</f>
        <v>45981.419849537036</v>
      </c>
      <c r="D1984" s="1" t="s">
        <v>638</v>
      </c>
      <c r="E1984" s="1" t="s">
        <v>172</v>
      </c>
    </row>
    <row r="1985" spans="1:5" x14ac:dyDescent="0.2">
      <c r="A1985" s="1" t="s">
        <v>751</v>
      </c>
      <c r="B1985" s="1" t="s">
        <v>866</v>
      </c>
      <c r="C1985" s="5">
        <f>DATE(2025, 11, 20) + TIME(10, 4, 35)</f>
        <v>45981.419849537036</v>
      </c>
      <c r="D1985" s="1" t="s">
        <v>638</v>
      </c>
      <c r="E1985" s="1" t="s">
        <v>172</v>
      </c>
    </row>
    <row r="1986" spans="1:5" x14ac:dyDescent="0.2">
      <c r="A1986" s="1" t="s">
        <v>751</v>
      </c>
      <c r="B1986" s="1" t="s">
        <v>323</v>
      </c>
      <c r="C1986" s="5">
        <f>DATE(2025, 11, 20) + TIME(9, 46, 1)</f>
        <v>45981.406956018516</v>
      </c>
      <c r="D1986" s="1" t="s">
        <v>148</v>
      </c>
      <c r="E1986" s="1" t="s">
        <v>756</v>
      </c>
    </row>
    <row r="1987" spans="1:5" x14ac:dyDescent="0.2">
      <c r="A1987" s="1" t="s">
        <v>751</v>
      </c>
      <c r="B1987" s="1" t="s">
        <v>323</v>
      </c>
      <c r="C1987" s="5">
        <f>DATE(2025, 11, 20) + TIME(9, 36, 26)</f>
        <v>45981.400300925925</v>
      </c>
      <c r="D1987" s="1" t="s">
        <v>148</v>
      </c>
      <c r="E1987" s="1" t="s">
        <v>221</v>
      </c>
    </row>
    <row r="1988" spans="1:5" x14ac:dyDescent="0.2">
      <c r="A1988" s="1" t="s">
        <v>751</v>
      </c>
      <c r="B1988" s="1" t="s">
        <v>526</v>
      </c>
      <c r="C1988" s="5">
        <f>DATE(2025, 11, 19) + TIME(14, 46, 5)</f>
        <v>45980.615335648145</v>
      </c>
      <c r="D1988" s="1" t="s">
        <v>566</v>
      </c>
      <c r="E1988" s="1" t="s">
        <v>570</v>
      </c>
    </row>
    <row r="1989" spans="1:5" x14ac:dyDescent="0.2">
      <c r="A1989" s="1" t="s">
        <v>751</v>
      </c>
      <c r="B1989" s="1" t="s">
        <v>526</v>
      </c>
      <c r="C1989" s="5">
        <f>DATE(2025, 11, 19) + TIME(11, 28, 6)</f>
        <v>45980.477847222224</v>
      </c>
      <c r="D1989" s="1" t="s">
        <v>640</v>
      </c>
      <c r="E1989" s="1" t="s">
        <v>658</v>
      </c>
    </row>
    <row r="1990" spans="1:5" x14ac:dyDescent="0.2">
      <c r="A1990" s="1" t="s">
        <v>751</v>
      </c>
      <c r="B1990" s="1" t="s">
        <v>526</v>
      </c>
      <c r="C1990" s="5">
        <f>DATE(2025, 11, 19) + TIME(11, 10, 58)</f>
        <v>45980.465949074074</v>
      </c>
      <c r="D1990" s="1" t="s">
        <v>506</v>
      </c>
      <c r="E1990" s="1" t="s">
        <v>721</v>
      </c>
    </row>
    <row r="1991" spans="1:5" x14ac:dyDescent="0.2">
      <c r="A1991" s="1" t="s">
        <v>751</v>
      </c>
      <c r="B1991" s="1" t="s">
        <v>526</v>
      </c>
      <c r="C1991" s="5">
        <f>DATE(2025, 11, 19) + TIME(10, 36, 52)</f>
        <v>45980.44226851852</v>
      </c>
      <c r="D1991" s="1" t="s">
        <v>148</v>
      </c>
      <c r="E1991" s="1" t="s">
        <v>586</v>
      </c>
    </row>
    <row r="1992" spans="1:5" x14ac:dyDescent="0.2">
      <c r="A1992" s="1" t="s">
        <v>751</v>
      </c>
      <c r="B1992" s="1" t="s">
        <v>526</v>
      </c>
      <c r="C1992" s="5">
        <f>DATE(2025, 11, 19) + TIME(10, 36, 52)</f>
        <v>45980.44226851852</v>
      </c>
      <c r="D1992" s="1" t="s">
        <v>148</v>
      </c>
      <c r="E1992" s="1" t="s">
        <v>891</v>
      </c>
    </row>
    <row r="1993" spans="1:5" x14ac:dyDescent="0.2">
      <c r="A1993" s="1" t="s">
        <v>751</v>
      </c>
      <c r="B1993" s="1" t="s">
        <v>526</v>
      </c>
      <c r="C1993" s="5">
        <f>DATE(2025, 11, 18) + TIME(12, 50, 53)</f>
        <v>45979.53533564815</v>
      </c>
      <c r="D1993" s="1" t="s">
        <v>863</v>
      </c>
      <c r="E1993" s="1" t="s">
        <v>359</v>
      </c>
    </row>
    <row r="1994" spans="1:5" x14ac:dyDescent="0.2">
      <c r="A1994" s="1" t="s">
        <v>751</v>
      </c>
      <c r="B1994" s="1" t="s">
        <v>60</v>
      </c>
      <c r="C1994" s="5">
        <f>DATE(2025, 11, 18) + TIME(11, 57, 56)</f>
        <v>45979.498564814814</v>
      </c>
      <c r="D1994" s="1" t="s">
        <v>863</v>
      </c>
      <c r="E1994" s="1" t="s">
        <v>365</v>
      </c>
    </row>
    <row r="1995" spans="1:5" x14ac:dyDescent="0.2">
      <c r="A1995" s="1" t="s">
        <v>751</v>
      </c>
      <c r="B1995" s="1" t="s">
        <v>526</v>
      </c>
      <c r="C1995" s="5">
        <f>DATE(2025, 11, 18) + TIME(11, 42, 23)</f>
        <v>45979.487766203703</v>
      </c>
      <c r="D1995" s="1" t="s">
        <v>506</v>
      </c>
      <c r="E1995" s="1" t="s">
        <v>525</v>
      </c>
    </row>
    <row r="1996" spans="1:5" x14ac:dyDescent="0.2">
      <c r="A1996" s="1" t="s">
        <v>751</v>
      </c>
      <c r="B1996" s="1" t="s">
        <v>526</v>
      </c>
      <c r="C1996" s="5">
        <f>DATE(2025, 11, 18) + TIME(11, 0, 42)</f>
        <v>45979.458819444444</v>
      </c>
      <c r="D1996" s="1" t="s">
        <v>320</v>
      </c>
      <c r="E1996" s="1" t="s">
        <v>892</v>
      </c>
    </row>
    <row r="1997" spans="1:5" x14ac:dyDescent="0.2">
      <c r="A1997" s="1" t="s">
        <v>751</v>
      </c>
      <c r="B1997" s="1" t="s">
        <v>526</v>
      </c>
      <c r="C1997" s="5">
        <f>DATE(2025, 11, 18) + TIME(10, 51, 49)</f>
        <v>45979.452650462961</v>
      </c>
      <c r="D1997" s="1" t="s">
        <v>921</v>
      </c>
      <c r="E1997" s="1" t="s">
        <v>187</v>
      </c>
    </row>
    <row r="1998" spans="1:5" x14ac:dyDescent="0.2">
      <c r="A1998" s="1" t="s">
        <v>751</v>
      </c>
      <c r="B1998" s="1" t="s">
        <v>323</v>
      </c>
      <c r="C1998" s="5">
        <f>DATE(2025, 11, 18) + TIME(10, 48, 31)</f>
        <v>45979.450358796297</v>
      </c>
      <c r="D1998" s="1" t="s">
        <v>640</v>
      </c>
      <c r="E1998" s="1" t="s">
        <v>780</v>
      </c>
    </row>
    <row r="1999" spans="1:5" x14ac:dyDescent="0.2">
      <c r="A1999" s="1" t="s">
        <v>751</v>
      </c>
      <c r="B1999" s="1" t="s">
        <v>562</v>
      </c>
      <c r="C1999" s="5">
        <f>DATE(2025, 11, 17) + TIME(13, 39, 44)</f>
        <v>45978.56925925926</v>
      </c>
      <c r="D1999" s="1" t="s">
        <v>269</v>
      </c>
      <c r="E1999" s="1" t="s">
        <v>603</v>
      </c>
    </row>
    <row r="2000" spans="1:5" x14ac:dyDescent="0.2">
      <c r="A2000" s="1" t="s">
        <v>751</v>
      </c>
      <c r="B2000" s="1" t="s">
        <v>163</v>
      </c>
      <c r="C2000" s="5">
        <f>DATE(2025, 11, 17) + TIME(9, 23, 17)</f>
        <v>45978.391168981485</v>
      </c>
      <c r="D2000" s="1" t="s">
        <v>640</v>
      </c>
      <c r="E2000" s="1" t="s">
        <v>40</v>
      </c>
    </row>
    <row r="2001" spans="1:5" x14ac:dyDescent="0.2">
      <c r="A2001" s="1" t="s">
        <v>751</v>
      </c>
      <c r="B2001" s="1" t="s">
        <v>866</v>
      </c>
      <c r="C2001" s="5">
        <f>DATE(2025, 11, 13) + TIME(15, 2, 51)</f>
        <v>45974.626979166664</v>
      </c>
      <c r="D2001" s="1" t="s">
        <v>566</v>
      </c>
      <c r="E2001" s="1" t="s">
        <v>481</v>
      </c>
    </row>
    <row r="2002" spans="1:5" x14ac:dyDescent="0.2">
      <c r="A2002" s="1" t="s">
        <v>751</v>
      </c>
      <c r="B2002" s="1" t="s">
        <v>323</v>
      </c>
      <c r="C2002" s="5">
        <f>DATE(2025, 11, 13) + TIME(14, 9, 46)</f>
        <v>45974.590115740742</v>
      </c>
      <c r="D2002" s="1" t="s">
        <v>863</v>
      </c>
      <c r="E2002" s="1" t="s">
        <v>711</v>
      </c>
    </row>
    <row r="2003" spans="1:5" x14ac:dyDescent="0.2">
      <c r="A2003" s="1" t="s">
        <v>751</v>
      </c>
      <c r="B2003" s="1" t="s">
        <v>644</v>
      </c>
      <c r="C2003" s="5">
        <f>DATE(2025, 11, 13) + TIME(14, 9, 45)</f>
        <v>45974.590104166666</v>
      </c>
      <c r="D2003" s="1" t="s">
        <v>863</v>
      </c>
      <c r="E2003" s="1" t="s">
        <v>711</v>
      </c>
    </row>
    <row r="2004" spans="1:5" x14ac:dyDescent="0.2">
      <c r="A2004" s="1" t="s">
        <v>751</v>
      </c>
      <c r="B2004" s="1" t="s">
        <v>526</v>
      </c>
      <c r="C2004" s="5">
        <f>DATE(2025, 11, 13) + TIME(13, 50, 25)</f>
        <v>45974.576678240737</v>
      </c>
      <c r="D2004" s="1" t="s">
        <v>269</v>
      </c>
      <c r="E2004" s="1" t="s">
        <v>299</v>
      </c>
    </row>
    <row r="2005" spans="1:5" x14ac:dyDescent="0.2">
      <c r="A2005" s="1" t="s">
        <v>751</v>
      </c>
      <c r="B2005" s="1" t="s">
        <v>526</v>
      </c>
      <c r="C2005" s="5">
        <f>DATE(2025, 11, 12) + TIME(12, 0, 18)</f>
        <v>45973.500208333331</v>
      </c>
      <c r="D2005" s="1" t="s">
        <v>506</v>
      </c>
      <c r="E2005" s="1" t="s">
        <v>167</v>
      </c>
    </row>
    <row r="2006" spans="1:5" x14ac:dyDescent="0.2">
      <c r="A2006" s="1" t="s">
        <v>751</v>
      </c>
      <c r="B2006" s="1" t="s">
        <v>526</v>
      </c>
      <c r="C2006" s="5">
        <f>DATE(2025, 11, 12) + TIME(8, 41, 57)</f>
        <v>45973.36246527778</v>
      </c>
      <c r="D2006" s="1" t="s">
        <v>65</v>
      </c>
      <c r="E2006" s="1" t="s">
        <v>949</v>
      </c>
    </row>
    <row r="2007" spans="1:5" x14ac:dyDescent="0.2">
      <c r="A2007" s="1" t="s">
        <v>751</v>
      </c>
      <c r="B2007" s="1" t="s">
        <v>526</v>
      </c>
      <c r="C2007" s="5">
        <f>DATE(2025, 11, 11) + TIME(12, 34, 43)</f>
        <v>45972.524108796293</v>
      </c>
      <c r="D2007" s="1" t="s">
        <v>506</v>
      </c>
      <c r="E2007" s="1" t="s">
        <v>819</v>
      </c>
    </row>
    <row r="2008" spans="1:5" x14ac:dyDescent="0.2">
      <c r="A2008" s="1" t="s">
        <v>751</v>
      </c>
      <c r="B2008" s="1" t="s">
        <v>526</v>
      </c>
      <c r="C2008" s="5">
        <f>DATE(2025, 11, 11) + TIME(7, 55, 18)</f>
        <v>45972.330069444448</v>
      </c>
      <c r="D2008" s="1" t="s">
        <v>506</v>
      </c>
      <c r="E2008" s="1" t="s">
        <v>525</v>
      </c>
    </row>
    <row r="2009" spans="1:5" x14ac:dyDescent="0.2">
      <c r="A2009" s="1" t="s">
        <v>751</v>
      </c>
      <c r="B2009" s="1" t="s">
        <v>526</v>
      </c>
      <c r="C2009" s="5">
        <f>DATE(2025, 11, 10) + TIME(11, 1, 36)</f>
        <v>45971.459444444445</v>
      </c>
      <c r="D2009" s="1" t="s">
        <v>506</v>
      </c>
      <c r="E2009" s="1" t="s">
        <v>956</v>
      </c>
    </row>
    <row r="2010" spans="1:5" x14ac:dyDescent="0.2">
      <c r="A2010" s="1" t="s">
        <v>751</v>
      </c>
      <c r="B2010" s="1" t="s">
        <v>526</v>
      </c>
      <c r="C2010" s="5">
        <f>DATE(2025, 11, 10) + TIME(11, 1, 36)</f>
        <v>45971.459444444445</v>
      </c>
      <c r="D2010" s="1" t="s">
        <v>506</v>
      </c>
      <c r="E2010" s="1" t="s">
        <v>710</v>
      </c>
    </row>
    <row r="2011" spans="1:5" x14ac:dyDescent="0.2">
      <c r="A2011" s="1" t="s">
        <v>751</v>
      </c>
      <c r="B2011" s="1" t="s">
        <v>60</v>
      </c>
      <c r="C2011" s="5">
        <f>DATE(2025, 11, 10) + TIME(11, 1, 36)</f>
        <v>45971.459444444445</v>
      </c>
      <c r="D2011" s="1" t="s">
        <v>506</v>
      </c>
      <c r="E2011" s="1" t="s">
        <v>710</v>
      </c>
    </row>
    <row r="2012" spans="1:5" x14ac:dyDescent="0.2">
      <c r="A2012" s="1" t="s">
        <v>751</v>
      </c>
      <c r="B2012" s="1" t="s">
        <v>526</v>
      </c>
      <c r="C2012" s="5">
        <f>DATE(2025, 11, 6) + TIME(16, 20, 9)</f>
        <v>45967.680659722224</v>
      </c>
      <c r="D2012" s="1" t="s">
        <v>269</v>
      </c>
      <c r="E2012" s="1" t="s">
        <v>778</v>
      </c>
    </row>
    <row r="2013" spans="1:5" x14ac:dyDescent="0.2">
      <c r="A2013" s="1" t="s">
        <v>751</v>
      </c>
      <c r="B2013" s="1" t="s">
        <v>644</v>
      </c>
      <c r="C2013" s="5">
        <f>DATE(2025, 11, 6) + TIME(13, 16, 40)</f>
        <v>45967.553240740737</v>
      </c>
      <c r="D2013" s="1" t="s">
        <v>148</v>
      </c>
      <c r="E2013" s="1" t="s">
        <v>221</v>
      </c>
    </row>
    <row r="2014" spans="1:5" x14ac:dyDescent="0.2">
      <c r="A2014" s="1" t="s">
        <v>751</v>
      </c>
      <c r="B2014" s="1" t="s">
        <v>526</v>
      </c>
      <c r="C2014" s="5">
        <f>DATE(2025, 11, 6) + TIME(12, 55, 53)</f>
        <v>45967.538807870369</v>
      </c>
      <c r="D2014" s="1" t="s">
        <v>269</v>
      </c>
      <c r="E2014" s="1" t="s">
        <v>487</v>
      </c>
    </row>
    <row r="2015" spans="1:5" x14ac:dyDescent="0.2">
      <c r="A2015" s="1" t="s">
        <v>751</v>
      </c>
      <c r="B2015" s="1" t="s">
        <v>526</v>
      </c>
      <c r="C2015" s="5">
        <f>DATE(2025, 11, 6) + TIME(11, 32, 39)</f>
        <v>45967.481006944443</v>
      </c>
      <c r="D2015" s="1" t="s">
        <v>506</v>
      </c>
      <c r="E2015" s="1" t="s">
        <v>488</v>
      </c>
    </row>
    <row r="2016" spans="1:5" x14ac:dyDescent="0.2">
      <c r="A2016" s="1" t="s">
        <v>751</v>
      </c>
      <c r="B2016" s="1" t="s">
        <v>526</v>
      </c>
      <c r="C2016" s="5">
        <f>DATE(2025, 11, 6) + TIME(11, 13, 47)</f>
        <v>45967.467905092592</v>
      </c>
      <c r="D2016" s="1" t="s">
        <v>269</v>
      </c>
      <c r="E2016" s="1" t="s">
        <v>778</v>
      </c>
    </row>
    <row r="2017" spans="1:5" x14ac:dyDescent="0.2">
      <c r="A2017" s="1" t="s">
        <v>751</v>
      </c>
      <c r="B2017" s="1" t="s">
        <v>526</v>
      </c>
      <c r="C2017" s="5">
        <f>DATE(2025, 11, 6) + TIME(11, 13, 47)</f>
        <v>45967.467905092592</v>
      </c>
      <c r="D2017" s="1" t="s">
        <v>269</v>
      </c>
      <c r="E2017" s="1" t="s">
        <v>604</v>
      </c>
    </row>
    <row r="2018" spans="1:5" x14ac:dyDescent="0.2">
      <c r="A2018" s="1" t="s">
        <v>751</v>
      </c>
      <c r="B2018" s="1" t="s">
        <v>644</v>
      </c>
      <c r="C2018" s="5">
        <f>DATE(2025, 11, 6) + TIME(8, 22, 51)</f>
        <v>45967.34920138889</v>
      </c>
      <c r="D2018" s="1" t="s">
        <v>144</v>
      </c>
      <c r="E2018" s="1" t="s">
        <v>293</v>
      </c>
    </row>
    <row r="2019" spans="1:5" x14ac:dyDescent="0.2">
      <c r="A2019" s="1" t="s">
        <v>751</v>
      </c>
      <c r="B2019" s="1" t="s">
        <v>723</v>
      </c>
      <c r="C2019" s="5">
        <f>DATE(2025, 11, 6) + TIME(8, 22, 51)</f>
        <v>45967.34920138889</v>
      </c>
      <c r="D2019" s="1" t="s">
        <v>144</v>
      </c>
      <c r="E2019" s="1" t="s">
        <v>293</v>
      </c>
    </row>
    <row r="2020" spans="1:5" x14ac:dyDescent="0.2">
      <c r="A2020" s="1" t="s">
        <v>751</v>
      </c>
      <c r="B2020" s="1" t="s">
        <v>323</v>
      </c>
      <c r="C2020" s="5">
        <f>DATE(2025, 11, 6) + TIME(8, 22, 51)</f>
        <v>45967.34920138889</v>
      </c>
      <c r="D2020" s="1" t="s">
        <v>144</v>
      </c>
      <c r="E2020" s="1" t="s">
        <v>293</v>
      </c>
    </row>
    <row r="2021" spans="1:5" x14ac:dyDescent="0.2">
      <c r="A2021" s="1" t="s">
        <v>751</v>
      </c>
      <c r="B2021" s="1" t="s">
        <v>526</v>
      </c>
      <c r="C2021" s="5">
        <f>DATE(2025, 11, 5) + TIME(14, 53, 15)</f>
        <v>45966.620312500003</v>
      </c>
      <c r="D2021" s="1" t="s">
        <v>269</v>
      </c>
      <c r="E2021" s="1" t="s">
        <v>783</v>
      </c>
    </row>
    <row r="2022" spans="1:5" x14ac:dyDescent="0.2">
      <c r="A2022" s="1" t="s">
        <v>751</v>
      </c>
      <c r="B2022" s="1" t="s">
        <v>526</v>
      </c>
      <c r="C2022" s="5">
        <f>DATE(2025, 11, 5) + TIME(14, 52, 54)</f>
        <v>45966.620069444441</v>
      </c>
      <c r="D2022" s="1" t="s">
        <v>269</v>
      </c>
      <c r="E2022" s="1" t="s">
        <v>653</v>
      </c>
    </row>
    <row r="2023" spans="1:5" x14ac:dyDescent="0.2">
      <c r="A2023" s="1" t="s">
        <v>751</v>
      </c>
      <c r="B2023" s="1" t="s">
        <v>526</v>
      </c>
      <c r="C2023" s="5">
        <f>DATE(2025, 11, 5) + TIME(14, 52, 54)</f>
        <v>45966.620069444441</v>
      </c>
      <c r="D2023" s="1" t="s">
        <v>269</v>
      </c>
      <c r="E2023" s="1" t="s">
        <v>784</v>
      </c>
    </row>
    <row r="2024" spans="1:5" x14ac:dyDescent="0.2">
      <c r="A2024" s="1" t="s">
        <v>751</v>
      </c>
      <c r="B2024" s="1" t="s">
        <v>526</v>
      </c>
      <c r="C2024" s="5">
        <f>DATE(2025, 11, 5) + TIME(11, 48, 23)</f>
        <v>45966.491932870369</v>
      </c>
      <c r="D2024" s="1" t="s">
        <v>269</v>
      </c>
      <c r="E2024" s="1" t="s">
        <v>189</v>
      </c>
    </row>
    <row r="2025" spans="1:5" x14ac:dyDescent="0.2">
      <c r="A2025" s="1" t="s">
        <v>751</v>
      </c>
      <c r="B2025" s="1" t="s">
        <v>526</v>
      </c>
      <c r="C2025" s="5">
        <f>DATE(2025, 11, 5) + TIME(10, 38, 32)</f>
        <v>45966.443425925929</v>
      </c>
      <c r="D2025" s="1" t="s">
        <v>269</v>
      </c>
      <c r="E2025" s="1" t="s">
        <v>725</v>
      </c>
    </row>
    <row r="2026" spans="1:5" x14ac:dyDescent="0.2">
      <c r="A2026" s="1" t="s">
        <v>751</v>
      </c>
      <c r="B2026" s="1" t="s">
        <v>526</v>
      </c>
      <c r="C2026" s="5">
        <f>DATE(2025, 11, 5) + TIME(10, 10, 15)</f>
        <v>45966.423784722225</v>
      </c>
      <c r="D2026" s="1" t="s">
        <v>65</v>
      </c>
      <c r="E2026" s="1" t="s">
        <v>949</v>
      </c>
    </row>
    <row r="2027" spans="1:5" x14ac:dyDescent="0.2">
      <c r="A2027" s="1" t="s">
        <v>751</v>
      </c>
      <c r="B2027" s="1" t="s">
        <v>526</v>
      </c>
      <c r="C2027" s="5">
        <f>DATE(2025, 11, 5) + TIME(9, 10, 10)</f>
        <v>45966.382060185184</v>
      </c>
      <c r="D2027" s="1" t="s">
        <v>269</v>
      </c>
      <c r="E2027" s="1" t="s">
        <v>588</v>
      </c>
    </row>
    <row r="2028" spans="1:5" x14ac:dyDescent="0.2">
      <c r="A2028" s="1" t="s">
        <v>751</v>
      </c>
      <c r="B2028" s="1" t="s">
        <v>526</v>
      </c>
      <c r="C2028" s="5">
        <f>DATE(2025, 11, 5) + TIME(8, 26, 38)</f>
        <v>45966.3518287037</v>
      </c>
      <c r="D2028" s="1" t="s">
        <v>506</v>
      </c>
      <c r="E2028" s="1" t="s">
        <v>244</v>
      </c>
    </row>
    <row r="2029" spans="1:5" x14ac:dyDescent="0.2">
      <c r="A2029" s="1" t="s">
        <v>751</v>
      </c>
      <c r="B2029" s="1" t="s">
        <v>526</v>
      </c>
      <c r="C2029" s="5">
        <f>DATE(2025, 11, 5) + TIME(8, 3, 25)</f>
        <v>45966.335706018515</v>
      </c>
      <c r="D2029" s="1" t="s">
        <v>65</v>
      </c>
      <c r="E2029" s="1" t="s">
        <v>772</v>
      </c>
    </row>
    <row r="2030" spans="1:5" x14ac:dyDescent="0.2">
      <c r="A2030" s="1" t="s">
        <v>751</v>
      </c>
      <c r="B2030" s="1" t="s">
        <v>526</v>
      </c>
      <c r="C2030" s="5">
        <f>DATE(2025, 11, 5) + TIME(6, 24, 55)</f>
        <v>45966.26730324074</v>
      </c>
      <c r="D2030" s="1" t="s">
        <v>65</v>
      </c>
      <c r="E2030" s="1" t="s">
        <v>302</v>
      </c>
    </row>
    <row r="2031" spans="1:5" x14ac:dyDescent="0.2">
      <c r="A2031" s="1" t="s">
        <v>751</v>
      </c>
      <c r="B2031" s="1" t="s">
        <v>526</v>
      </c>
      <c r="C2031" s="5">
        <f>DATE(2025, 11, 4) + TIME(14, 16, 57)</f>
        <v>45965.595104166663</v>
      </c>
      <c r="D2031" s="1" t="s">
        <v>640</v>
      </c>
      <c r="E2031" s="1" t="s">
        <v>605</v>
      </c>
    </row>
    <row r="2032" spans="1:5" x14ac:dyDescent="0.2">
      <c r="A2032" s="1" t="s">
        <v>751</v>
      </c>
      <c r="B2032" s="1" t="s">
        <v>526</v>
      </c>
      <c r="C2032" s="5">
        <f>DATE(2025, 11, 4) + TIME(14, 16, 57)</f>
        <v>45965.595104166663</v>
      </c>
      <c r="D2032" s="1" t="s">
        <v>640</v>
      </c>
      <c r="E2032" s="1" t="s">
        <v>957</v>
      </c>
    </row>
    <row r="2033" spans="1:5" x14ac:dyDescent="0.2">
      <c r="A2033" s="1" t="s">
        <v>751</v>
      </c>
      <c r="B2033" s="1" t="s">
        <v>526</v>
      </c>
      <c r="C2033" s="5">
        <f>DATE(2025, 11, 4) + TIME(14, 14, 4)</f>
        <v>45965.593101851853</v>
      </c>
      <c r="D2033" s="1" t="s">
        <v>640</v>
      </c>
      <c r="E2033" s="1" t="s">
        <v>726</v>
      </c>
    </row>
    <row r="2034" spans="1:5" x14ac:dyDescent="0.2">
      <c r="A2034" s="1" t="s">
        <v>751</v>
      </c>
      <c r="B2034" s="1" t="s">
        <v>526</v>
      </c>
      <c r="C2034" s="5">
        <f>DATE(2025, 11, 4) + TIME(11, 42, 23)</f>
        <v>45965.487766203703</v>
      </c>
      <c r="D2034" s="1" t="s">
        <v>320</v>
      </c>
      <c r="E2034" s="1" t="s">
        <v>105</v>
      </c>
    </row>
    <row r="2035" spans="1:5" x14ac:dyDescent="0.2">
      <c r="A2035" s="1" t="s">
        <v>751</v>
      </c>
      <c r="B2035" s="1" t="s">
        <v>526</v>
      </c>
      <c r="C2035" s="5">
        <f>DATE(2025, 11, 4) + TIME(11, 26, 38)</f>
        <v>45965.4768287037</v>
      </c>
      <c r="D2035" s="1" t="s">
        <v>398</v>
      </c>
      <c r="E2035" s="1" t="s">
        <v>543</v>
      </c>
    </row>
    <row r="2036" spans="1:5" x14ac:dyDescent="0.2">
      <c r="A2036" s="1" t="s">
        <v>751</v>
      </c>
      <c r="B2036" s="1" t="s">
        <v>526</v>
      </c>
      <c r="C2036" s="5">
        <f>DATE(2025, 11, 4) + TIME(10, 33, 12)</f>
        <v>45965.439722222225</v>
      </c>
      <c r="D2036" s="1" t="s">
        <v>640</v>
      </c>
      <c r="E2036" s="1" t="s">
        <v>780</v>
      </c>
    </row>
    <row r="2037" spans="1:5" x14ac:dyDescent="0.2">
      <c r="A2037" s="1" t="s">
        <v>751</v>
      </c>
      <c r="B2037" s="1" t="s">
        <v>526</v>
      </c>
      <c r="C2037" s="5">
        <f>DATE(2025, 11, 4) + TIME(10, 29, 20)</f>
        <v>45965.437037037038</v>
      </c>
      <c r="D2037" s="1" t="s">
        <v>65</v>
      </c>
      <c r="E2037" s="1" t="s">
        <v>785</v>
      </c>
    </row>
    <row r="2038" spans="1:5" x14ac:dyDescent="0.2">
      <c r="A2038" s="1" t="s">
        <v>751</v>
      </c>
      <c r="B2038" s="1" t="s">
        <v>526</v>
      </c>
      <c r="C2038" s="5">
        <f>DATE(2025, 11, 3) + TIME(9, 50, 10)</f>
        <v>45964.409837962965</v>
      </c>
      <c r="D2038" s="1" t="s">
        <v>506</v>
      </c>
      <c r="E2038" s="1" t="s">
        <v>710</v>
      </c>
    </row>
    <row r="2039" spans="1:5" x14ac:dyDescent="0.2">
      <c r="A2039" s="1" t="s">
        <v>751</v>
      </c>
      <c r="B2039" s="1" t="s">
        <v>60</v>
      </c>
      <c r="C2039" s="5">
        <f>DATE(2025, 10, 29) + TIME(13, 38, 30)</f>
        <v>45959.568402777775</v>
      </c>
      <c r="D2039" s="1" t="s">
        <v>921</v>
      </c>
      <c r="E2039" s="1" t="s">
        <v>185</v>
      </c>
    </row>
    <row r="2040" spans="1:5" x14ac:dyDescent="0.2">
      <c r="A2040" s="1" t="s">
        <v>751</v>
      </c>
      <c r="B2040" s="1" t="s">
        <v>141</v>
      </c>
      <c r="C2040" s="5">
        <f>DATE(2025, 10, 29) + TIME(12, 3, 37)</f>
        <v>45959.502511574072</v>
      </c>
      <c r="D2040" s="1" t="s">
        <v>566</v>
      </c>
      <c r="E2040" s="1" t="s">
        <v>570</v>
      </c>
    </row>
    <row r="2041" spans="1:5" x14ac:dyDescent="0.2">
      <c r="A2041" s="1" t="s">
        <v>751</v>
      </c>
      <c r="B2041" s="1" t="s">
        <v>866</v>
      </c>
      <c r="C2041" s="5">
        <f>DATE(2025, 10, 29) + TIME(9, 54, 32)</f>
        <v>45959.412870370368</v>
      </c>
      <c r="D2041" s="1" t="s">
        <v>506</v>
      </c>
      <c r="E2041" s="1" t="s">
        <v>167</v>
      </c>
    </row>
    <row r="2042" spans="1:5" x14ac:dyDescent="0.2">
      <c r="A2042" s="1" t="s">
        <v>751</v>
      </c>
      <c r="B2042" s="1" t="s">
        <v>60</v>
      </c>
      <c r="C2042" s="5">
        <f>DATE(2025, 10, 28) + TIME(12, 10, 46)</f>
        <v>45958.507476851853</v>
      </c>
      <c r="D2042" s="1" t="s">
        <v>863</v>
      </c>
      <c r="E2042" s="1" t="s">
        <v>365</v>
      </c>
    </row>
    <row r="2043" spans="1:5" x14ac:dyDescent="0.2">
      <c r="A2043" s="1" t="s">
        <v>751</v>
      </c>
      <c r="B2043" s="1" t="s">
        <v>526</v>
      </c>
      <c r="C2043" s="5">
        <f>DATE(2025, 10, 27) + TIME(14, 42, 7)</f>
        <v>45957.612581018519</v>
      </c>
      <c r="D2043" s="1" t="s">
        <v>216</v>
      </c>
      <c r="E2043" s="1" t="s">
        <v>756</v>
      </c>
    </row>
    <row r="2044" spans="1:5" x14ac:dyDescent="0.2">
      <c r="A2044" s="1" t="s">
        <v>751</v>
      </c>
      <c r="B2044" s="1" t="s">
        <v>60</v>
      </c>
      <c r="C2044" s="5">
        <f>DATE(2025, 10, 23) + TIME(13, 21, 24)</f>
        <v>45953.556527777779</v>
      </c>
      <c r="D2044" s="1" t="s">
        <v>863</v>
      </c>
      <c r="E2044" s="1" t="s">
        <v>711</v>
      </c>
    </row>
    <row r="2045" spans="1:5" x14ac:dyDescent="0.2">
      <c r="A2045" s="1" t="s">
        <v>751</v>
      </c>
      <c r="B2045" s="1" t="s">
        <v>60</v>
      </c>
      <c r="C2045" s="5">
        <f>DATE(2025, 10, 23) + TIME(13, 21, 23)</f>
        <v>45953.556516203702</v>
      </c>
      <c r="D2045" s="1" t="s">
        <v>863</v>
      </c>
      <c r="E2045" s="1" t="s">
        <v>80</v>
      </c>
    </row>
    <row r="2046" spans="1:5" x14ac:dyDescent="0.2">
      <c r="A2046" s="1" t="s">
        <v>751</v>
      </c>
      <c r="B2046" s="1" t="s">
        <v>60</v>
      </c>
      <c r="C2046" s="5">
        <f>DATE(2025, 10, 23) + TIME(13, 21, 23)</f>
        <v>45953.556516203702</v>
      </c>
      <c r="D2046" s="1" t="s">
        <v>863</v>
      </c>
      <c r="E2046" s="1" t="s">
        <v>711</v>
      </c>
    </row>
    <row r="2047" spans="1:5" x14ac:dyDescent="0.2">
      <c r="A2047" s="1" t="s">
        <v>751</v>
      </c>
      <c r="B2047" s="1" t="s">
        <v>60</v>
      </c>
      <c r="C2047" s="5">
        <f>DATE(2025, 10, 23) + TIME(9, 41, 13)</f>
        <v>45953.403622685182</v>
      </c>
      <c r="D2047" s="1" t="s">
        <v>216</v>
      </c>
      <c r="E2047" s="1" t="s">
        <v>610</v>
      </c>
    </row>
    <row r="2048" spans="1:5" x14ac:dyDescent="0.2">
      <c r="A2048" s="1" t="s">
        <v>751</v>
      </c>
      <c r="B2048" s="1" t="s">
        <v>664</v>
      </c>
      <c r="C2048" s="5">
        <f>DATE(2025, 10, 15) + TIME(12, 43, 51)</f>
        <v>45945.530451388891</v>
      </c>
      <c r="D2048" s="1" t="s">
        <v>563</v>
      </c>
      <c r="E2048" s="1" t="s">
        <v>475</v>
      </c>
    </row>
    <row r="2049" spans="1:5" x14ac:dyDescent="0.2">
      <c r="A2049" s="1" t="s">
        <v>751</v>
      </c>
      <c r="B2049" s="1" t="s">
        <v>664</v>
      </c>
      <c r="C2049" s="5">
        <f>DATE(2025, 10, 15) + TIME(9, 9, 19)</f>
        <v>45945.381469907406</v>
      </c>
      <c r="D2049" s="1" t="s">
        <v>563</v>
      </c>
      <c r="E2049" s="1" t="s">
        <v>68</v>
      </c>
    </row>
    <row r="2050" spans="1:5" x14ac:dyDescent="0.2">
      <c r="A2050" s="1" t="s">
        <v>751</v>
      </c>
      <c r="B2050" s="1" t="s">
        <v>526</v>
      </c>
      <c r="C2050" s="5">
        <f>DATE(2025, 10, 13) + TIME(7, 34, 21)</f>
        <v>45943.315520833334</v>
      </c>
      <c r="D2050" s="1" t="s">
        <v>65</v>
      </c>
      <c r="E2050" s="1" t="s">
        <v>45</v>
      </c>
    </row>
    <row r="2051" spans="1:5" x14ac:dyDescent="0.2">
      <c r="A2051" s="1" t="s">
        <v>751</v>
      </c>
      <c r="B2051" s="1" t="s">
        <v>664</v>
      </c>
      <c r="C2051" s="5">
        <f>DATE(2025, 10, 9) + TIME(11, 59, 1)</f>
        <v>45939.49931712963</v>
      </c>
      <c r="D2051" s="1" t="s">
        <v>3</v>
      </c>
      <c r="E2051" s="1" t="s">
        <v>481</v>
      </c>
    </row>
    <row r="2052" spans="1:5" x14ac:dyDescent="0.2">
      <c r="A2052" s="1" t="s">
        <v>751</v>
      </c>
      <c r="B2052" s="1" t="s">
        <v>231</v>
      </c>
      <c r="C2052" s="5">
        <f>DATE(2025, 10, 8) + TIME(7, 40, 23)</f>
        <v>45938.319710648146</v>
      </c>
      <c r="D2052" s="1" t="s">
        <v>640</v>
      </c>
      <c r="E2052" s="1" t="s">
        <v>10</v>
      </c>
    </row>
    <row r="2053" spans="1:5" x14ac:dyDescent="0.2">
      <c r="A2053" s="1" t="s">
        <v>751</v>
      </c>
      <c r="B2053" s="1" t="s">
        <v>371</v>
      </c>
      <c r="C2053" s="5">
        <f>DATE(2025, 10, 7) + TIME(8, 37, 24)</f>
        <v>45937.359305555554</v>
      </c>
      <c r="D2053" s="1" t="s">
        <v>320</v>
      </c>
      <c r="E2053" s="1" t="s">
        <v>115</v>
      </c>
    </row>
    <row r="2054" spans="1:5" x14ac:dyDescent="0.2">
      <c r="A2054" s="1" t="s">
        <v>751</v>
      </c>
      <c r="B2054" s="1" t="s">
        <v>526</v>
      </c>
      <c r="C2054" s="5">
        <f>DATE(2025, 10, 6) + TIME(9, 25, 54)</f>
        <v>45936.39298611111</v>
      </c>
      <c r="D2054" s="1" t="s">
        <v>3</v>
      </c>
      <c r="E2054" s="1" t="s">
        <v>89</v>
      </c>
    </row>
    <row r="2055" spans="1:5" x14ac:dyDescent="0.2">
      <c r="A2055" s="1" t="s">
        <v>751</v>
      </c>
      <c r="B2055" s="1" t="s">
        <v>642</v>
      </c>
      <c r="C2055" s="5">
        <f>DATE(2025, 10, 2) + TIME(14, 33, 46)</f>
        <v>45932.606782407405</v>
      </c>
      <c r="D2055" s="1" t="s">
        <v>320</v>
      </c>
      <c r="E2055" s="1" t="s">
        <v>689</v>
      </c>
    </row>
    <row r="2056" spans="1:5" x14ac:dyDescent="0.2">
      <c r="A2056" s="1" t="s">
        <v>751</v>
      </c>
      <c r="B2056" s="1" t="s">
        <v>60</v>
      </c>
      <c r="C2056" s="5">
        <f>DATE(2025, 10, 2) + TIME(13, 44, 11)</f>
        <v>45932.57234953704</v>
      </c>
      <c r="D2056" s="1" t="s">
        <v>863</v>
      </c>
      <c r="E2056" s="1" t="s">
        <v>711</v>
      </c>
    </row>
    <row r="2057" spans="1:5" x14ac:dyDescent="0.2">
      <c r="A2057" s="1" t="s">
        <v>751</v>
      </c>
      <c r="B2057" s="1" t="s">
        <v>642</v>
      </c>
      <c r="C2057" s="5">
        <f>DATE(2025, 10, 2) + TIME(11, 31, 16)</f>
        <v>45932.480046296296</v>
      </c>
      <c r="D2057" s="1" t="s">
        <v>638</v>
      </c>
      <c r="E2057" s="1" t="s">
        <v>172</v>
      </c>
    </row>
    <row r="2058" spans="1:5" x14ac:dyDescent="0.2">
      <c r="A2058" s="1" t="s">
        <v>751</v>
      </c>
      <c r="B2058" s="1" t="s">
        <v>526</v>
      </c>
      <c r="C2058" s="5">
        <f>DATE(2025, 10, 2) + TIME(10, 17, 52)</f>
        <v>45932.429074074076</v>
      </c>
      <c r="D2058" s="1" t="s">
        <v>750</v>
      </c>
      <c r="E2058" s="1" t="s">
        <v>693</v>
      </c>
    </row>
    <row r="2059" spans="1:5" x14ac:dyDescent="0.2">
      <c r="A2059" s="1" t="s">
        <v>751</v>
      </c>
      <c r="B2059" s="1" t="s">
        <v>526</v>
      </c>
      <c r="C2059" s="5">
        <f>DATE(2025, 9, 30) + TIME(7, 45, 19)</f>
        <v>45930.323136574072</v>
      </c>
      <c r="D2059" s="1" t="s">
        <v>65</v>
      </c>
      <c r="E2059" s="1" t="s">
        <v>495</v>
      </c>
    </row>
    <row r="2060" spans="1:5" x14ac:dyDescent="0.2">
      <c r="A2060" s="1" t="s">
        <v>751</v>
      </c>
      <c r="B2060" s="1" t="s">
        <v>526</v>
      </c>
      <c r="C2060" s="5">
        <f>DATE(2025, 9, 29) + TIME(10, 5, 41)</f>
        <v>45929.420613425929</v>
      </c>
      <c r="D2060" s="1" t="s">
        <v>320</v>
      </c>
      <c r="E2060" s="1" t="s">
        <v>736</v>
      </c>
    </row>
    <row r="2061" spans="1:5" x14ac:dyDescent="0.2">
      <c r="A2061" s="1" t="s">
        <v>751</v>
      </c>
      <c r="B2061" s="1" t="s">
        <v>526</v>
      </c>
      <c r="C2061" s="5">
        <f>DATE(2025, 9, 29) + TIME(6, 54, 13)</f>
        <v>45929.28765046296</v>
      </c>
      <c r="D2061" s="1" t="s">
        <v>65</v>
      </c>
      <c r="E2061" s="1" t="s">
        <v>45</v>
      </c>
    </row>
    <row r="2062" spans="1:5" x14ac:dyDescent="0.2">
      <c r="A2062" s="1" t="s">
        <v>751</v>
      </c>
      <c r="B2062" s="1" t="s">
        <v>707</v>
      </c>
      <c r="C2062" s="5">
        <f>DATE(2025, 9, 25) + TIME(15, 48, 42)</f>
        <v>45925.658819444441</v>
      </c>
      <c r="D2062" s="1" t="s">
        <v>356</v>
      </c>
      <c r="E2062" s="1" t="s">
        <v>284</v>
      </c>
    </row>
    <row r="2063" spans="1:5" x14ac:dyDescent="0.2">
      <c r="A2063" s="1" t="s">
        <v>751</v>
      </c>
      <c r="B2063" s="1" t="s">
        <v>664</v>
      </c>
      <c r="C2063" s="5">
        <f>DATE(2025, 9, 25) + TIME(14, 51, 0)</f>
        <v>45925.618750000001</v>
      </c>
      <c r="D2063" s="1" t="s">
        <v>356</v>
      </c>
      <c r="E2063" s="1" t="s">
        <v>232</v>
      </c>
    </row>
    <row r="2064" spans="1:5" x14ac:dyDescent="0.2">
      <c r="A2064" s="1" t="s">
        <v>751</v>
      </c>
      <c r="B2064" s="1" t="s">
        <v>707</v>
      </c>
      <c r="C2064" s="5">
        <f>DATE(2025, 9, 25) + TIME(14, 51, 0)</f>
        <v>45925.618750000001</v>
      </c>
      <c r="D2064" s="1" t="s">
        <v>356</v>
      </c>
      <c r="E2064" s="1" t="s">
        <v>232</v>
      </c>
    </row>
    <row r="2065" spans="1:5" x14ac:dyDescent="0.2">
      <c r="A2065" s="1" t="s">
        <v>751</v>
      </c>
      <c r="B2065" s="1" t="s">
        <v>22</v>
      </c>
      <c r="C2065" s="5">
        <f>DATE(2025, 9, 25) + TIME(13, 57, 14)</f>
        <v>45925.581412037034</v>
      </c>
      <c r="D2065" s="1" t="s">
        <v>863</v>
      </c>
      <c r="E2065" s="1" t="s">
        <v>711</v>
      </c>
    </row>
    <row r="2066" spans="1:5" x14ac:dyDescent="0.2">
      <c r="A2066" s="1" t="s">
        <v>751</v>
      </c>
      <c r="B2066" s="1" t="s">
        <v>866</v>
      </c>
      <c r="C2066" s="5">
        <f>DATE(2025, 9, 25) + TIME(13, 30, 21)</f>
        <v>45925.562743055554</v>
      </c>
      <c r="D2066" s="1" t="s">
        <v>863</v>
      </c>
      <c r="E2066" s="1" t="s">
        <v>711</v>
      </c>
    </row>
    <row r="2067" spans="1:5" x14ac:dyDescent="0.2">
      <c r="A2067" s="1" t="s">
        <v>751</v>
      </c>
      <c r="B2067" s="1" t="s">
        <v>526</v>
      </c>
      <c r="C2067" s="5">
        <f>DATE(2025, 9, 24) + TIME(12, 9, 45)</f>
        <v>45924.50677083333</v>
      </c>
      <c r="D2067" s="1" t="s">
        <v>148</v>
      </c>
      <c r="E2067" s="1" t="s">
        <v>961</v>
      </c>
    </row>
    <row r="2068" spans="1:5" x14ac:dyDescent="0.2">
      <c r="A2068" s="1" t="s">
        <v>751</v>
      </c>
      <c r="B2068" s="1" t="s">
        <v>866</v>
      </c>
      <c r="C2068" s="5">
        <f>DATE(2025, 9, 23) + TIME(14, 1, 39)</f>
        <v>45923.584479166668</v>
      </c>
      <c r="D2068" s="1" t="s">
        <v>563</v>
      </c>
      <c r="E2068" s="1" t="s">
        <v>68</v>
      </c>
    </row>
    <row r="2069" spans="1:5" x14ac:dyDescent="0.2">
      <c r="A2069" s="1" t="s">
        <v>751</v>
      </c>
      <c r="B2069" s="1" t="s">
        <v>866</v>
      </c>
      <c r="C2069" s="5">
        <f>DATE(2025, 9, 23) + TIME(14, 1, 7)</f>
        <v>45923.584108796298</v>
      </c>
      <c r="D2069" s="1" t="s">
        <v>563</v>
      </c>
      <c r="E2069" s="1" t="s">
        <v>475</v>
      </c>
    </row>
    <row r="2070" spans="1:5" x14ac:dyDescent="0.2">
      <c r="A2070" s="1" t="s">
        <v>751</v>
      </c>
      <c r="B2070" s="1" t="s">
        <v>141</v>
      </c>
      <c r="C2070" s="5">
        <f>DATE(2025, 9, 18) + TIME(14, 7, 59)</f>
        <v>45918.588877314818</v>
      </c>
      <c r="D2070" s="1" t="s">
        <v>863</v>
      </c>
      <c r="E2070" s="1" t="s">
        <v>80</v>
      </c>
    </row>
    <row r="2071" spans="1:5" x14ac:dyDescent="0.2">
      <c r="A2071" s="1" t="s">
        <v>751</v>
      </c>
      <c r="B2071" s="1" t="s">
        <v>707</v>
      </c>
      <c r="C2071" s="5">
        <f>DATE(2025, 9, 18) + TIME(4, 36, 8)</f>
        <v>45918.191759259258</v>
      </c>
      <c r="D2071" s="1" t="s">
        <v>3</v>
      </c>
      <c r="E2071" s="1" t="s">
        <v>515</v>
      </c>
    </row>
    <row r="2072" spans="1:5" x14ac:dyDescent="0.2">
      <c r="A2072" s="1" t="s">
        <v>751</v>
      </c>
      <c r="B2072" s="1" t="s">
        <v>963</v>
      </c>
      <c r="C2072" s="5">
        <f>DATE(2025, 9, 10) + TIME(15, 41, 43)</f>
        <v>45910.653969907406</v>
      </c>
      <c r="D2072" s="1" t="s">
        <v>3</v>
      </c>
      <c r="E2072" s="1" t="s">
        <v>515</v>
      </c>
    </row>
    <row r="2073" spans="1:5" x14ac:dyDescent="0.2">
      <c r="A2073" s="1" t="s">
        <v>751</v>
      </c>
      <c r="B2073" s="1" t="s">
        <v>866</v>
      </c>
      <c r="C2073" s="5">
        <f>DATE(2025, 9, 9) + TIME(8, 54, 43)</f>
        <v>45909.371331018519</v>
      </c>
      <c r="D2073" s="1" t="s">
        <v>640</v>
      </c>
      <c r="E2073" s="1" t="s">
        <v>426</v>
      </c>
    </row>
    <row r="2074" spans="1:5" x14ac:dyDescent="0.2">
      <c r="A2074" s="1" t="s">
        <v>751</v>
      </c>
      <c r="B2074" s="1" t="s">
        <v>664</v>
      </c>
      <c r="C2074" s="5">
        <f>DATE(2025, 9, 9) + TIME(7, 57, 14)</f>
        <v>45909.331412037034</v>
      </c>
      <c r="D2074" s="1" t="s">
        <v>640</v>
      </c>
      <c r="E2074" s="1" t="s">
        <v>10</v>
      </c>
    </row>
    <row r="2075" spans="1:5" x14ac:dyDescent="0.2">
      <c r="A2075" s="1" t="s">
        <v>751</v>
      </c>
      <c r="B2075" s="1" t="s">
        <v>642</v>
      </c>
      <c r="C2075" s="5">
        <f>DATE(2025, 9, 4) + TIME(12, 33, 50)</f>
        <v>45904.523495370369</v>
      </c>
      <c r="D2075" s="1" t="s">
        <v>467</v>
      </c>
      <c r="E2075" s="1" t="s">
        <v>579</v>
      </c>
    </row>
    <row r="2076" spans="1:5" x14ac:dyDescent="0.2">
      <c r="A2076" s="1" t="s">
        <v>751</v>
      </c>
      <c r="B2076" s="1" t="s">
        <v>60</v>
      </c>
      <c r="C2076" s="5">
        <f>DATE(2025, 9, 4) + TIME(12, 8, 16)</f>
        <v>45904.505740740744</v>
      </c>
      <c r="D2076" s="1" t="s">
        <v>3</v>
      </c>
      <c r="E2076" s="1" t="s">
        <v>515</v>
      </c>
    </row>
    <row r="2077" spans="1:5" x14ac:dyDescent="0.2">
      <c r="A2077" s="1" t="s">
        <v>751</v>
      </c>
      <c r="B2077" s="1" t="s">
        <v>664</v>
      </c>
      <c r="C2077" s="5">
        <f>DATE(2025, 9, 4) + TIME(11, 34, 24)</f>
        <v>45904.482222222221</v>
      </c>
      <c r="D2077" s="1" t="s">
        <v>921</v>
      </c>
      <c r="E2077" s="1" t="s">
        <v>442</v>
      </c>
    </row>
    <row r="2078" spans="1:5" x14ac:dyDescent="0.2">
      <c r="A2078" s="1" t="s">
        <v>751</v>
      </c>
      <c r="B2078" s="1" t="s">
        <v>60</v>
      </c>
      <c r="C2078" s="5">
        <f>DATE(2025, 9, 3) + TIME(10, 0, 3)</f>
        <v>45903.416701388887</v>
      </c>
      <c r="D2078" s="1" t="s">
        <v>506</v>
      </c>
      <c r="E2078" s="1" t="s">
        <v>257</v>
      </c>
    </row>
    <row r="2079" spans="1:5" x14ac:dyDescent="0.2">
      <c r="A2079" s="1" t="s">
        <v>751</v>
      </c>
      <c r="B2079" s="1" t="s">
        <v>154</v>
      </c>
      <c r="C2079" s="5">
        <f>DATE(2025, 8, 29) + TIME(13, 57, 48)</f>
        <v>45898.581805555557</v>
      </c>
      <c r="D2079" s="1" t="s">
        <v>398</v>
      </c>
      <c r="E2079" s="1" t="s">
        <v>548</v>
      </c>
    </row>
    <row r="2080" spans="1:5" x14ac:dyDescent="0.2">
      <c r="A2080" s="1" t="s">
        <v>751</v>
      </c>
      <c r="B2080" s="1" t="s">
        <v>141</v>
      </c>
      <c r="C2080" s="5">
        <f>DATE(2025, 8, 28) + TIME(12, 50, 8)</f>
        <v>45897.534814814811</v>
      </c>
      <c r="D2080" s="1" t="s">
        <v>459</v>
      </c>
      <c r="E2080" s="1" t="s">
        <v>164</v>
      </c>
    </row>
    <row r="2081" spans="1:5" x14ac:dyDescent="0.2">
      <c r="A2081" s="1" t="s">
        <v>751</v>
      </c>
      <c r="B2081" s="1" t="s">
        <v>60</v>
      </c>
      <c r="C2081" s="5">
        <f>DATE(2025, 8, 27) + TIME(10, 42, 32)</f>
        <v>45896.446203703701</v>
      </c>
      <c r="D2081" s="1" t="s">
        <v>506</v>
      </c>
      <c r="E2081" s="1" t="s">
        <v>167</v>
      </c>
    </row>
    <row r="2082" spans="1:5" x14ac:dyDescent="0.2">
      <c r="A2082" s="1" t="s">
        <v>751</v>
      </c>
      <c r="B2082" s="1" t="s">
        <v>60</v>
      </c>
      <c r="C2082" s="5">
        <f>DATE(2025, 8, 27) + TIME(9, 35, 51)</f>
        <v>45896.399895833332</v>
      </c>
      <c r="D2082" s="1" t="s">
        <v>3</v>
      </c>
      <c r="E2082" s="1" t="s">
        <v>311</v>
      </c>
    </row>
    <row r="2083" spans="1:5" x14ac:dyDescent="0.2">
      <c r="A2083" s="1" t="s">
        <v>751</v>
      </c>
      <c r="B2083" s="1" t="s">
        <v>60</v>
      </c>
      <c r="C2083" s="5">
        <f>DATE(2025, 8, 26) + TIME(7, 32, 31)</f>
        <v>45895.314247685186</v>
      </c>
      <c r="D2083" s="1" t="s">
        <v>506</v>
      </c>
      <c r="E2083" s="1" t="s">
        <v>819</v>
      </c>
    </row>
    <row r="2084" spans="1:5" x14ac:dyDescent="0.2">
      <c r="A2084" s="1" t="s">
        <v>751</v>
      </c>
      <c r="B2084" s="1" t="s">
        <v>60</v>
      </c>
      <c r="C2084" s="5">
        <f>DATE(2025, 8, 26) + TIME(7, 31, 50)</f>
        <v>45895.313773148147</v>
      </c>
      <c r="D2084" s="1" t="s">
        <v>506</v>
      </c>
      <c r="E2084" s="1" t="s">
        <v>509</v>
      </c>
    </row>
    <row r="2085" spans="1:5" x14ac:dyDescent="0.2">
      <c r="A2085" s="1" t="s">
        <v>751</v>
      </c>
      <c r="B2085" s="1" t="s">
        <v>60</v>
      </c>
      <c r="C2085" s="5">
        <f>DATE(2025, 8, 21) + TIME(14, 2, 52)</f>
        <v>45890.585324074076</v>
      </c>
      <c r="D2085" s="1" t="s">
        <v>863</v>
      </c>
      <c r="E2085" s="1" t="s">
        <v>80</v>
      </c>
    </row>
    <row r="2086" spans="1:5" x14ac:dyDescent="0.2">
      <c r="A2086" s="1" t="s">
        <v>751</v>
      </c>
      <c r="B2086" s="1" t="s">
        <v>664</v>
      </c>
      <c r="C2086" s="5">
        <f>DATE(2025, 8, 21) + TIME(13, 52, 55)</f>
        <v>45890.578414351854</v>
      </c>
      <c r="D2086" s="1" t="s">
        <v>356</v>
      </c>
      <c r="E2086" s="1" t="s">
        <v>232</v>
      </c>
    </row>
    <row r="2087" spans="1:5" x14ac:dyDescent="0.2">
      <c r="A2087" s="1" t="s">
        <v>751</v>
      </c>
      <c r="B2087" s="1" t="s">
        <v>664</v>
      </c>
      <c r="C2087" s="5">
        <f>DATE(2025, 8, 21) + TIME(13, 33, 33)</f>
        <v>45890.564965277779</v>
      </c>
      <c r="D2087" s="1" t="s">
        <v>3</v>
      </c>
      <c r="E2087" s="1" t="s">
        <v>515</v>
      </c>
    </row>
    <row r="2088" spans="1:5" x14ac:dyDescent="0.2">
      <c r="A2088" s="1" t="s">
        <v>751</v>
      </c>
      <c r="B2088" s="1" t="s">
        <v>60</v>
      </c>
      <c r="C2088" s="5">
        <f>DATE(2025, 8, 21) + TIME(10, 35, 34)</f>
        <v>45890.441365740742</v>
      </c>
      <c r="D2088" s="1" t="s">
        <v>65</v>
      </c>
      <c r="E2088" s="1" t="s">
        <v>615</v>
      </c>
    </row>
    <row r="2089" spans="1:5" x14ac:dyDescent="0.2">
      <c r="A2089" s="1" t="s">
        <v>751</v>
      </c>
      <c r="B2089" s="1" t="s">
        <v>60</v>
      </c>
      <c r="C2089" s="5">
        <f>DATE(2025, 8, 21) + TIME(9, 54, 27)</f>
        <v>45890.412812499999</v>
      </c>
      <c r="D2089" s="1" t="s">
        <v>148</v>
      </c>
      <c r="E2089" s="1" t="s">
        <v>221</v>
      </c>
    </row>
    <row r="2090" spans="1:5" x14ac:dyDescent="0.2">
      <c r="A2090" s="1" t="s">
        <v>751</v>
      </c>
      <c r="B2090" s="1" t="s">
        <v>707</v>
      </c>
      <c r="C2090" s="5">
        <f>DATE(2025, 8, 20) + TIME(10, 4, 26)</f>
        <v>45889.419745370367</v>
      </c>
      <c r="D2090" s="1" t="s">
        <v>320</v>
      </c>
      <c r="E2090" s="1" t="s">
        <v>689</v>
      </c>
    </row>
    <row r="2091" spans="1:5" x14ac:dyDescent="0.2">
      <c r="A2091" s="1" t="s">
        <v>751</v>
      </c>
      <c r="B2091" s="1" t="s">
        <v>526</v>
      </c>
      <c r="C2091" s="5">
        <f>DATE(2025, 8, 19) + TIME(9, 45, 42)</f>
        <v>45888.406736111108</v>
      </c>
      <c r="D2091" s="1" t="s">
        <v>467</v>
      </c>
      <c r="E2091" s="1" t="s">
        <v>543</v>
      </c>
    </row>
    <row r="2092" spans="1:5" ht="16" x14ac:dyDescent="0.2">
      <c r="A2092" s="1" t="s">
        <v>751</v>
      </c>
      <c r="B2092" s="1" t="s">
        <v>963</v>
      </c>
      <c r="C2092" s="5">
        <f>DATE(2025, 8, 18) + TIME(13, 6, 2)</f>
        <v>45887.545856481483</v>
      </c>
      <c r="D2092" s="1" t="s">
        <v>50</v>
      </c>
      <c r="E2092" s="2" t="s">
        <v>312</v>
      </c>
    </row>
    <row r="2093" spans="1:5" x14ac:dyDescent="0.2">
      <c r="A2093" s="1" t="s">
        <v>751</v>
      </c>
      <c r="B2093" s="1" t="s">
        <v>526</v>
      </c>
      <c r="C2093" s="5">
        <f>DATE(2025, 8, 18) + TIME(9, 1, 16)</f>
        <v>45887.375879629632</v>
      </c>
      <c r="D2093" s="1" t="s">
        <v>506</v>
      </c>
      <c r="E2093" s="1" t="s">
        <v>710</v>
      </c>
    </row>
    <row r="2094" spans="1:5" x14ac:dyDescent="0.2">
      <c r="A2094" s="1" t="s">
        <v>751</v>
      </c>
      <c r="B2094" s="1" t="s">
        <v>664</v>
      </c>
      <c r="C2094" s="5">
        <f>DATE(2025, 8, 14) + TIME(13, 15, 31)</f>
        <v>45883.552442129629</v>
      </c>
      <c r="D2094" s="1" t="s">
        <v>356</v>
      </c>
      <c r="E2094" s="1" t="s">
        <v>284</v>
      </c>
    </row>
    <row r="2095" spans="1:5" x14ac:dyDescent="0.2">
      <c r="A2095" s="1" t="s">
        <v>751</v>
      </c>
      <c r="B2095" s="1" t="s">
        <v>664</v>
      </c>
      <c r="C2095" s="5">
        <f>DATE(2025, 8, 13) + TIME(15, 37, 25)</f>
        <v>45882.650983796295</v>
      </c>
      <c r="D2095" s="1" t="s">
        <v>356</v>
      </c>
      <c r="E2095" s="1" t="s">
        <v>284</v>
      </c>
    </row>
    <row r="2096" spans="1:5" x14ac:dyDescent="0.2">
      <c r="A2096" s="1" t="s">
        <v>751</v>
      </c>
      <c r="B2096" s="1" t="s">
        <v>60</v>
      </c>
      <c r="C2096" s="5">
        <f>DATE(2025, 8, 13) + TIME(14, 25, 39)</f>
        <v>45882.601145833331</v>
      </c>
      <c r="D2096" s="1" t="s">
        <v>144</v>
      </c>
      <c r="E2096" s="1" t="s">
        <v>293</v>
      </c>
    </row>
    <row r="2097" spans="1:5" x14ac:dyDescent="0.2">
      <c r="A2097" s="1" t="s">
        <v>751</v>
      </c>
      <c r="B2097" s="1" t="s">
        <v>526</v>
      </c>
      <c r="C2097" s="5">
        <f>DATE(2025, 8, 13) + TIME(13, 41, 34)</f>
        <v>45882.570532407408</v>
      </c>
      <c r="D2097" s="1" t="s">
        <v>148</v>
      </c>
      <c r="E2097" s="1" t="s">
        <v>961</v>
      </c>
    </row>
    <row r="2098" spans="1:5" x14ac:dyDescent="0.2">
      <c r="A2098" s="1" t="s">
        <v>751</v>
      </c>
      <c r="B2098" s="1" t="s">
        <v>591</v>
      </c>
      <c r="C2098" s="5">
        <f>DATE(2025, 8, 13) + TIME(13, 41, 33)</f>
        <v>45882.570520833331</v>
      </c>
      <c r="D2098" s="1" t="s">
        <v>148</v>
      </c>
      <c r="E2098" s="1" t="s">
        <v>792</v>
      </c>
    </row>
    <row r="2099" spans="1:5" x14ac:dyDescent="0.2">
      <c r="A2099" s="1" t="s">
        <v>751</v>
      </c>
      <c r="B2099" s="1" t="s">
        <v>526</v>
      </c>
      <c r="C2099" s="5">
        <f>DATE(2025, 8, 13) + TIME(13, 41, 33)</f>
        <v>45882.570520833331</v>
      </c>
      <c r="D2099" s="1" t="s">
        <v>148</v>
      </c>
      <c r="E2099" s="1" t="s">
        <v>586</v>
      </c>
    </row>
    <row r="2100" spans="1:5" x14ac:dyDescent="0.2">
      <c r="A2100" s="1" t="s">
        <v>751</v>
      </c>
      <c r="B2100" s="1" t="s">
        <v>60</v>
      </c>
      <c r="C2100" s="5">
        <f>DATE(2025, 8, 13) + TIME(13, 37, 32)</f>
        <v>45882.567731481482</v>
      </c>
      <c r="D2100" s="1" t="s">
        <v>563</v>
      </c>
      <c r="E2100" s="1" t="s">
        <v>475</v>
      </c>
    </row>
    <row r="2101" spans="1:5" x14ac:dyDescent="0.2">
      <c r="A2101" s="1" t="s">
        <v>751</v>
      </c>
      <c r="B2101" s="1" t="s">
        <v>664</v>
      </c>
      <c r="C2101" s="5">
        <f>DATE(2025, 8, 13) + TIME(10, 28, 56)</f>
        <v>45882.436759259261</v>
      </c>
      <c r="D2101" s="1" t="s">
        <v>144</v>
      </c>
      <c r="E2101" s="1" t="s">
        <v>293</v>
      </c>
    </row>
    <row r="2102" spans="1:5" x14ac:dyDescent="0.2">
      <c r="A2102" s="1" t="s">
        <v>751</v>
      </c>
      <c r="B2102" s="1" t="s">
        <v>664</v>
      </c>
      <c r="C2102" s="5">
        <f>DATE(2025, 8, 13) + TIME(10, 28, 56)</f>
        <v>45882.436759259261</v>
      </c>
      <c r="D2102" s="1" t="s">
        <v>144</v>
      </c>
      <c r="E2102" s="1" t="s">
        <v>293</v>
      </c>
    </row>
    <row r="2103" spans="1:5" x14ac:dyDescent="0.2">
      <c r="A2103" s="1" t="s">
        <v>751</v>
      </c>
      <c r="B2103" s="1" t="s">
        <v>642</v>
      </c>
      <c r="C2103" s="5">
        <f>DATE(2025, 8, 13) + TIME(9, 35, 3)</f>
        <v>45882.399340277778</v>
      </c>
      <c r="D2103" s="1" t="s">
        <v>216</v>
      </c>
      <c r="E2103" s="1" t="s">
        <v>125</v>
      </c>
    </row>
    <row r="2104" spans="1:5" x14ac:dyDescent="0.2">
      <c r="A2104" s="1" t="s">
        <v>751</v>
      </c>
      <c r="B2104" s="1" t="s">
        <v>642</v>
      </c>
      <c r="C2104" s="5">
        <f>DATE(2025, 8, 13) + TIME(7, 27, 18)</f>
        <v>45882.310624999998</v>
      </c>
      <c r="D2104" s="1" t="s">
        <v>640</v>
      </c>
      <c r="E2104" s="1" t="s">
        <v>10</v>
      </c>
    </row>
    <row r="2105" spans="1:5" x14ac:dyDescent="0.2">
      <c r="A2105" s="1" t="s">
        <v>751</v>
      </c>
      <c r="B2105" s="1" t="s">
        <v>614</v>
      </c>
      <c r="C2105" s="5">
        <f>DATE(2025, 8, 12) + TIME(12, 5, 44)</f>
        <v>45881.503981481481</v>
      </c>
      <c r="D2105" s="1" t="s">
        <v>863</v>
      </c>
      <c r="E2105" s="1" t="s">
        <v>850</v>
      </c>
    </row>
    <row r="2106" spans="1:5" x14ac:dyDescent="0.2">
      <c r="A2106" s="1" t="s">
        <v>751</v>
      </c>
      <c r="B2106" s="1" t="s">
        <v>526</v>
      </c>
      <c r="C2106" s="5">
        <f>DATE(2025, 8, 12) + TIME(10, 53, 7)</f>
        <v>45881.453553240739</v>
      </c>
      <c r="D2106" s="1" t="s">
        <v>216</v>
      </c>
      <c r="E2106" s="1" t="s">
        <v>590</v>
      </c>
    </row>
    <row r="2107" spans="1:5" x14ac:dyDescent="0.2">
      <c r="A2107" s="1" t="s">
        <v>751</v>
      </c>
      <c r="B2107" s="1" t="s">
        <v>664</v>
      </c>
      <c r="C2107" s="5">
        <f>DATE(2025, 8, 11) + TIME(15, 54, 42)</f>
        <v>45880.662986111114</v>
      </c>
      <c r="D2107" s="1" t="s">
        <v>863</v>
      </c>
      <c r="E2107" s="1" t="s">
        <v>80</v>
      </c>
    </row>
    <row r="2108" spans="1:5" x14ac:dyDescent="0.2">
      <c r="A2108" s="1" t="s">
        <v>751</v>
      </c>
      <c r="B2108" s="1" t="s">
        <v>963</v>
      </c>
      <c r="C2108" s="5">
        <f>DATE(2025, 8, 11) + TIME(11, 53, 40)</f>
        <v>45880.49560185185</v>
      </c>
      <c r="D2108" s="1" t="s">
        <v>640</v>
      </c>
      <c r="E2108" s="1" t="s">
        <v>127</v>
      </c>
    </row>
    <row r="2109" spans="1:5" x14ac:dyDescent="0.2">
      <c r="A2109" s="1" t="s">
        <v>751</v>
      </c>
      <c r="B2109" s="1" t="s">
        <v>60</v>
      </c>
      <c r="C2109" s="5">
        <f>DATE(2025, 8, 7) + TIME(13, 59, 7)</f>
        <v>45876.582719907405</v>
      </c>
      <c r="D2109" s="1" t="s">
        <v>863</v>
      </c>
      <c r="E2109" s="1" t="s">
        <v>711</v>
      </c>
    </row>
    <row r="2110" spans="1:5" x14ac:dyDescent="0.2">
      <c r="A2110" s="1" t="s">
        <v>751</v>
      </c>
      <c r="B2110" s="1" t="s">
        <v>664</v>
      </c>
      <c r="C2110" s="5">
        <f>DATE(2025, 8, 7) + TIME(12, 18, 23)</f>
        <v>45876.512766203705</v>
      </c>
      <c r="D2110" s="1" t="s">
        <v>216</v>
      </c>
      <c r="E2110" s="1" t="s">
        <v>610</v>
      </c>
    </row>
    <row r="2111" spans="1:5" x14ac:dyDescent="0.2">
      <c r="A2111" s="1" t="s">
        <v>751</v>
      </c>
      <c r="B2111" s="1" t="s">
        <v>664</v>
      </c>
      <c r="C2111" s="5">
        <f>DATE(2025, 8, 7) + TIME(12, 7, 37)</f>
        <v>45876.505289351851</v>
      </c>
      <c r="D2111" s="1" t="s">
        <v>863</v>
      </c>
      <c r="E2111" s="1" t="s">
        <v>80</v>
      </c>
    </row>
    <row r="2112" spans="1:5" x14ac:dyDescent="0.2">
      <c r="A2112" s="1" t="s">
        <v>751</v>
      </c>
      <c r="B2112" s="1" t="s">
        <v>664</v>
      </c>
      <c r="C2112" s="5">
        <f>DATE(2025, 8, 6) + TIME(13, 57, 42)</f>
        <v>45875.581736111111</v>
      </c>
      <c r="D2112" s="1" t="s">
        <v>144</v>
      </c>
      <c r="E2112" s="1" t="s">
        <v>293</v>
      </c>
    </row>
    <row r="2113" spans="1:5" x14ac:dyDescent="0.2">
      <c r="A2113" s="1" t="s">
        <v>751</v>
      </c>
      <c r="B2113" s="1" t="s">
        <v>60</v>
      </c>
      <c r="C2113" s="5">
        <f>DATE(2025, 8, 6) + TIME(12, 30, 15)</f>
        <v>45875.521006944444</v>
      </c>
      <c r="D2113" s="1" t="s">
        <v>566</v>
      </c>
      <c r="E2113" s="1" t="s">
        <v>570</v>
      </c>
    </row>
    <row r="2114" spans="1:5" x14ac:dyDescent="0.2">
      <c r="A2114" s="1" t="s">
        <v>751</v>
      </c>
      <c r="B2114" s="1" t="s">
        <v>664</v>
      </c>
      <c r="C2114" s="5">
        <f>DATE(2025, 8, 6) + TIME(12, 30, 15)</f>
        <v>45875.521006944444</v>
      </c>
      <c r="D2114" s="1" t="s">
        <v>566</v>
      </c>
      <c r="E2114" s="1" t="s">
        <v>570</v>
      </c>
    </row>
    <row r="2115" spans="1:5" x14ac:dyDescent="0.2">
      <c r="A2115" s="1" t="s">
        <v>751</v>
      </c>
      <c r="B2115" s="1" t="s">
        <v>642</v>
      </c>
      <c r="C2115" s="5">
        <f>DATE(2025, 8, 6) + TIME(11, 50, 12)</f>
        <v>45875.493194444447</v>
      </c>
      <c r="D2115" s="1" t="s">
        <v>216</v>
      </c>
      <c r="E2115" s="1" t="s">
        <v>125</v>
      </c>
    </row>
    <row r="2116" spans="1:5" x14ac:dyDescent="0.2">
      <c r="A2116" s="1" t="s">
        <v>751</v>
      </c>
      <c r="B2116" s="1" t="s">
        <v>60</v>
      </c>
      <c r="C2116" s="5">
        <f>DATE(2025, 8, 6) + TIME(8, 4, 46)</f>
        <v>45875.336643518516</v>
      </c>
      <c r="D2116" s="1" t="s">
        <v>640</v>
      </c>
      <c r="E2116" s="1" t="s">
        <v>10</v>
      </c>
    </row>
    <row r="2117" spans="1:5" x14ac:dyDescent="0.2">
      <c r="A2117" s="1" t="s">
        <v>751</v>
      </c>
      <c r="B2117" s="1" t="s">
        <v>526</v>
      </c>
      <c r="C2117" s="5">
        <f>DATE(2025, 8, 5) + TIME(15, 51, 10)</f>
        <v>45874.660532407404</v>
      </c>
      <c r="D2117" s="1" t="s">
        <v>216</v>
      </c>
      <c r="E2117" s="1" t="s">
        <v>610</v>
      </c>
    </row>
    <row r="2118" spans="1:5" x14ac:dyDescent="0.2">
      <c r="A2118" s="1" t="s">
        <v>751</v>
      </c>
      <c r="B2118" s="1" t="s">
        <v>955</v>
      </c>
      <c r="C2118" s="5">
        <f>DATE(2025, 8, 5) + TIME(14, 6, 9)</f>
        <v>45874.587604166663</v>
      </c>
      <c r="D2118" s="1" t="s">
        <v>863</v>
      </c>
      <c r="E2118" s="1" t="s">
        <v>359</v>
      </c>
    </row>
    <row r="2119" spans="1:5" x14ac:dyDescent="0.2">
      <c r="A2119" s="1" t="s">
        <v>751</v>
      </c>
      <c r="B2119" s="1" t="s">
        <v>664</v>
      </c>
      <c r="C2119" s="5">
        <f>DATE(2025, 8, 1) + TIME(13, 35, 14)</f>
        <v>45870.566134259258</v>
      </c>
      <c r="D2119" s="1" t="s">
        <v>216</v>
      </c>
      <c r="E2119" s="1" t="s">
        <v>851</v>
      </c>
    </row>
    <row r="2120" spans="1:5" x14ac:dyDescent="0.2">
      <c r="A2120" s="1" t="s">
        <v>751</v>
      </c>
      <c r="B2120" s="1" t="s">
        <v>664</v>
      </c>
      <c r="C2120" s="5">
        <f>DATE(2025, 7, 31) + TIME(15, 14, 45)</f>
        <v>45869.635243055556</v>
      </c>
      <c r="D2120" s="1" t="s">
        <v>863</v>
      </c>
      <c r="E2120" s="1" t="s">
        <v>711</v>
      </c>
    </row>
    <row r="2121" spans="1:5" x14ac:dyDescent="0.2">
      <c r="A2121" s="1" t="s">
        <v>751</v>
      </c>
      <c r="B2121" s="1" t="s">
        <v>866</v>
      </c>
      <c r="C2121" s="5">
        <f>DATE(2025, 7, 31) + TIME(13, 36, 22)</f>
        <v>45869.566921296297</v>
      </c>
      <c r="D2121" s="1" t="s">
        <v>356</v>
      </c>
      <c r="E2121" s="1" t="s">
        <v>68</v>
      </c>
    </row>
    <row r="2122" spans="1:5" x14ac:dyDescent="0.2">
      <c r="A2122" s="1" t="s">
        <v>751</v>
      </c>
      <c r="B2122" s="1" t="s">
        <v>526</v>
      </c>
      <c r="C2122" s="5">
        <f>DATE(2025, 7, 31) + TIME(6, 42, 30)</f>
        <v>45869.279513888891</v>
      </c>
      <c r="D2122" s="1" t="s">
        <v>65</v>
      </c>
      <c r="E2122" s="1" t="s">
        <v>429</v>
      </c>
    </row>
    <row r="2123" spans="1:5" x14ac:dyDescent="0.2">
      <c r="A2123" s="1" t="s">
        <v>751</v>
      </c>
      <c r="B2123" s="1" t="s">
        <v>154</v>
      </c>
      <c r="C2123" s="5">
        <f>DATE(2025, 7, 30) + TIME(10, 11, 3)</f>
        <v>45868.424340277779</v>
      </c>
      <c r="D2123" s="1" t="s">
        <v>396</v>
      </c>
      <c r="E2123" s="1" t="s">
        <v>259</v>
      </c>
    </row>
    <row r="2124" spans="1:5" x14ac:dyDescent="0.2">
      <c r="A2124" s="1" t="s">
        <v>751</v>
      </c>
      <c r="B2124" s="1" t="s">
        <v>526</v>
      </c>
      <c r="C2124" s="5">
        <f>DATE(2025, 7, 29) + TIME(7, 0, 8)</f>
        <v>45867.291759259257</v>
      </c>
      <c r="D2124" s="1" t="s">
        <v>65</v>
      </c>
      <c r="E2124" s="1" t="s">
        <v>495</v>
      </c>
    </row>
    <row r="2125" spans="1:5" x14ac:dyDescent="0.2">
      <c r="A2125" s="1" t="s">
        <v>751</v>
      </c>
      <c r="B2125" s="1" t="s">
        <v>866</v>
      </c>
      <c r="C2125" s="5">
        <f>DATE(2025, 7, 24) + TIME(13, 46, 30)</f>
        <v>45862.573958333334</v>
      </c>
      <c r="D2125" s="1" t="s">
        <v>341</v>
      </c>
      <c r="E2125" s="1" t="s">
        <v>442</v>
      </c>
    </row>
    <row r="2126" spans="1:5" x14ac:dyDescent="0.2">
      <c r="A2126" s="1" t="s">
        <v>751</v>
      </c>
      <c r="B2126" s="1" t="s">
        <v>60</v>
      </c>
      <c r="C2126" s="5">
        <f>DATE(2025, 7, 24) + TIME(13, 46, 30)</f>
        <v>45862.573958333334</v>
      </c>
      <c r="D2126" s="1" t="s">
        <v>341</v>
      </c>
      <c r="E2126" s="1" t="s">
        <v>442</v>
      </c>
    </row>
    <row r="2127" spans="1:5" x14ac:dyDescent="0.2">
      <c r="A2127" s="1" t="s">
        <v>751</v>
      </c>
      <c r="B2127" s="1" t="s">
        <v>526</v>
      </c>
      <c r="C2127" s="5">
        <f>DATE(2025, 7, 23) + TIME(8, 49, 17)</f>
        <v>45861.36755787037</v>
      </c>
      <c r="D2127" s="1" t="s">
        <v>65</v>
      </c>
      <c r="E2127" s="1" t="s">
        <v>772</v>
      </c>
    </row>
    <row r="2128" spans="1:5" x14ac:dyDescent="0.2">
      <c r="A2128" s="1" t="s">
        <v>751</v>
      </c>
      <c r="B2128" s="1" t="s">
        <v>526</v>
      </c>
      <c r="C2128" s="5">
        <f>DATE(2025, 7, 22) + TIME(10, 41, 41)</f>
        <v>45860.445613425924</v>
      </c>
      <c r="D2128" s="1" t="s">
        <v>640</v>
      </c>
      <c r="E2128" s="1" t="s">
        <v>780</v>
      </c>
    </row>
    <row r="2129" spans="1:5" x14ac:dyDescent="0.2">
      <c r="A2129" s="1" t="s">
        <v>751</v>
      </c>
      <c r="B2129" s="1" t="s">
        <v>141</v>
      </c>
      <c r="C2129" s="5">
        <f>DATE(2025, 7, 21) + TIME(12, 34, 48)</f>
        <v>45859.52416666667</v>
      </c>
      <c r="D2129" s="1" t="s">
        <v>638</v>
      </c>
      <c r="E2129" s="1" t="s">
        <v>384</v>
      </c>
    </row>
    <row r="2130" spans="1:5" x14ac:dyDescent="0.2">
      <c r="A2130" s="1" t="s">
        <v>751</v>
      </c>
      <c r="B2130" s="1" t="s">
        <v>620</v>
      </c>
      <c r="C2130" s="5">
        <f>DATE(2025, 7, 21) + TIME(12, 33, 7)</f>
        <v>45859.522997685184</v>
      </c>
      <c r="D2130" s="1" t="s">
        <v>3</v>
      </c>
      <c r="E2130" s="1" t="s">
        <v>515</v>
      </c>
    </row>
    <row r="2131" spans="1:5" x14ac:dyDescent="0.2">
      <c r="A2131" s="1" t="s">
        <v>751</v>
      </c>
      <c r="B2131" s="1" t="s">
        <v>60</v>
      </c>
      <c r="C2131" s="5">
        <f>DATE(2025, 7, 17) + TIME(13, 15, 18)</f>
        <v>45855.552291666667</v>
      </c>
      <c r="D2131" s="1" t="s">
        <v>863</v>
      </c>
      <c r="E2131" s="1" t="s">
        <v>711</v>
      </c>
    </row>
    <row r="2132" spans="1:5" x14ac:dyDescent="0.2">
      <c r="A2132" s="1" t="s">
        <v>751</v>
      </c>
      <c r="B2132" s="1" t="s">
        <v>272</v>
      </c>
      <c r="C2132" s="5">
        <f>DATE(2025, 7, 17) + TIME(13, 15, 18)</f>
        <v>45855.552291666667</v>
      </c>
      <c r="D2132" s="1" t="s">
        <v>863</v>
      </c>
      <c r="E2132" s="1" t="s">
        <v>711</v>
      </c>
    </row>
    <row r="2133" spans="1:5" x14ac:dyDescent="0.2">
      <c r="A2133" s="1" t="s">
        <v>751</v>
      </c>
      <c r="B2133" s="1" t="s">
        <v>262</v>
      </c>
      <c r="C2133" s="5">
        <f>DATE(2025, 7, 17) + TIME(10, 55, 22)</f>
        <v>45855.45511574074</v>
      </c>
      <c r="D2133" s="1" t="s">
        <v>750</v>
      </c>
      <c r="E2133" s="1" t="s">
        <v>693</v>
      </c>
    </row>
    <row r="2134" spans="1:5" x14ac:dyDescent="0.2">
      <c r="A2134" s="1" t="s">
        <v>751</v>
      </c>
      <c r="B2134" s="1" t="s">
        <v>620</v>
      </c>
      <c r="C2134" s="5">
        <f>DATE(2025, 7, 17) + TIME(10, 20, 17)</f>
        <v>45855.430752314816</v>
      </c>
      <c r="D2134" s="1" t="s">
        <v>506</v>
      </c>
      <c r="E2134" s="1" t="s">
        <v>200</v>
      </c>
    </row>
    <row r="2135" spans="1:5" x14ac:dyDescent="0.2">
      <c r="A2135" s="1" t="s">
        <v>751</v>
      </c>
      <c r="B2135" s="1" t="s">
        <v>963</v>
      </c>
      <c r="C2135" s="5">
        <f>DATE(2025, 7, 16) + TIME(13, 9, 10)</f>
        <v>45854.548032407409</v>
      </c>
      <c r="D2135" s="1" t="s">
        <v>750</v>
      </c>
      <c r="E2135" s="1" t="s">
        <v>184</v>
      </c>
    </row>
    <row r="2136" spans="1:5" x14ac:dyDescent="0.2">
      <c r="A2136" s="1" t="s">
        <v>751</v>
      </c>
      <c r="B2136" s="1" t="s">
        <v>271</v>
      </c>
      <c r="C2136" s="5">
        <f>DATE(2025, 7, 16) + TIME(12, 22, 31)</f>
        <v>45854.515636574077</v>
      </c>
      <c r="D2136" s="1" t="s">
        <v>144</v>
      </c>
      <c r="E2136" s="1" t="s">
        <v>293</v>
      </c>
    </row>
    <row r="2137" spans="1:5" x14ac:dyDescent="0.2">
      <c r="A2137" s="1" t="s">
        <v>751</v>
      </c>
      <c r="B2137" s="1" t="s">
        <v>128</v>
      </c>
      <c r="C2137" s="5">
        <f>DATE(2025, 7, 16) + TIME(12, 22, 31)</f>
        <v>45854.515636574077</v>
      </c>
      <c r="D2137" s="1" t="s">
        <v>144</v>
      </c>
      <c r="E2137" s="1" t="s">
        <v>293</v>
      </c>
    </row>
    <row r="2138" spans="1:5" x14ac:dyDescent="0.2">
      <c r="A2138" s="1" t="s">
        <v>751</v>
      </c>
      <c r="B2138" s="1" t="s">
        <v>866</v>
      </c>
      <c r="C2138" s="5">
        <f>DATE(2025, 7, 16) + TIME(12, 22, 30)</f>
        <v>45854.515625</v>
      </c>
      <c r="D2138" s="1" t="s">
        <v>144</v>
      </c>
      <c r="E2138" s="1" t="s">
        <v>293</v>
      </c>
    </row>
    <row r="2139" spans="1:5" x14ac:dyDescent="0.2">
      <c r="A2139" s="1" t="s">
        <v>751</v>
      </c>
      <c r="B2139" s="1" t="s">
        <v>670</v>
      </c>
      <c r="C2139" s="5">
        <f>DATE(2025, 7, 16) + TIME(9, 20, 14)</f>
        <v>45854.389050925929</v>
      </c>
      <c r="D2139" s="1" t="s">
        <v>640</v>
      </c>
      <c r="E2139" s="1" t="s">
        <v>10</v>
      </c>
    </row>
    <row r="2140" spans="1:5" x14ac:dyDescent="0.2">
      <c r="A2140" s="1" t="s">
        <v>751</v>
      </c>
      <c r="B2140" s="1" t="s">
        <v>620</v>
      </c>
      <c r="C2140" s="5">
        <f>DATE(2025, 7, 16) + TIME(9, 20, 13)</f>
        <v>45854.389039351852</v>
      </c>
      <c r="D2140" s="1" t="s">
        <v>640</v>
      </c>
      <c r="E2140" s="1" t="s">
        <v>10</v>
      </c>
    </row>
    <row r="2141" spans="1:5" x14ac:dyDescent="0.2">
      <c r="A2141" s="1" t="s">
        <v>751</v>
      </c>
      <c r="B2141" s="1" t="s">
        <v>620</v>
      </c>
      <c r="C2141" s="5">
        <f>DATE(2025, 7, 15) + TIME(15, 34, 58)</f>
        <v>45853.649282407408</v>
      </c>
      <c r="D2141" s="1" t="s">
        <v>506</v>
      </c>
      <c r="E2141" s="1" t="s">
        <v>446</v>
      </c>
    </row>
    <row r="2142" spans="1:5" x14ac:dyDescent="0.2">
      <c r="A2142" s="1" t="s">
        <v>751</v>
      </c>
      <c r="B2142" s="1" t="s">
        <v>620</v>
      </c>
      <c r="C2142" s="5">
        <f>DATE(2025, 7, 15) + TIME(14, 46, 34)</f>
        <v>45853.615671296298</v>
      </c>
      <c r="D2142" s="1" t="s">
        <v>506</v>
      </c>
      <c r="E2142" s="1" t="s">
        <v>509</v>
      </c>
    </row>
    <row r="2143" spans="1:5" x14ac:dyDescent="0.2">
      <c r="A2143" s="1" t="s">
        <v>751</v>
      </c>
      <c r="B2143" s="1" t="s">
        <v>60</v>
      </c>
      <c r="C2143" s="5">
        <f>DATE(2025, 7, 15) + TIME(11, 30, 2)</f>
        <v>45853.479189814818</v>
      </c>
      <c r="D2143" s="1" t="s">
        <v>269</v>
      </c>
      <c r="E2143" s="1" t="s">
        <v>588</v>
      </c>
    </row>
    <row r="2144" spans="1:5" x14ac:dyDescent="0.2">
      <c r="A2144" s="1" t="s">
        <v>751</v>
      </c>
      <c r="B2144" s="1" t="s">
        <v>262</v>
      </c>
      <c r="C2144" s="5">
        <f>DATE(2025, 7, 15) + TIME(10, 8, 11)</f>
        <v>45853.422349537039</v>
      </c>
      <c r="D2144" s="1" t="s">
        <v>750</v>
      </c>
      <c r="E2144" s="1" t="s">
        <v>590</v>
      </c>
    </row>
    <row r="2145" spans="1:5" x14ac:dyDescent="0.2">
      <c r="A2145" s="1" t="s">
        <v>751</v>
      </c>
      <c r="B2145" s="1" t="s">
        <v>262</v>
      </c>
      <c r="C2145" s="5">
        <f>DATE(2025, 7, 14) + TIME(12, 10, 4)</f>
        <v>45852.506990740738</v>
      </c>
      <c r="D2145" s="1" t="s">
        <v>320</v>
      </c>
      <c r="E2145" s="1" t="s">
        <v>736</v>
      </c>
    </row>
    <row r="2146" spans="1:5" x14ac:dyDescent="0.2">
      <c r="A2146" s="1" t="s">
        <v>751</v>
      </c>
      <c r="B2146" s="1" t="s">
        <v>51</v>
      </c>
      <c r="C2146" s="5">
        <f>DATE(2025, 7, 10) + TIME(12, 48, 4)</f>
        <v>45848.533379629633</v>
      </c>
      <c r="D2146" s="1" t="s">
        <v>341</v>
      </c>
      <c r="E2146" s="1" t="s">
        <v>442</v>
      </c>
    </row>
    <row r="2147" spans="1:5" x14ac:dyDescent="0.2">
      <c r="A2147" s="1" t="s">
        <v>751</v>
      </c>
      <c r="B2147" s="1" t="s">
        <v>60</v>
      </c>
      <c r="C2147" s="5">
        <f>DATE(2025, 7, 10) + TIME(12, 25, 37)</f>
        <v>45848.517789351848</v>
      </c>
      <c r="D2147" s="1" t="s">
        <v>863</v>
      </c>
      <c r="E2147" s="1" t="s">
        <v>80</v>
      </c>
    </row>
    <row r="2148" spans="1:5" x14ac:dyDescent="0.2">
      <c r="A2148" s="1" t="s">
        <v>751</v>
      </c>
      <c r="B2148" s="1" t="s">
        <v>262</v>
      </c>
      <c r="C2148" s="5">
        <f>DATE(2025, 7, 10) + TIME(10, 37, 15)</f>
        <v>45848.44253472222</v>
      </c>
      <c r="D2148" s="1" t="s">
        <v>863</v>
      </c>
      <c r="E2148" s="1" t="s">
        <v>624</v>
      </c>
    </row>
    <row r="2149" spans="1:5" x14ac:dyDescent="0.2">
      <c r="A2149" s="1" t="s">
        <v>751</v>
      </c>
      <c r="B2149" s="1" t="s">
        <v>963</v>
      </c>
      <c r="C2149" s="5">
        <f>DATE(2025, 7, 9) + TIME(16, 43, 13)</f>
        <v>45847.69667824074</v>
      </c>
      <c r="D2149" s="1" t="s">
        <v>216</v>
      </c>
      <c r="E2149" s="1" t="s">
        <v>184</v>
      </c>
    </row>
    <row r="2150" spans="1:5" x14ac:dyDescent="0.2">
      <c r="A2150" s="1" t="s">
        <v>751</v>
      </c>
      <c r="B2150" s="1" t="s">
        <v>60</v>
      </c>
      <c r="C2150" s="5">
        <f>DATE(2025, 7, 9) + TIME(15, 23, 24)</f>
        <v>45847.641250000001</v>
      </c>
      <c r="D2150" s="1" t="s">
        <v>563</v>
      </c>
      <c r="E2150" s="1" t="s">
        <v>475</v>
      </c>
    </row>
    <row r="2151" spans="1:5" x14ac:dyDescent="0.2">
      <c r="A2151" s="1" t="s">
        <v>751</v>
      </c>
      <c r="B2151" s="1" t="s">
        <v>141</v>
      </c>
      <c r="C2151" s="5">
        <f>DATE(2025, 7, 9) + TIME(13, 54, 54)</f>
        <v>45847.579791666663</v>
      </c>
      <c r="D2151" s="1" t="s">
        <v>64</v>
      </c>
      <c r="E2151" s="1" t="s">
        <v>326</v>
      </c>
    </row>
    <row r="2152" spans="1:5" x14ac:dyDescent="0.2">
      <c r="A2152" s="1" t="s">
        <v>751</v>
      </c>
      <c r="B2152" s="1" t="s">
        <v>229</v>
      </c>
      <c r="C2152" s="5">
        <f>DATE(2025, 7, 8) + TIME(11, 30, 43)</f>
        <v>45846.479664351849</v>
      </c>
      <c r="D2152" s="1" t="s">
        <v>396</v>
      </c>
      <c r="E2152" s="1" t="s">
        <v>553</v>
      </c>
    </row>
    <row r="2153" spans="1:5" x14ac:dyDescent="0.2">
      <c r="A2153" s="1" t="s">
        <v>751</v>
      </c>
      <c r="B2153" s="1" t="s">
        <v>60</v>
      </c>
      <c r="C2153" s="5">
        <f>DATE(2025, 7, 3) + TIME(15, 30, 37)</f>
        <v>45841.646261574075</v>
      </c>
      <c r="D2153" s="1" t="s">
        <v>148</v>
      </c>
      <c r="E2153" s="1" t="s">
        <v>221</v>
      </c>
    </row>
    <row r="2154" spans="1:5" x14ac:dyDescent="0.2">
      <c r="A2154" s="1" t="s">
        <v>751</v>
      </c>
      <c r="B2154" s="1" t="s">
        <v>642</v>
      </c>
      <c r="C2154" s="5">
        <f>DATE(2025, 7, 3) + TIME(9, 37, 5)</f>
        <v>45841.400752314818</v>
      </c>
      <c r="D2154" s="1" t="s">
        <v>640</v>
      </c>
      <c r="E2154" s="1" t="s">
        <v>834</v>
      </c>
    </row>
    <row r="2155" spans="1:5" x14ac:dyDescent="0.2">
      <c r="A2155" s="1" t="s">
        <v>751</v>
      </c>
      <c r="B2155" s="1" t="s">
        <v>564</v>
      </c>
      <c r="C2155" s="5">
        <f>DATE(2025, 7, 2) + TIME(8, 7, 47)</f>
        <v>45840.338738425926</v>
      </c>
      <c r="D2155" s="1" t="s">
        <v>640</v>
      </c>
      <c r="E2155" s="1" t="s">
        <v>10</v>
      </c>
    </row>
    <row r="2156" spans="1:5" x14ac:dyDescent="0.2">
      <c r="A2156" s="1" t="s">
        <v>751</v>
      </c>
      <c r="B2156" s="1" t="s">
        <v>963</v>
      </c>
      <c r="C2156" s="5">
        <f>DATE(2025, 7, 2) + TIME(6, 35, 48)</f>
        <v>45840.274861111109</v>
      </c>
      <c r="D2156" s="1" t="s">
        <v>216</v>
      </c>
      <c r="E2156" s="1" t="s">
        <v>184</v>
      </c>
    </row>
    <row r="2157" spans="1:5" x14ac:dyDescent="0.2">
      <c r="A2157" s="1" t="s">
        <v>751</v>
      </c>
      <c r="B2157" s="1" t="s">
        <v>526</v>
      </c>
      <c r="C2157" s="5">
        <f>DATE(2025, 7, 1) + TIME(10, 30, 34)</f>
        <v>45839.437893518516</v>
      </c>
      <c r="D2157" s="1" t="s">
        <v>506</v>
      </c>
      <c r="E2157" s="1" t="s">
        <v>446</v>
      </c>
    </row>
    <row r="2158" spans="1:5" x14ac:dyDescent="0.2">
      <c r="A2158" s="1" t="s">
        <v>751</v>
      </c>
      <c r="B2158" s="1" t="s">
        <v>262</v>
      </c>
      <c r="C2158" s="5">
        <f>DATE(2025, 7, 1) + TIME(9, 15, 24)</f>
        <v>45839.385694444441</v>
      </c>
      <c r="D2158" s="1" t="s">
        <v>640</v>
      </c>
      <c r="E2158" s="1" t="s">
        <v>726</v>
      </c>
    </row>
    <row r="2159" spans="1:5" x14ac:dyDescent="0.2">
      <c r="A2159" s="1" t="s">
        <v>751</v>
      </c>
      <c r="B2159" s="1" t="s">
        <v>60</v>
      </c>
      <c r="C2159" s="5">
        <f>DATE(2025, 7, 1) + TIME(5, 50, 24)</f>
        <v>45839.243333333332</v>
      </c>
      <c r="D2159" s="1" t="s">
        <v>3</v>
      </c>
      <c r="E2159" s="1" t="s">
        <v>554</v>
      </c>
    </row>
    <row r="2160" spans="1:5" x14ac:dyDescent="0.2">
      <c r="A2160" s="1" t="s">
        <v>751</v>
      </c>
      <c r="B2160" s="1" t="s">
        <v>963</v>
      </c>
      <c r="C2160" s="5">
        <f>DATE(2025, 6, 30) + TIME(4, 31, 21)</f>
        <v>45838.188437500001</v>
      </c>
      <c r="D2160" s="1" t="s">
        <v>3</v>
      </c>
      <c r="E2160" s="1" t="s">
        <v>481</v>
      </c>
    </row>
    <row r="2161" spans="1:5" x14ac:dyDescent="0.2">
      <c r="A2161" s="1" t="s">
        <v>751</v>
      </c>
      <c r="B2161" s="1" t="s">
        <v>60</v>
      </c>
      <c r="C2161" s="5">
        <f>DATE(2025, 6, 26) + TIME(15, 57, 17)</f>
        <v>45834.664780092593</v>
      </c>
      <c r="D2161" s="1" t="s">
        <v>148</v>
      </c>
      <c r="E2161" s="1" t="s">
        <v>221</v>
      </c>
    </row>
    <row r="2162" spans="1:5" x14ac:dyDescent="0.2">
      <c r="A2162" s="1" t="s">
        <v>751</v>
      </c>
      <c r="B2162" s="1" t="s">
        <v>526</v>
      </c>
      <c r="C2162" s="5">
        <f>DATE(2025, 6, 26) + TIME(15, 11, 59)</f>
        <v>45834.633321759262</v>
      </c>
      <c r="D2162" s="1" t="s">
        <v>863</v>
      </c>
      <c r="E2162" s="1" t="s">
        <v>624</v>
      </c>
    </row>
    <row r="2163" spans="1:5" x14ac:dyDescent="0.2">
      <c r="A2163" s="1" t="s">
        <v>751</v>
      </c>
      <c r="B2163" s="1" t="s">
        <v>963</v>
      </c>
      <c r="C2163" s="5">
        <f>DATE(2025, 6, 26) + TIME(14, 29, 53)</f>
        <v>45834.604085648149</v>
      </c>
      <c r="D2163" s="1" t="s">
        <v>65</v>
      </c>
      <c r="E2163" s="1" t="s">
        <v>910</v>
      </c>
    </row>
    <row r="2164" spans="1:5" x14ac:dyDescent="0.2">
      <c r="A2164" s="1" t="s">
        <v>751</v>
      </c>
      <c r="B2164" s="1" t="s">
        <v>963</v>
      </c>
      <c r="C2164" s="5">
        <f>DATE(2025, 6, 26) + TIME(14, 5, 28)</f>
        <v>45834.587129629632</v>
      </c>
      <c r="D2164" s="1" t="s">
        <v>638</v>
      </c>
      <c r="E2164" s="1" t="s">
        <v>384</v>
      </c>
    </row>
    <row r="2165" spans="1:5" x14ac:dyDescent="0.2">
      <c r="A2165" s="1" t="s">
        <v>751</v>
      </c>
      <c r="B2165" s="1" t="s">
        <v>856</v>
      </c>
      <c r="C2165" s="5">
        <f>DATE(2025, 6, 26) + TIME(10, 13, 55)</f>
        <v>45834.42633101852</v>
      </c>
      <c r="D2165" s="1" t="s">
        <v>506</v>
      </c>
      <c r="E2165" s="1" t="s">
        <v>200</v>
      </c>
    </row>
    <row r="2166" spans="1:5" x14ac:dyDescent="0.2">
      <c r="A2166" s="1" t="s">
        <v>751</v>
      </c>
      <c r="B2166" s="1" t="s">
        <v>51</v>
      </c>
      <c r="C2166" s="5">
        <f>DATE(2025, 6, 26) + TIME(10, 13, 55)</f>
        <v>45834.42633101852</v>
      </c>
      <c r="D2166" s="1" t="s">
        <v>506</v>
      </c>
      <c r="E2166" s="1" t="s">
        <v>488</v>
      </c>
    </row>
    <row r="2167" spans="1:5" x14ac:dyDescent="0.2">
      <c r="A2167" s="1" t="s">
        <v>751</v>
      </c>
      <c r="B2167" s="1" t="s">
        <v>139</v>
      </c>
      <c r="C2167" s="5">
        <f>DATE(2025, 6, 25) + TIME(15, 43, 16)</f>
        <v>45833.655046296299</v>
      </c>
      <c r="D2167" s="1" t="s">
        <v>144</v>
      </c>
      <c r="E2167" s="1" t="s">
        <v>293</v>
      </c>
    </row>
    <row r="2168" spans="1:5" x14ac:dyDescent="0.2">
      <c r="A2168" s="1" t="s">
        <v>751</v>
      </c>
      <c r="B2168" s="1" t="s">
        <v>817</v>
      </c>
      <c r="C2168" s="5">
        <f>DATE(2025, 6, 25) + TIME(15, 43, 15)</f>
        <v>45833.655034722222</v>
      </c>
      <c r="D2168" s="1" t="s">
        <v>144</v>
      </c>
      <c r="E2168" s="1" t="s">
        <v>293</v>
      </c>
    </row>
    <row r="2169" spans="1:5" x14ac:dyDescent="0.2">
      <c r="A2169" s="1" t="s">
        <v>751</v>
      </c>
      <c r="B2169" s="1" t="s">
        <v>644</v>
      </c>
      <c r="C2169" s="5">
        <f>DATE(2025, 6, 25) + TIME(15, 43, 15)</f>
        <v>45833.655034722222</v>
      </c>
      <c r="D2169" s="1" t="s">
        <v>144</v>
      </c>
      <c r="E2169" s="1" t="s">
        <v>293</v>
      </c>
    </row>
    <row r="2170" spans="1:5" x14ac:dyDescent="0.2">
      <c r="A2170" s="1" t="s">
        <v>751</v>
      </c>
      <c r="B2170" s="1" t="s">
        <v>51</v>
      </c>
      <c r="C2170" s="5">
        <f>DATE(2025, 6, 25) + TIME(12, 57, 20)</f>
        <v>45833.539814814816</v>
      </c>
      <c r="D2170" s="1" t="s">
        <v>64</v>
      </c>
      <c r="E2170" s="1" t="s">
        <v>326</v>
      </c>
    </row>
    <row r="2171" spans="1:5" x14ac:dyDescent="0.2">
      <c r="A2171" s="1" t="s">
        <v>751</v>
      </c>
      <c r="B2171" s="1" t="s">
        <v>526</v>
      </c>
      <c r="C2171" s="5">
        <f>DATE(2025, 6, 24) + TIME(13, 33, 11)</f>
        <v>45832.564710648148</v>
      </c>
      <c r="D2171" s="1" t="s">
        <v>148</v>
      </c>
      <c r="E2171" s="1" t="s">
        <v>857</v>
      </c>
    </row>
    <row r="2172" spans="1:5" x14ac:dyDescent="0.2">
      <c r="A2172" s="1" t="s">
        <v>751</v>
      </c>
      <c r="B2172" s="1" t="s">
        <v>670</v>
      </c>
      <c r="C2172" s="5">
        <f>DATE(2025, 6, 23) + TIME(10, 54, 17)</f>
        <v>45831.454363425924</v>
      </c>
      <c r="D2172" s="1" t="s">
        <v>320</v>
      </c>
      <c r="E2172" s="1" t="s">
        <v>332</v>
      </c>
    </row>
    <row r="2173" spans="1:5" x14ac:dyDescent="0.2">
      <c r="A2173" s="1" t="s">
        <v>751</v>
      </c>
      <c r="B2173" s="1" t="s">
        <v>202</v>
      </c>
      <c r="C2173" s="5">
        <f>DATE(2025, 6, 23) + TIME(10, 54, 17)</f>
        <v>45831.454363425924</v>
      </c>
      <c r="D2173" s="1" t="s">
        <v>320</v>
      </c>
      <c r="E2173" s="1" t="s">
        <v>332</v>
      </c>
    </row>
    <row r="2174" spans="1:5" x14ac:dyDescent="0.2">
      <c r="A2174" s="1" t="s">
        <v>751</v>
      </c>
      <c r="B2174" s="1" t="s">
        <v>526</v>
      </c>
      <c r="C2174" s="5">
        <f>DATE(2025, 6, 23) + TIME(4, 32, 18)</f>
        <v>45831.189097222225</v>
      </c>
      <c r="D2174" s="1" t="s">
        <v>3</v>
      </c>
      <c r="E2174" s="1" t="s">
        <v>89</v>
      </c>
    </row>
    <row r="2175" spans="1:5" x14ac:dyDescent="0.2">
      <c r="A2175" s="1" t="s">
        <v>751</v>
      </c>
      <c r="B2175" s="1" t="s">
        <v>526</v>
      </c>
      <c r="C2175" s="5">
        <f>DATE(2025, 6, 19) + TIME(14, 56, 54)</f>
        <v>45827.622847222221</v>
      </c>
      <c r="D2175" s="1" t="s">
        <v>144</v>
      </c>
      <c r="E2175" s="1" t="s">
        <v>971</v>
      </c>
    </row>
    <row r="2176" spans="1:5" x14ac:dyDescent="0.2">
      <c r="A2176" s="1" t="s">
        <v>751</v>
      </c>
      <c r="B2176" s="1" t="s">
        <v>866</v>
      </c>
      <c r="C2176" s="5">
        <f>DATE(2025, 6, 19) + TIME(13, 31, 22)</f>
        <v>45827.563449074078</v>
      </c>
      <c r="D2176" s="1" t="s">
        <v>563</v>
      </c>
      <c r="E2176" s="1" t="s">
        <v>68</v>
      </c>
    </row>
    <row r="2177" spans="1:5" x14ac:dyDescent="0.2">
      <c r="A2177" s="1" t="s">
        <v>751</v>
      </c>
      <c r="B2177" s="1" t="s">
        <v>866</v>
      </c>
      <c r="C2177" s="5">
        <f>DATE(2025, 6, 19) + TIME(12, 44, 42)</f>
        <v>45827.531041666669</v>
      </c>
      <c r="D2177" s="1" t="s">
        <v>863</v>
      </c>
      <c r="E2177" s="1" t="s">
        <v>711</v>
      </c>
    </row>
    <row r="2178" spans="1:5" x14ac:dyDescent="0.2">
      <c r="A2178" s="1" t="s">
        <v>751</v>
      </c>
      <c r="B2178" s="1" t="s">
        <v>323</v>
      </c>
      <c r="C2178" s="5">
        <f>DATE(2025, 6, 19) + TIME(12, 44, 42)</f>
        <v>45827.531041666669</v>
      </c>
      <c r="D2178" s="1" t="s">
        <v>863</v>
      </c>
      <c r="E2178" s="1" t="s">
        <v>711</v>
      </c>
    </row>
    <row r="2179" spans="1:5" x14ac:dyDescent="0.2">
      <c r="A2179" s="1" t="s">
        <v>751</v>
      </c>
      <c r="B2179" s="1" t="s">
        <v>141</v>
      </c>
      <c r="C2179" s="5">
        <f>DATE(2025, 6, 19) + TIME(12, 28, 56)</f>
        <v>45827.520092592589</v>
      </c>
      <c r="D2179" s="1" t="s">
        <v>459</v>
      </c>
      <c r="E2179" s="1" t="s">
        <v>528</v>
      </c>
    </row>
    <row r="2180" spans="1:5" x14ac:dyDescent="0.2">
      <c r="A2180" s="1" t="s">
        <v>751</v>
      </c>
      <c r="B2180" s="1" t="s">
        <v>866</v>
      </c>
      <c r="C2180" s="5">
        <f>DATE(2025, 6, 19) + TIME(11, 1, 55)</f>
        <v>45827.459664351853</v>
      </c>
      <c r="D2180" s="1" t="s">
        <v>863</v>
      </c>
      <c r="E2180" s="1" t="s">
        <v>80</v>
      </c>
    </row>
    <row r="2181" spans="1:5" x14ac:dyDescent="0.2">
      <c r="A2181" s="1" t="s">
        <v>751</v>
      </c>
      <c r="B2181" s="1" t="s">
        <v>51</v>
      </c>
      <c r="C2181" s="5">
        <f>DATE(2025, 6, 19) + TIME(9, 54, 7)</f>
        <v>45827.412581018521</v>
      </c>
      <c r="D2181" s="1" t="s">
        <v>216</v>
      </c>
      <c r="E2181" s="1" t="s">
        <v>610</v>
      </c>
    </row>
    <row r="2182" spans="1:5" x14ac:dyDescent="0.2">
      <c r="A2182" s="1" t="s">
        <v>751</v>
      </c>
      <c r="B2182" s="1" t="s">
        <v>202</v>
      </c>
      <c r="C2182" s="5">
        <f>DATE(2025, 6, 19) + TIME(9, 46, 37)</f>
        <v>45827.407372685186</v>
      </c>
      <c r="D2182" s="1" t="s">
        <v>638</v>
      </c>
      <c r="E2182" s="1" t="s">
        <v>172</v>
      </c>
    </row>
    <row r="2183" spans="1:5" x14ac:dyDescent="0.2">
      <c r="A2183" s="1" t="s">
        <v>751</v>
      </c>
      <c r="B2183" s="1" t="s">
        <v>670</v>
      </c>
      <c r="C2183" s="5">
        <f>DATE(2025, 6, 19) + TIME(9, 46, 37)</f>
        <v>45827.407372685186</v>
      </c>
      <c r="D2183" s="1" t="s">
        <v>638</v>
      </c>
      <c r="E2183" s="1" t="s">
        <v>172</v>
      </c>
    </row>
    <row r="2184" spans="1:5" x14ac:dyDescent="0.2">
      <c r="A2184" s="1" t="s">
        <v>751</v>
      </c>
      <c r="B2184" s="1" t="s">
        <v>51</v>
      </c>
      <c r="C2184" s="5">
        <f>DATE(2025, 6, 17) + TIME(15, 14, 33)</f>
        <v>45825.635104166664</v>
      </c>
      <c r="D2184" s="1" t="s">
        <v>459</v>
      </c>
      <c r="E2184" s="1" t="s">
        <v>953</v>
      </c>
    </row>
    <row r="2185" spans="1:5" x14ac:dyDescent="0.2">
      <c r="A2185" s="1" t="s">
        <v>751</v>
      </c>
      <c r="B2185" s="1" t="s">
        <v>318</v>
      </c>
      <c r="C2185" s="5">
        <f>DATE(2025, 6, 17) + TIME(10, 46, 29)</f>
        <v>45825.448946759258</v>
      </c>
      <c r="D2185" s="1" t="s">
        <v>640</v>
      </c>
      <c r="E2185" s="1" t="s">
        <v>726</v>
      </c>
    </row>
    <row r="2186" spans="1:5" x14ac:dyDescent="0.2">
      <c r="A2186" s="1" t="s">
        <v>751</v>
      </c>
      <c r="B2186" s="1" t="s">
        <v>202</v>
      </c>
      <c r="C2186" s="5">
        <f>DATE(2025, 6, 16) + TIME(10, 40, 15)</f>
        <v>45824.444618055553</v>
      </c>
      <c r="D2186" s="1" t="s">
        <v>459</v>
      </c>
      <c r="E2186" s="1" t="s">
        <v>528</v>
      </c>
    </row>
    <row r="2187" spans="1:5" x14ac:dyDescent="0.2">
      <c r="A2187" s="1" t="s">
        <v>751</v>
      </c>
      <c r="B2187" s="1" t="s">
        <v>860</v>
      </c>
      <c r="C2187" s="5">
        <f>DATE(2025, 6, 12) + TIME(14, 32, 10)</f>
        <v>45820.605671296296</v>
      </c>
      <c r="D2187" s="1" t="s">
        <v>638</v>
      </c>
      <c r="E2187" s="1" t="s">
        <v>172</v>
      </c>
    </row>
    <row r="2188" spans="1:5" x14ac:dyDescent="0.2">
      <c r="A2188" s="1" t="s">
        <v>751</v>
      </c>
      <c r="B2188" s="1" t="s">
        <v>202</v>
      </c>
      <c r="C2188" s="5">
        <f>DATE(2025, 6, 12) + TIME(13, 23, 20)</f>
        <v>45820.557870370372</v>
      </c>
      <c r="D2188" s="1" t="s">
        <v>148</v>
      </c>
      <c r="E2188" s="1" t="s">
        <v>221</v>
      </c>
    </row>
    <row r="2189" spans="1:5" x14ac:dyDescent="0.2">
      <c r="A2189" s="1" t="s">
        <v>751</v>
      </c>
      <c r="B2189" s="1" t="s">
        <v>670</v>
      </c>
      <c r="C2189" s="5">
        <f>DATE(2025, 6, 12) + TIME(12, 39, 59)</f>
        <v>45820.527766203704</v>
      </c>
      <c r="D2189" s="1" t="s">
        <v>450</v>
      </c>
      <c r="E2189" s="1" t="s">
        <v>442</v>
      </c>
    </row>
    <row r="2190" spans="1:5" x14ac:dyDescent="0.2">
      <c r="A2190" s="1" t="s">
        <v>751</v>
      </c>
      <c r="B2190" s="1" t="s">
        <v>141</v>
      </c>
      <c r="C2190" s="5">
        <f>DATE(2025, 6, 12) + TIME(12, 39, 59)</f>
        <v>45820.527766203704</v>
      </c>
      <c r="D2190" s="1" t="s">
        <v>450</v>
      </c>
      <c r="E2190" s="1" t="s">
        <v>442</v>
      </c>
    </row>
    <row r="2191" spans="1:5" x14ac:dyDescent="0.2">
      <c r="A2191" s="1" t="s">
        <v>751</v>
      </c>
      <c r="B2191" s="1" t="s">
        <v>526</v>
      </c>
      <c r="C2191" s="5">
        <f>DATE(2025, 6, 12) + TIME(8, 48, 38)</f>
        <v>45820.367106481484</v>
      </c>
      <c r="D2191" s="1" t="s">
        <v>216</v>
      </c>
      <c r="E2191" s="1" t="s">
        <v>756</v>
      </c>
    </row>
    <row r="2192" spans="1:5" x14ac:dyDescent="0.2">
      <c r="A2192" s="1" t="s">
        <v>751</v>
      </c>
      <c r="B2192" s="1" t="s">
        <v>451</v>
      </c>
      <c r="C2192" s="5">
        <f>DATE(2025, 6, 11) + TIME(15, 21, 32)</f>
        <v>45819.639953703707</v>
      </c>
      <c r="D2192" s="1" t="s">
        <v>144</v>
      </c>
      <c r="E2192" s="1" t="s">
        <v>826</v>
      </c>
    </row>
    <row r="2193" spans="1:5" x14ac:dyDescent="0.2">
      <c r="A2193" s="1" t="s">
        <v>751</v>
      </c>
      <c r="B2193" s="1" t="s">
        <v>866</v>
      </c>
      <c r="C2193" s="5">
        <f>DATE(2025, 6, 11) + TIME(12, 8, 8)</f>
        <v>45819.505648148152</v>
      </c>
      <c r="D2193" s="1" t="s">
        <v>563</v>
      </c>
      <c r="E2193" s="1" t="s">
        <v>475</v>
      </c>
    </row>
    <row r="2194" spans="1:5" x14ac:dyDescent="0.2">
      <c r="A2194" s="1" t="s">
        <v>751</v>
      </c>
      <c r="B2194" s="1" t="s">
        <v>678</v>
      </c>
      <c r="C2194" s="5">
        <f>DATE(2025, 6, 11) + TIME(11, 46, 50)</f>
        <v>45819.490856481483</v>
      </c>
      <c r="D2194" s="1" t="s">
        <v>576</v>
      </c>
      <c r="E2194" s="1" t="s">
        <v>972</v>
      </c>
    </row>
    <row r="2195" spans="1:5" x14ac:dyDescent="0.2">
      <c r="A2195" s="1" t="s">
        <v>751</v>
      </c>
      <c r="B2195" s="1" t="s">
        <v>452</v>
      </c>
      <c r="C2195" s="5">
        <f>DATE(2025, 6, 11) + TIME(8, 15, 56)</f>
        <v>45819.344398148147</v>
      </c>
      <c r="D2195" s="1" t="s">
        <v>640</v>
      </c>
      <c r="E2195" s="1" t="s">
        <v>10</v>
      </c>
    </row>
    <row r="2196" spans="1:5" x14ac:dyDescent="0.2">
      <c r="A2196" s="1" t="s">
        <v>751</v>
      </c>
      <c r="B2196" s="1" t="s">
        <v>51</v>
      </c>
      <c r="C2196" s="5">
        <f>DATE(2025, 6, 10) + TIME(14, 41, 13)</f>
        <v>45818.611956018518</v>
      </c>
      <c r="D2196" s="1" t="s">
        <v>148</v>
      </c>
      <c r="E2196" s="1" t="s">
        <v>929</v>
      </c>
    </row>
    <row r="2197" spans="1:5" x14ac:dyDescent="0.2">
      <c r="A2197" s="1" t="s">
        <v>751</v>
      </c>
      <c r="B2197" s="1" t="s">
        <v>371</v>
      </c>
      <c r="C2197" s="5">
        <f>DATE(2025, 6, 10) + TIME(12, 54, 11)</f>
        <v>45818.537627314814</v>
      </c>
      <c r="D2197" s="1" t="s">
        <v>506</v>
      </c>
      <c r="E2197" s="1" t="s">
        <v>509</v>
      </c>
    </row>
    <row r="2198" spans="1:5" x14ac:dyDescent="0.2">
      <c r="A2198" s="1" t="s">
        <v>751</v>
      </c>
      <c r="B2198" s="1" t="s">
        <v>452</v>
      </c>
      <c r="C2198" s="5">
        <f>DATE(2025, 6, 9) + TIME(14, 33, 17)</f>
        <v>45817.606446759259</v>
      </c>
      <c r="D2198" s="1" t="s">
        <v>148</v>
      </c>
      <c r="E2198" s="1" t="s">
        <v>221</v>
      </c>
    </row>
    <row r="2199" spans="1:5" x14ac:dyDescent="0.2">
      <c r="A2199" s="1" t="s">
        <v>751</v>
      </c>
      <c r="B2199" s="1" t="s">
        <v>564</v>
      </c>
      <c r="C2199" s="5">
        <f>DATE(2025, 6, 9) + TIME(10, 27, 26)</f>
        <v>45817.435717592591</v>
      </c>
      <c r="D2199" s="1" t="s">
        <v>320</v>
      </c>
      <c r="E2199" s="1" t="s">
        <v>332</v>
      </c>
    </row>
    <row r="2200" spans="1:5" x14ac:dyDescent="0.2">
      <c r="A2200" s="1" t="s">
        <v>751</v>
      </c>
      <c r="B2200" s="1" t="s">
        <v>670</v>
      </c>
      <c r="C2200" s="5">
        <f>DATE(2025, 6, 9) + TIME(10, 27, 26)</f>
        <v>45817.435717592591</v>
      </c>
      <c r="D2200" s="1" t="s">
        <v>320</v>
      </c>
      <c r="E2200" s="1" t="s">
        <v>332</v>
      </c>
    </row>
    <row r="2201" spans="1:5" x14ac:dyDescent="0.2">
      <c r="A2201" s="1" t="s">
        <v>751</v>
      </c>
      <c r="B2201" s="1" t="s">
        <v>856</v>
      </c>
      <c r="C2201" s="5">
        <f>DATE(2025, 6, 5) + TIME(14, 45, 28)</f>
        <v>45813.614907407406</v>
      </c>
      <c r="D2201" s="1" t="s">
        <v>216</v>
      </c>
      <c r="E2201" s="1" t="s">
        <v>756</v>
      </c>
    </row>
    <row r="2202" spans="1:5" x14ac:dyDescent="0.2">
      <c r="A2202" s="1" t="s">
        <v>751</v>
      </c>
      <c r="B2202" s="1" t="s">
        <v>707</v>
      </c>
      <c r="C2202" s="5">
        <f>DATE(2025, 6, 5) + TIME(10, 28, 26)</f>
        <v>45813.436412037037</v>
      </c>
      <c r="D2202" s="1" t="s">
        <v>3</v>
      </c>
      <c r="E2202" s="1" t="s">
        <v>515</v>
      </c>
    </row>
    <row r="2203" spans="1:5" x14ac:dyDescent="0.2">
      <c r="A2203" s="1" t="s">
        <v>751</v>
      </c>
      <c r="B2203" s="1" t="s">
        <v>51</v>
      </c>
      <c r="C2203" s="5">
        <f>DATE(2025, 6, 4) + TIME(14, 45, 38)</f>
        <v>45812.615023148152</v>
      </c>
      <c r="D2203" s="1" t="s">
        <v>3</v>
      </c>
      <c r="E2203" s="1" t="s">
        <v>628</v>
      </c>
    </row>
    <row r="2204" spans="1:5" x14ac:dyDescent="0.2">
      <c r="A2204" s="1" t="s">
        <v>751</v>
      </c>
      <c r="B2204" s="1" t="s">
        <v>51</v>
      </c>
      <c r="C2204" s="5">
        <f>DATE(2025, 6, 4) + TIME(13, 1, 14)</f>
        <v>45812.542523148149</v>
      </c>
      <c r="D2204" s="1" t="s">
        <v>3</v>
      </c>
      <c r="E2204" s="1" t="s">
        <v>132</v>
      </c>
    </row>
    <row r="2205" spans="1:5" x14ac:dyDescent="0.2">
      <c r="A2205" s="1" t="s">
        <v>751</v>
      </c>
      <c r="B2205" s="1" t="s">
        <v>707</v>
      </c>
      <c r="C2205" s="5">
        <f>DATE(2025, 6, 4) + TIME(10, 1, 57)</f>
        <v>45812.418020833335</v>
      </c>
      <c r="D2205" s="1" t="s">
        <v>64</v>
      </c>
      <c r="E2205" s="1" t="s">
        <v>326</v>
      </c>
    </row>
    <row r="2206" spans="1:5" x14ac:dyDescent="0.2">
      <c r="A2206" s="1" t="s">
        <v>751</v>
      </c>
      <c r="B2206" s="1" t="s">
        <v>262</v>
      </c>
      <c r="C2206" s="5">
        <f>DATE(2025, 5, 28) + TIME(15, 34, 27)</f>
        <v>45805.648923611108</v>
      </c>
      <c r="D2206" s="1" t="s">
        <v>269</v>
      </c>
      <c r="E2206" s="1" t="s">
        <v>783</v>
      </c>
    </row>
    <row r="2207" spans="1:5" x14ac:dyDescent="0.2">
      <c r="A2207" s="1" t="s">
        <v>751</v>
      </c>
      <c r="B2207" s="1" t="s">
        <v>262</v>
      </c>
      <c r="C2207" s="5">
        <f>DATE(2025, 5, 28) + TIME(15, 34, 27)</f>
        <v>45805.648923611108</v>
      </c>
      <c r="D2207" s="1" t="s">
        <v>269</v>
      </c>
      <c r="E2207" s="1" t="s">
        <v>653</v>
      </c>
    </row>
    <row r="2208" spans="1:5" x14ac:dyDescent="0.2">
      <c r="A2208" s="1" t="s">
        <v>751</v>
      </c>
      <c r="B2208" s="1" t="s">
        <v>229</v>
      </c>
      <c r="C2208" s="5">
        <f>DATE(2025, 5, 28) + TIME(15, 13, 51)</f>
        <v>45805.634618055556</v>
      </c>
      <c r="D2208" s="1" t="s">
        <v>148</v>
      </c>
      <c r="E2208" s="1" t="s">
        <v>891</v>
      </c>
    </row>
    <row r="2209" spans="1:5" x14ac:dyDescent="0.2">
      <c r="A2209" s="1" t="s">
        <v>751</v>
      </c>
      <c r="B2209" s="1" t="s">
        <v>856</v>
      </c>
      <c r="C2209" s="5">
        <f>DATE(2025, 5, 27) + TIME(6, 51, 9)</f>
        <v>45804.285520833335</v>
      </c>
      <c r="D2209" s="1" t="s">
        <v>65</v>
      </c>
      <c r="E2209" s="1" t="s">
        <v>495</v>
      </c>
    </row>
    <row r="2210" spans="1:5" x14ac:dyDescent="0.2">
      <c r="A2210" s="1" t="s">
        <v>751</v>
      </c>
      <c r="B2210" s="1" t="s">
        <v>262</v>
      </c>
      <c r="C2210" s="5">
        <f>DATE(2025, 5, 27) + TIME(6, 51, 9)</f>
        <v>45804.285520833335</v>
      </c>
      <c r="D2210" s="1" t="s">
        <v>65</v>
      </c>
      <c r="E2210" s="1" t="s">
        <v>495</v>
      </c>
    </row>
    <row r="2211" spans="1:5" x14ac:dyDescent="0.2">
      <c r="A2211" s="1" t="s">
        <v>751</v>
      </c>
      <c r="B2211" s="1" t="s">
        <v>714</v>
      </c>
      <c r="C2211" s="5">
        <f>DATE(2025, 5, 22) + TIME(12, 21, 26)</f>
        <v>45799.514884259261</v>
      </c>
      <c r="D2211" s="1" t="s">
        <v>3</v>
      </c>
      <c r="E2211" s="1" t="s">
        <v>628</v>
      </c>
    </row>
    <row r="2212" spans="1:5" x14ac:dyDescent="0.2">
      <c r="A2212" s="1" t="s">
        <v>751</v>
      </c>
      <c r="B2212" s="1" t="s">
        <v>707</v>
      </c>
      <c r="C2212" s="5">
        <f>DATE(2025, 5, 22) + TIME(11, 54, 47)</f>
        <v>45799.496377314812</v>
      </c>
      <c r="D2212" s="1" t="s">
        <v>450</v>
      </c>
      <c r="E2212" s="1" t="s">
        <v>442</v>
      </c>
    </row>
    <row r="2213" spans="1:5" x14ac:dyDescent="0.2">
      <c r="A2213" s="1" t="s">
        <v>751</v>
      </c>
      <c r="B2213" s="1" t="s">
        <v>323</v>
      </c>
      <c r="C2213" s="5">
        <f>DATE(2025, 5, 22) + TIME(10, 34, 11)</f>
        <v>45799.440405092595</v>
      </c>
      <c r="D2213" s="1" t="s">
        <v>148</v>
      </c>
      <c r="E2213" s="1" t="s">
        <v>221</v>
      </c>
    </row>
    <row r="2214" spans="1:5" x14ac:dyDescent="0.2">
      <c r="A2214" s="1" t="s">
        <v>751</v>
      </c>
      <c r="B2214" s="1" t="s">
        <v>856</v>
      </c>
      <c r="C2214" s="5">
        <f>DATE(2025, 5, 22) + TIME(9, 5, 59)</f>
        <v>45799.379155092596</v>
      </c>
      <c r="D2214" s="1" t="s">
        <v>65</v>
      </c>
      <c r="E2214" s="1" t="s">
        <v>429</v>
      </c>
    </row>
    <row r="2215" spans="1:5" x14ac:dyDescent="0.2">
      <c r="A2215" s="1" t="s">
        <v>751</v>
      </c>
      <c r="B2215" s="1" t="s">
        <v>51</v>
      </c>
      <c r="C2215" s="5">
        <f>DATE(2025, 5, 22) + TIME(4, 58, 52)</f>
        <v>45799.207546296297</v>
      </c>
      <c r="D2215" s="1" t="s">
        <v>3</v>
      </c>
      <c r="E2215" s="1" t="s">
        <v>515</v>
      </c>
    </row>
    <row r="2216" spans="1:5" x14ac:dyDescent="0.2">
      <c r="A2216" s="1" t="s">
        <v>751</v>
      </c>
      <c r="B2216" s="1" t="s">
        <v>60</v>
      </c>
      <c r="C2216" s="5">
        <f>DATE(2025, 5, 21) + TIME(14, 21, 28)</f>
        <v>45798.598240740743</v>
      </c>
      <c r="D2216" s="1" t="s">
        <v>563</v>
      </c>
      <c r="E2216" s="1" t="s">
        <v>475</v>
      </c>
    </row>
    <row r="2217" spans="1:5" x14ac:dyDescent="0.2">
      <c r="A2217" s="1" t="s">
        <v>751</v>
      </c>
      <c r="B2217" s="1" t="s">
        <v>526</v>
      </c>
      <c r="C2217" s="5">
        <f>DATE(2025, 5, 21) + TIME(9, 31, 43)</f>
        <v>45798.39702546296</v>
      </c>
      <c r="D2217" s="1" t="s">
        <v>65</v>
      </c>
      <c r="E2217" s="1" t="s">
        <v>772</v>
      </c>
    </row>
    <row r="2218" spans="1:5" x14ac:dyDescent="0.2">
      <c r="A2218" s="1" t="s">
        <v>751</v>
      </c>
      <c r="B2218" s="1" t="s">
        <v>801</v>
      </c>
      <c r="C2218" s="5">
        <f>DATE(2025, 5, 20) + TIME(13, 3, 38)</f>
        <v>45797.544189814813</v>
      </c>
      <c r="D2218" s="1" t="s">
        <v>65</v>
      </c>
      <c r="E2218" s="1" t="s">
        <v>916</v>
      </c>
    </row>
    <row r="2219" spans="1:5" x14ac:dyDescent="0.2">
      <c r="A2219" s="1" t="s">
        <v>751</v>
      </c>
      <c r="B2219" s="1" t="s">
        <v>316</v>
      </c>
      <c r="C2219" s="5">
        <f>DATE(2025, 5, 20) + TIME(13, 0, 16)</f>
        <v>45797.541851851849</v>
      </c>
      <c r="D2219" s="1" t="s">
        <v>506</v>
      </c>
      <c r="E2219" s="1" t="s">
        <v>509</v>
      </c>
    </row>
    <row r="2220" spans="1:5" x14ac:dyDescent="0.2">
      <c r="A2220" s="1" t="s">
        <v>751</v>
      </c>
      <c r="B2220" s="1" t="s">
        <v>262</v>
      </c>
      <c r="C2220" s="5">
        <f>DATE(2025, 5, 20) + TIME(11, 54, 22)</f>
        <v>45797.496087962965</v>
      </c>
      <c r="D2220" s="1" t="s">
        <v>396</v>
      </c>
      <c r="E2220" s="1" t="s">
        <v>553</v>
      </c>
    </row>
    <row r="2221" spans="1:5" x14ac:dyDescent="0.2">
      <c r="A2221" s="1" t="s">
        <v>751</v>
      </c>
      <c r="B2221" s="1" t="s">
        <v>262</v>
      </c>
      <c r="C2221" s="5">
        <f>DATE(2025, 5, 19) + TIME(12, 23, 29)</f>
        <v>45796.51630787037</v>
      </c>
      <c r="D2221" s="1" t="s">
        <v>396</v>
      </c>
      <c r="E2221" s="1" t="s">
        <v>861</v>
      </c>
    </row>
    <row r="2222" spans="1:5" x14ac:dyDescent="0.2">
      <c r="A2222" s="1" t="s">
        <v>751</v>
      </c>
      <c r="B2222" s="1" t="s">
        <v>60</v>
      </c>
      <c r="C2222" s="5">
        <f>DATE(2025, 5, 18) + TIME(14, 43, 41)</f>
        <v>45795.613668981481</v>
      </c>
      <c r="D2222" s="1" t="s">
        <v>563</v>
      </c>
      <c r="E2222" s="1" t="s">
        <v>68</v>
      </c>
    </row>
    <row r="2223" spans="1:5" x14ac:dyDescent="0.2">
      <c r="A2223" s="1" t="s">
        <v>751</v>
      </c>
      <c r="B2223" s="1" t="s">
        <v>60</v>
      </c>
      <c r="C2223" s="5">
        <f>DATE(2025, 5, 15) + TIME(11, 11, 3)</f>
        <v>45792.466006944444</v>
      </c>
      <c r="D2223" s="1" t="s">
        <v>65</v>
      </c>
      <c r="E2223" s="1" t="s">
        <v>615</v>
      </c>
    </row>
    <row r="2224" spans="1:5" x14ac:dyDescent="0.2">
      <c r="A2224" s="1" t="s">
        <v>751</v>
      </c>
      <c r="B2224" s="1" t="s">
        <v>564</v>
      </c>
      <c r="C2224" s="5">
        <f>DATE(2025, 5, 14) + TIME(14, 10, 6)</f>
        <v>45791.59034722222</v>
      </c>
      <c r="D2224" s="1" t="s">
        <v>459</v>
      </c>
      <c r="E2224" s="1" t="s">
        <v>777</v>
      </c>
    </row>
    <row r="2225" spans="1:5" x14ac:dyDescent="0.2">
      <c r="A2225" s="1" t="s">
        <v>751</v>
      </c>
      <c r="B2225" s="1" t="s">
        <v>262</v>
      </c>
      <c r="C2225" s="5">
        <f>DATE(2025, 5, 14) + TIME(13, 55, 14)</f>
        <v>45791.580023148148</v>
      </c>
      <c r="D2225" s="1" t="s">
        <v>269</v>
      </c>
      <c r="E2225" s="1" t="s">
        <v>783</v>
      </c>
    </row>
    <row r="2226" spans="1:5" x14ac:dyDescent="0.2">
      <c r="A2226" s="1" t="s">
        <v>751</v>
      </c>
      <c r="B2226" s="1" t="s">
        <v>323</v>
      </c>
      <c r="C2226" s="5">
        <f>DATE(2025, 5, 14) + TIME(11, 11, 25)</f>
        <v>45791.466261574074</v>
      </c>
      <c r="D2226" s="1" t="s">
        <v>576</v>
      </c>
      <c r="E2226" s="1" t="s">
        <v>680</v>
      </c>
    </row>
    <row r="2227" spans="1:5" x14ac:dyDescent="0.2">
      <c r="A2227" s="1" t="s">
        <v>751</v>
      </c>
      <c r="B2227" s="1" t="s">
        <v>455</v>
      </c>
      <c r="C2227" s="5">
        <f>DATE(2025, 5, 14) + TIME(10, 42, 31)</f>
        <v>45791.446192129632</v>
      </c>
      <c r="D2227" s="1" t="s">
        <v>144</v>
      </c>
      <c r="E2227" s="1" t="s">
        <v>293</v>
      </c>
    </row>
    <row r="2228" spans="1:5" x14ac:dyDescent="0.2">
      <c r="A2228" s="1" t="s">
        <v>751</v>
      </c>
      <c r="B2228" s="1" t="s">
        <v>60</v>
      </c>
      <c r="C2228" s="5">
        <f>DATE(2025, 5, 14) + TIME(10, 9, 4)</f>
        <v>45791.422962962963</v>
      </c>
      <c r="D2228" s="1" t="s">
        <v>269</v>
      </c>
      <c r="E2228" s="1" t="s">
        <v>588</v>
      </c>
    </row>
    <row r="2229" spans="1:5" x14ac:dyDescent="0.2">
      <c r="A2229" s="1" t="s">
        <v>751</v>
      </c>
      <c r="B2229" s="1" t="s">
        <v>323</v>
      </c>
      <c r="C2229" s="5">
        <f>DATE(2025, 5, 14) + TIME(10, 9, 4)</f>
        <v>45791.422962962963</v>
      </c>
      <c r="D2229" s="1" t="s">
        <v>269</v>
      </c>
      <c r="E2229" s="1" t="s">
        <v>588</v>
      </c>
    </row>
    <row r="2230" spans="1:5" x14ac:dyDescent="0.2">
      <c r="A2230" s="1" t="s">
        <v>751</v>
      </c>
      <c r="B2230" s="1" t="s">
        <v>266</v>
      </c>
      <c r="C2230" s="5">
        <f>DATE(2025, 5, 13) + TIME(12, 58, 19)</f>
        <v>45790.540497685186</v>
      </c>
      <c r="D2230" s="1" t="s">
        <v>863</v>
      </c>
      <c r="E2230" s="1" t="s">
        <v>359</v>
      </c>
    </row>
    <row r="2231" spans="1:5" x14ac:dyDescent="0.2">
      <c r="A2231" s="1" t="s">
        <v>751</v>
      </c>
      <c r="B2231" s="1" t="s">
        <v>262</v>
      </c>
      <c r="C2231" s="5">
        <f>DATE(2025, 5, 13) + TIME(12, 55, 32)</f>
        <v>45790.538564814815</v>
      </c>
      <c r="D2231" s="1" t="s">
        <v>640</v>
      </c>
      <c r="E2231" s="1" t="s">
        <v>957</v>
      </c>
    </row>
    <row r="2232" spans="1:5" x14ac:dyDescent="0.2">
      <c r="A2232" s="1" t="s">
        <v>751</v>
      </c>
      <c r="B2232" s="1" t="s">
        <v>60</v>
      </c>
      <c r="C2232" s="5">
        <f>DATE(2025, 5, 13) + TIME(10, 44, 8)</f>
        <v>45790.447314814817</v>
      </c>
      <c r="D2232" s="1" t="s">
        <v>506</v>
      </c>
      <c r="E2232" s="1" t="s">
        <v>819</v>
      </c>
    </row>
    <row r="2233" spans="1:5" x14ac:dyDescent="0.2">
      <c r="A2233" s="1" t="s">
        <v>751</v>
      </c>
      <c r="B2233" s="1" t="s">
        <v>60</v>
      </c>
      <c r="C2233" s="5">
        <f>DATE(2025, 5, 8) + TIME(14, 2, 25)</f>
        <v>45785.585011574076</v>
      </c>
      <c r="D2233" s="1" t="s">
        <v>863</v>
      </c>
      <c r="E2233" s="1" t="s">
        <v>711</v>
      </c>
    </row>
    <row r="2234" spans="1:5" x14ac:dyDescent="0.2">
      <c r="A2234" s="1" t="s">
        <v>751</v>
      </c>
      <c r="B2234" s="1" t="s">
        <v>323</v>
      </c>
      <c r="C2234" s="5">
        <f>DATE(2025, 5, 7) + TIME(15, 16, 34)</f>
        <v>45784.636504629627</v>
      </c>
      <c r="D2234" s="1" t="s">
        <v>921</v>
      </c>
      <c r="E2234" s="1" t="s">
        <v>462</v>
      </c>
    </row>
    <row r="2235" spans="1:5" x14ac:dyDescent="0.2">
      <c r="A2235" s="1" t="s">
        <v>751</v>
      </c>
      <c r="B2235" s="1" t="s">
        <v>60</v>
      </c>
      <c r="C2235" s="5">
        <f>DATE(2025, 5, 7) + TIME(15, 16, 34)</f>
        <v>45784.636504629627</v>
      </c>
      <c r="D2235" s="1" t="s">
        <v>921</v>
      </c>
      <c r="E2235" s="1" t="s">
        <v>462</v>
      </c>
    </row>
    <row r="2236" spans="1:5" x14ac:dyDescent="0.2">
      <c r="A2236" s="1" t="s">
        <v>751</v>
      </c>
      <c r="B2236" s="1" t="s">
        <v>60</v>
      </c>
      <c r="C2236" s="5">
        <f>DATE(2025, 5, 7) + TIME(15, 16, 34)</f>
        <v>45784.636504629627</v>
      </c>
      <c r="D2236" s="1" t="s">
        <v>921</v>
      </c>
      <c r="E2236" s="1" t="s">
        <v>462</v>
      </c>
    </row>
    <row r="2237" spans="1:5" x14ac:dyDescent="0.2">
      <c r="A2237" s="1" t="s">
        <v>751</v>
      </c>
      <c r="B2237" s="1" t="s">
        <v>707</v>
      </c>
      <c r="C2237" s="5">
        <f>DATE(2025, 5, 7) + TIME(14, 3, 8)</f>
        <v>45784.585509259261</v>
      </c>
      <c r="D2237" s="1" t="s">
        <v>921</v>
      </c>
      <c r="E2237" s="1" t="s">
        <v>232</v>
      </c>
    </row>
    <row r="2238" spans="1:5" x14ac:dyDescent="0.2">
      <c r="A2238" s="1" t="s">
        <v>751</v>
      </c>
      <c r="B2238" s="1" t="s">
        <v>141</v>
      </c>
      <c r="C2238" s="5">
        <f>DATE(2025, 5, 7) + TIME(12, 35, 15)</f>
        <v>45784.52447916667</v>
      </c>
      <c r="D2238" s="1" t="s">
        <v>144</v>
      </c>
      <c r="E2238" s="1" t="s">
        <v>293</v>
      </c>
    </row>
    <row r="2239" spans="1:5" x14ac:dyDescent="0.2">
      <c r="A2239" s="1" t="s">
        <v>751</v>
      </c>
      <c r="B2239" s="1" t="s">
        <v>60</v>
      </c>
      <c r="C2239" s="5">
        <f>DATE(2025, 5, 7) + TIME(8, 22, 0)</f>
        <v>45784.348611111112</v>
      </c>
      <c r="D2239" s="1" t="s">
        <v>640</v>
      </c>
      <c r="E2239" s="1" t="s">
        <v>10</v>
      </c>
    </row>
    <row r="2240" spans="1:5" x14ac:dyDescent="0.2">
      <c r="A2240" s="1" t="s">
        <v>751</v>
      </c>
      <c r="B2240" s="1" t="s">
        <v>60</v>
      </c>
      <c r="C2240" s="5">
        <f>DATE(2025, 5, 6) + TIME(16, 4, 29)</f>
        <v>45783.66978009259</v>
      </c>
      <c r="D2240" s="1" t="s">
        <v>863</v>
      </c>
      <c r="E2240" s="1" t="s">
        <v>138</v>
      </c>
    </row>
    <row r="2241" spans="1:5" x14ac:dyDescent="0.2">
      <c r="A2241" s="1" t="s">
        <v>751</v>
      </c>
      <c r="B2241" s="1" t="s">
        <v>782</v>
      </c>
      <c r="C2241" s="5">
        <f>DATE(2025, 5, 6) + TIME(14, 46, 37)</f>
        <v>45783.615706018521</v>
      </c>
      <c r="D2241" s="1" t="s">
        <v>269</v>
      </c>
      <c r="E2241" s="1" t="s">
        <v>802</v>
      </c>
    </row>
    <row r="2242" spans="1:5" x14ac:dyDescent="0.2">
      <c r="A2242" s="1" t="s">
        <v>751</v>
      </c>
      <c r="B2242" s="1" t="s">
        <v>927</v>
      </c>
      <c r="C2242" s="5">
        <f>DATE(2025, 5, 1) + TIME(13, 33, 55)</f>
        <v>45778.56521990741</v>
      </c>
      <c r="D2242" s="1" t="s">
        <v>563</v>
      </c>
      <c r="E2242" s="1" t="s">
        <v>68</v>
      </c>
    </row>
    <row r="2243" spans="1:5" x14ac:dyDescent="0.2">
      <c r="A2243" s="1" t="s">
        <v>751</v>
      </c>
      <c r="B2243" s="1" t="s">
        <v>927</v>
      </c>
      <c r="C2243" s="5">
        <f>DATE(2025, 5, 1) + TIME(13, 33, 55)</f>
        <v>45778.56521990741</v>
      </c>
      <c r="D2243" s="1" t="s">
        <v>563</v>
      </c>
      <c r="E2243" s="1" t="s">
        <v>68</v>
      </c>
    </row>
    <row r="2244" spans="1:5" x14ac:dyDescent="0.2">
      <c r="A2244" s="1" t="s">
        <v>751</v>
      </c>
      <c r="B2244" s="1" t="s">
        <v>69</v>
      </c>
      <c r="C2244" s="5">
        <f>DATE(2025, 4, 30) + TIME(13, 52, 34)</f>
        <v>45777.5781712963</v>
      </c>
      <c r="D2244" s="1" t="s">
        <v>64</v>
      </c>
      <c r="E2244" s="1" t="s">
        <v>403</v>
      </c>
    </row>
    <row r="2245" spans="1:5" x14ac:dyDescent="0.2">
      <c r="A2245" s="1" t="s">
        <v>751</v>
      </c>
      <c r="B2245" s="1" t="s">
        <v>141</v>
      </c>
      <c r="C2245" s="5">
        <f>DATE(2025, 4, 30) + TIME(11, 34, 5)</f>
        <v>45777.482002314813</v>
      </c>
      <c r="D2245" s="1" t="s">
        <v>64</v>
      </c>
      <c r="E2245" s="1" t="s">
        <v>326</v>
      </c>
    </row>
    <row r="2246" spans="1:5" x14ac:dyDescent="0.2">
      <c r="A2246" s="1" t="s">
        <v>751</v>
      </c>
      <c r="B2246" s="1" t="s">
        <v>505</v>
      </c>
      <c r="C2246" s="5">
        <f>DATE(2025, 4, 30) + TIME(8, 32, 10)</f>
        <v>45777.355671296296</v>
      </c>
      <c r="D2246" s="1" t="s">
        <v>640</v>
      </c>
      <c r="E2246" s="1" t="s">
        <v>10</v>
      </c>
    </row>
    <row r="2247" spans="1:5" x14ac:dyDescent="0.2">
      <c r="A2247" s="1" t="s">
        <v>751</v>
      </c>
      <c r="B2247" s="1" t="s">
        <v>141</v>
      </c>
      <c r="C2247" s="5">
        <f>DATE(2025, 4, 30) + TIME(8, 32, 10)</f>
        <v>45777.355671296296</v>
      </c>
      <c r="D2247" s="1" t="s">
        <v>640</v>
      </c>
      <c r="E2247" s="1" t="s">
        <v>10</v>
      </c>
    </row>
    <row r="2248" spans="1:5" x14ac:dyDescent="0.2">
      <c r="A2248" s="1" t="s">
        <v>751</v>
      </c>
      <c r="B2248" s="1" t="s">
        <v>231</v>
      </c>
      <c r="C2248" s="5">
        <f>DATE(2025, 4, 30) + TIME(8, 32, 10)</f>
        <v>45777.355671296296</v>
      </c>
      <c r="D2248" s="1" t="s">
        <v>640</v>
      </c>
      <c r="E2248" s="1" t="s">
        <v>10</v>
      </c>
    </row>
    <row r="2249" spans="1:5" x14ac:dyDescent="0.2">
      <c r="A2249" s="1" t="s">
        <v>751</v>
      </c>
      <c r="B2249" s="1" t="s">
        <v>318</v>
      </c>
      <c r="C2249" s="5">
        <f>DATE(2025, 4, 30) + TIME(6, 51, 58)</f>
        <v>45777.286087962966</v>
      </c>
      <c r="D2249" s="1" t="s">
        <v>65</v>
      </c>
      <c r="E2249" s="1" t="s">
        <v>302</v>
      </c>
    </row>
    <row r="2250" spans="1:5" x14ac:dyDescent="0.2">
      <c r="A2250" s="1" t="s">
        <v>751</v>
      </c>
      <c r="B2250" s="1" t="s">
        <v>51</v>
      </c>
      <c r="C2250" s="5">
        <f>DATE(2025, 4, 29) + TIME(13, 46, 19)</f>
        <v>45776.573831018519</v>
      </c>
      <c r="D2250" s="1" t="s">
        <v>640</v>
      </c>
      <c r="E2250" s="1" t="s">
        <v>957</v>
      </c>
    </row>
    <row r="2251" spans="1:5" x14ac:dyDescent="0.2">
      <c r="A2251" s="1" t="s">
        <v>751</v>
      </c>
      <c r="B2251" s="1" t="s">
        <v>154</v>
      </c>
      <c r="C2251" s="5">
        <f>DATE(2025, 4, 29) + TIME(12, 28, 34)</f>
        <v>45776.519837962966</v>
      </c>
      <c r="D2251" s="1" t="s">
        <v>506</v>
      </c>
      <c r="E2251" s="1" t="s">
        <v>509</v>
      </c>
    </row>
    <row r="2252" spans="1:5" x14ac:dyDescent="0.2">
      <c r="A2252" s="1" t="s">
        <v>751</v>
      </c>
      <c r="B2252" s="1" t="s">
        <v>866</v>
      </c>
      <c r="C2252" s="5">
        <f>DATE(2025, 4, 28) + TIME(12, 42, 4)</f>
        <v>45775.52921296296</v>
      </c>
      <c r="D2252" s="1" t="s">
        <v>640</v>
      </c>
      <c r="E2252" s="1" t="s">
        <v>348</v>
      </c>
    </row>
    <row r="2253" spans="1:5" x14ac:dyDescent="0.2">
      <c r="A2253" s="1" t="s">
        <v>751</v>
      </c>
      <c r="B2253" s="1" t="s">
        <v>866</v>
      </c>
      <c r="C2253" s="5">
        <f>DATE(2025, 4, 28) + TIME(12, 26, 18)</f>
        <v>45775.518263888887</v>
      </c>
      <c r="D2253" s="1" t="s">
        <v>216</v>
      </c>
      <c r="E2253" s="1" t="s">
        <v>756</v>
      </c>
    </row>
    <row r="2254" spans="1:5" x14ac:dyDescent="0.2">
      <c r="A2254" s="1" t="s">
        <v>751</v>
      </c>
      <c r="B2254" s="1" t="s">
        <v>154</v>
      </c>
      <c r="C2254" s="5">
        <f>DATE(2025, 4, 28) + TIME(5, 39, 25)</f>
        <v>45775.235706018517</v>
      </c>
      <c r="D2254" s="1" t="s">
        <v>65</v>
      </c>
      <c r="E2254" s="1" t="s">
        <v>637</v>
      </c>
    </row>
    <row r="2255" spans="1:5" x14ac:dyDescent="0.2">
      <c r="A2255" s="1" t="s">
        <v>751</v>
      </c>
      <c r="B2255" s="1" t="s">
        <v>452</v>
      </c>
      <c r="C2255" s="5">
        <f>DATE(2025, 4, 25) + TIME(12, 39, 56)</f>
        <v>45772.527731481481</v>
      </c>
      <c r="D2255" s="1" t="s">
        <v>921</v>
      </c>
      <c r="E2255" s="1" t="s">
        <v>232</v>
      </c>
    </row>
    <row r="2256" spans="1:5" x14ac:dyDescent="0.2">
      <c r="A2256" s="1" t="s">
        <v>751</v>
      </c>
      <c r="B2256" s="1" t="s">
        <v>866</v>
      </c>
      <c r="C2256" s="5">
        <f>DATE(2025, 4, 24) + TIME(13, 27, 27)</f>
        <v>45771.560729166667</v>
      </c>
      <c r="D2256" s="1" t="s">
        <v>216</v>
      </c>
      <c r="E2256" s="1" t="s">
        <v>756</v>
      </c>
    </row>
    <row r="2257" spans="1:5" x14ac:dyDescent="0.2">
      <c r="A2257" s="1" t="s">
        <v>751</v>
      </c>
      <c r="B2257" s="1" t="s">
        <v>927</v>
      </c>
      <c r="C2257" s="5">
        <f>DATE(2025, 4, 24) + TIME(11, 54, 7)</f>
        <v>45771.49591435185</v>
      </c>
      <c r="D2257" s="1" t="s">
        <v>64</v>
      </c>
      <c r="E2257" s="1" t="s">
        <v>457</v>
      </c>
    </row>
    <row r="2258" spans="1:5" x14ac:dyDescent="0.2">
      <c r="A2258" s="1" t="s">
        <v>751</v>
      </c>
      <c r="B2258" s="1" t="s">
        <v>678</v>
      </c>
      <c r="C2258" s="5">
        <f>DATE(2025, 4, 24) + TIME(6, 29, 36)</f>
        <v>45771.270555555559</v>
      </c>
      <c r="D2258" s="1" t="s">
        <v>65</v>
      </c>
      <c r="E2258" s="1" t="s">
        <v>429</v>
      </c>
    </row>
    <row r="2259" spans="1:5" x14ac:dyDescent="0.2">
      <c r="A2259" s="1" t="s">
        <v>751</v>
      </c>
      <c r="B2259" s="1" t="s">
        <v>591</v>
      </c>
      <c r="C2259" s="5">
        <f>DATE(2025, 4, 23) + TIME(13, 29, 21)</f>
        <v>45770.562048611115</v>
      </c>
      <c r="D2259" s="1" t="s">
        <v>148</v>
      </c>
      <c r="E2259" s="1" t="s">
        <v>681</v>
      </c>
    </row>
    <row r="2260" spans="1:5" x14ac:dyDescent="0.2">
      <c r="A2260" s="1" t="s">
        <v>751</v>
      </c>
      <c r="B2260" s="1" t="s">
        <v>60</v>
      </c>
      <c r="C2260" s="5">
        <f>DATE(2025, 4, 23) + TIME(7, 44, 23)</f>
        <v>45770.322488425925</v>
      </c>
      <c r="D2260" s="1" t="s">
        <v>3</v>
      </c>
      <c r="E2260" s="1" t="s">
        <v>584</v>
      </c>
    </row>
    <row r="2261" spans="1:5" x14ac:dyDescent="0.2">
      <c r="A2261" s="1" t="s">
        <v>751</v>
      </c>
      <c r="B2261" s="1" t="s">
        <v>927</v>
      </c>
      <c r="C2261" s="5">
        <f>DATE(2025, 4, 23) + TIME(6, 51, 3)</f>
        <v>45770.285451388889</v>
      </c>
      <c r="D2261" s="1" t="s">
        <v>459</v>
      </c>
      <c r="E2261" s="1" t="s">
        <v>777</v>
      </c>
    </row>
    <row r="2262" spans="1:5" x14ac:dyDescent="0.2">
      <c r="A2262" s="1" t="s">
        <v>751</v>
      </c>
      <c r="B2262" s="1" t="s">
        <v>51</v>
      </c>
      <c r="C2262" s="5">
        <f>DATE(2025, 4, 22) + TIME(14, 56, 44)</f>
        <v>45769.622731481482</v>
      </c>
      <c r="D2262" s="1" t="s">
        <v>640</v>
      </c>
      <c r="E2262" s="1" t="s">
        <v>957</v>
      </c>
    </row>
    <row r="2263" spans="1:5" x14ac:dyDescent="0.2">
      <c r="A2263" s="1" t="s">
        <v>751</v>
      </c>
      <c r="B2263" s="1" t="s">
        <v>154</v>
      </c>
      <c r="C2263" s="5">
        <f>DATE(2025, 4, 21) + TIME(6, 1, 52)</f>
        <v>45768.251296296294</v>
      </c>
      <c r="D2263" s="1" t="s">
        <v>506</v>
      </c>
      <c r="E2263" s="1" t="s">
        <v>811</v>
      </c>
    </row>
    <row r="2264" spans="1:5" x14ac:dyDescent="0.2">
      <c r="A2264" s="1" t="s">
        <v>751</v>
      </c>
      <c r="B2264" s="1" t="s">
        <v>707</v>
      </c>
      <c r="C2264" s="5">
        <f>DATE(2025, 4, 17) + TIME(13, 10, 55)</f>
        <v>45764.549247685187</v>
      </c>
      <c r="D2264" s="1" t="s">
        <v>459</v>
      </c>
      <c r="E2264" s="1" t="s">
        <v>528</v>
      </c>
    </row>
    <row r="2265" spans="1:5" x14ac:dyDescent="0.2">
      <c r="A2265" s="1" t="s">
        <v>751</v>
      </c>
      <c r="B2265" s="1" t="s">
        <v>866</v>
      </c>
      <c r="C2265" s="5">
        <f>DATE(2025, 4, 17) + TIME(11, 23, 59)</f>
        <v>45764.474988425929</v>
      </c>
      <c r="D2265" s="1" t="s">
        <v>863</v>
      </c>
      <c r="E2265" s="1" t="s">
        <v>711</v>
      </c>
    </row>
    <row r="2266" spans="1:5" x14ac:dyDescent="0.2">
      <c r="A2266" s="1" t="s">
        <v>751</v>
      </c>
      <c r="B2266" s="1" t="s">
        <v>707</v>
      </c>
      <c r="C2266" s="5">
        <f>DATE(2025, 4, 17) + TIME(9, 54, 8)</f>
        <v>45764.412592592591</v>
      </c>
      <c r="D2266" s="1" t="s">
        <v>3</v>
      </c>
      <c r="E2266" s="1" t="s">
        <v>515</v>
      </c>
    </row>
    <row r="2267" spans="1:5" x14ac:dyDescent="0.2">
      <c r="A2267" s="1" t="s">
        <v>751</v>
      </c>
      <c r="B2267" s="1" t="s">
        <v>323</v>
      </c>
      <c r="C2267" s="5">
        <f>DATE(2025, 4, 16) + TIME(11, 40, 41)</f>
        <v>45763.486585648148</v>
      </c>
      <c r="D2267" s="1" t="s">
        <v>3</v>
      </c>
      <c r="E2267" s="1" t="s">
        <v>584</v>
      </c>
    </row>
    <row r="2268" spans="1:5" x14ac:dyDescent="0.2">
      <c r="A2268" s="1" t="s">
        <v>751</v>
      </c>
      <c r="B2268" s="1" t="s">
        <v>927</v>
      </c>
      <c r="C2268" s="5">
        <f>DATE(2025, 4, 16) + TIME(10, 49, 55)</f>
        <v>45763.451331018521</v>
      </c>
      <c r="D2268" s="1" t="s">
        <v>566</v>
      </c>
      <c r="E2268" s="1" t="s">
        <v>924</v>
      </c>
    </row>
    <row r="2269" spans="1:5" x14ac:dyDescent="0.2">
      <c r="A2269" s="1" t="s">
        <v>751</v>
      </c>
      <c r="B2269" s="1" t="s">
        <v>51</v>
      </c>
      <c r="C2269" s="5">
        <f>DATE(2025, 4, 16) + TIME(8, 45, 16)</f>
        <v>45763.364768518521</v>
      </c>
      <c r="D2269" s="1" t="s">
        <v>640</v>
      </c>
      <c r="E2269" s="1" t="s">
        <v>426</v>
      </c>
    </row>
    <row r="2270" spans="1:5" x14ac:dyDescent="0.2">
      <c r="A2270" s="1" t="s">
        <v>751</v>
      </c>
      <c r="B2270" s="1" t="s">
        <v>60</v>
      </c>
      <c r="C2270" s="5">
        <f>DATE(2025, 4, 15) + TIME(13, 31, 11)</f>
        <v>45762.563321759262</v>
      </c>
      <c r="D2270" s="1" t="s">
        <v>863</v>
      </c>
      <c r="E2270" s="1" t="s">
        <v>850</v>
      </c>
    </row>
    <row r="2271" spans="1:5" x14ac:dyDescent="0.2">
      <c r="A2271" s="1" t="s">
        <v>751</v>
      </c>
      <c r="B2271" s="1" t="s">
        <v>154</v>
      </c>
      <c r="C2271" s="5">
        <f>DATE(2025, 4, 10) + TIME(13, 39, 37)</f>
        <v>45757.569178240738</v>
      </c>
      <c r="D2271" s="1" t="s">
        <v>65</v>
      </c>
      <c r="E2271" s="1" t="s">
        <v>606</v>
      </c>
    </row>
    <row r="2272" spans="1:5" x14ac:dyDescent="0.2">
      <c r="A2272" s="1" t="s">
        <v>751</v>
      </c>
      <c r="B2272" s="1" t="s">
        <v>154</v>
      </c>
      <c r="C2272" s="5">
        <f>DATE(2025, 4, 10) + TIME(12, 20, 17)</f>
        <v>45757.514085648145</v>
      </c>
      <c r="D2272" s="1" t="s">
        <v>65</v>
      </c>
      <c r="E2272" s="1" t="s">
        <v>910</v>
      </c>
    </row>
    <row r="2273" spans="1:5" x14ac:dyDescent="0.2">
      <c r="A2273" s="1" t="s">
        <v>751</v>
      </c>
      <c r="B2273" s="1" t="s">
        <v>866</v>
      </c>
      <c r="C2273" s="5">
        <f>DATE(2025, 4, 10) + TIME(10, 54, 15)</f>
        <v>45757.454340277778</v>
      </c>
      <c r="D2273" s="1" t="s">
        <v>148</v>
      </c>
      <c r="E2273" s="1" t="s">
        <v>221</v>
      </c>
    </row>
    <row r="2274" spans="1:5" x14ac:dyDescent="0.2">
      <c r="A2274" s="1" t="s">
        <v>751</v>
      </c>
      <c r="B2274" s="1" t="s">
        <v>323</v>
      </c>
      <c r="C2274" s="5">
        <f>DATE(2025, 4, 10) + TIME(10, 54, 15)</f>
        <v>45757.454340277778</v>
      </c>
      <c r="D2274" s="1" t="s">
        <v>148</v>
      </c>
      <c r="E2274" s="1" t="s">
        <v>221</v>
      </c>
    </row>
    <row r="2275" spans="1:5" x14ac:dyDescent="0.2">
      <c r="A2275" s="1" t="s">
        <v>751</v>
      </c>
      <c r="B2275" s="1" t="s">
        <v>866</v>
      </c>
      <c r="C2275" s="5">
        <f>DATE(2025, 4, 10) + TIME(8, 31, 22)</f>
        <v>45757.355115740742</v>
      </c>
      <c r="D2275" s="1" t="s">
        <v>459</v>
      </c>
      <c r="E2275" s="1" t="s">
        <v>164</v>
      </c>
    </row>
    <row r="2276" spans="1:5" x14ac:dyDescent="0.2">
      <c r="A2276" s="1" t="s">
        <v>751</v>
      </c>
      <c r="B2276" s="1" t="s">
        <v>564</v>
      </c>
      <c r="C2276" s="5">
        <f>DATE(2025, 4, 9) + TIME(14, 39, 40)</f>
        <v>45756.610879629632</v>
      </c>
      <c r="D2276" s="1" t="s">
        <v>563</v>
      </c>
      <c r="E2276" s="1" t="s">
        <v>68</v>
      </c>
    </row>
    <row r="2277" spans="1:5" x14ac:dyDescent="0.2">
      <c r="A2277" s="1" t="s">
        <v>751</v>
      </c>
      <c r="B2277" s="1" t="s">
        <v>564</v>
      </c>
      <c r="C2277" s="5">
        <f>DATE(2025, 4, 9) + TIME(14, 39, 40)</f>
        <v>45756.610879629632</v>
      </c>
      <c r="D2277" s="1" t="s">
        <v>563</v>
      </c>
      <c r="E2277" s="1" t="s">
        <v>68</v>
      </c>
    </row>
    <row r="2278" spans="1:5" x14ac:dyDescent="0.2">
      <c r="A2278" s="1" t="s">
        <v>751</v>
      </c>
      <c r="B2278" s="1" t="s">
        <v>323</v>
      </c>
      <c r="C2278" s="5">
        <f>DATE(2025, 4, 9) + TIME(13, 17, 3)</f>
        <v>45756.553506944445</v>
      </c>
      <c r="D2278" s="1" t="s">
        <v>144</v>
      </c>
      <c r="E2278" s="1" t="s">
        <v>293</v>
      </c>
    </row>
    <row r="2279" spans="1:5" x14ac:dyDescent="0.2">
      <c r="A2279" s="1" t="s">
        <v>751</v>
      </c>
      <c r="B2279" s="1" t="s">
        <v>60</v>
      </c>
      <c r="C2279" s="5">
        <f>DATE(2025, 4, 9) + TIME(13, 8, 43)</f>
        <v>45756.547719907408</v>
      </c>
      <c r="D2279" s="1" t="s">
        <v>566</v>
      </c>
      <c r="E2279" s="1" t="s">
        <v>570</v>
      </c>
    </row>
    <row r="2280" spans="1:5" x14ac:dyDescent="0.2">
      <c r="A2280" s="1" t="s">
        <v>751</v>
      </c>
      <c r="B2280" s="1" t="s">
        <v>60</v>
      </c>
      <c r="C2280" s="5">
        <f>DATE(2025, 4, 8) + TIME(9, 31, 18)</f>
        <v>45755.396736111114</v>
      </c>
      <c r="D2280" s="1" t="s">
        <v>506</v>
      </c>
      <c r="E2280" s="1" t="s">
        <v>525</v>
      </c>
    </row>
    <row r="2281" spans="1:5" x14ac:dyDescent="0.2">
      <c r="A2281" s="1" t="s">
        <v>751</v>
      </c>
      <c r="B2281" s="1" t="s">
        <v>670</v>
      </c>
      <c r="C2281" s="5">
        <f>DATE(2025, 4, 7) + TIME(12, 15, 23)</f>
        <v>45754.510682870372</v>
      </c>
      <c r="D2281" s="1" t="s">
        <v>3</v>
      </c>
      <c r="E2281" s="1" t="s">
        <v>515</v>
      </c>
    </row>
    <row r="2282" spans="1:5" x14ac:dyDescent="0.2">
      <c r="A2282" s="1" t="s">
        <v>751</v>
      </c>
      <c r="B2282" s="1" t="s">
        <v>866</v>
      </c>
      <c r="C2282" s="5">
        <f>DATE(2025, 4, 3) + TIME(15, 41, 22)</f>
        <v>45750.653726851851</v>
      </c>
      <c r="D2282" s="1" t="s">
        <v>506</v>
      </c>
      <c r="E2282" s="1" t="s">
        <v>488</v>
      </c>
    </row>
    <row r="2283" spans="1:5" x14ac:dyDescent="0.2">
      <c r="A2283" s="1" t="s">
        <v>751</v>
      </c>
      <c r="B2283" s="1" t="s">
        <v>154</v>
      </c>
      <c r="C2283" s="5">
        <f>DATE(2025, 4, 3) + TIME(13, 18, 39)</f>
        <v>45750.554618055554</v>
      </c>
      <c r="D2283" s="1" t="s">
        <v>65</v>
      </c>
      <c r="E2283" s="1" t="s">
        <v>606</v>
      </c>
    </row>
    <row r="2284" spans="1:5" x14ac:dyDescent="0.2">
      <c r="A2284" s="1" t="s">
        <v>751</v>
      </c>
      <c r="B2284" s="1" t="s">
        <v>154</v>
      </c>
      <c r="C2284" s="5">
        <f>DATE(2025, 4, 3) + TIME(9, 25, 55)</f>
        <v>45750.392997685187</v>
      </c>
      <c r="D2284" s="1" t="s">
        <v>65</v>
      </c>
      <c r="E2284" s="1" t="s">
        <v>615</v>
      </c>
    </row>
    <row r="2285" spans="1:5" x14ac:dyDescent="0.2">
      <c r="A2285" s="1" t="s">
        <v>751</v>
      </c>
      <c r="B2285" s="1" t="s">
        <v>526</v>
      </c>
      <c r="C2285" s="5">
        <f>DATE(2025, 4, 3) + TIME(9, 21, 34)</f>
        <v>45750.389976851853</v>
      </c>
      <c r="D2285" s="1" t="s">
        <v>216</v>
      </c>
      <c r="E2285" s="1" t="s">
        <v>610</v>
      </c>
    </row>
    <row r="2286" spans="1:5" x14ac:dyDescent="0.2">
      <c r="A2286" s="1" t="s">
        <v>751</v>
      </c>
      <c r="B2286" s="1" t="s">
        <v>564</v>
      </c>
      <c r="C2286" s="5">
        <f>DATE(2025, 4, 3) + TIME(9, 21, 34)</f>
        <v>45750.389976851853</v>
      </c>
      <c r="D2286" s="1" t="s">
        <v>216</v>
      </c>
      <c r="E2286" s="1" t="s">
        <v>610</v>
      </c>
    </row>
    <row r="2287" spans="1:5" x14ac:dyDescent="0.2">
      <c r="A2287" s="1" t="s">
        <v>751</v>
      </c>
      <c r="B2287" s="1" t="s">
        <v>154</v>
      </c>
      <c r="C2287" s="5">
        <f>DATE(2025, 4, 3) + TIME(7, 6, 13)</f>
        <v>45750.295983796299</v>
      </c>
      <c r="D2287" s="1" t="s">
        <v>65</v>
      </c>
      <c r="E2287" s="1" t="s">
        <v>991</v>
      </c>
    </row>
    <row r="2288" spans="1:5" x14ac:dyDescent="0.2">
      <c r="A2288" s="1" t="s">
        <v>751</v>
      </c>
      <c r="B2288" s="1" t="s">
        <v>154</v>
      </c>
      <c r="C2288" s="5">
        <f>DATE(2025, 4, 2) + TIME(10, 53, 8)</f>
        <v>45749.453564814816</v>
      </c>
      <c r="D2288" s="1" t="s">
        <v>65</v>
      </c>
      <c r="E2288" s="1" t="s">
        <v>995</v>
      </c>
    </row>
    <row r="2289" spans="1:5" x14ac:dyDescent="0.2">
      <c r="A2289" s="1" t="s">
        <v>751</v>
      </c>
      <c r="B2289" s="1" t="s">
        <v>60</v>
      </c>
      <c r="C2289" s="5">
        <f>DATE(2025, 4, 2) + TIME(10, 38, 21)</f>
        <v>45749.443298611113</v>
      </c>
      <c r="D2289" s="1" t="s">
        <v>506</v>
      </c>
      <c r="E2289" s="1" t="s">
        <v>353</v>
      </c>
    </row>
    <row r="2290" spans="1:5" x14ac:dyDescent="0.2">
      <c r="A2290" s="1" t="s">
        <v>751</v>
      </c>
      <c r="B2290" s="1" t="s">
        <v>866</v>
      </c>
      <c r="C2290" s="5">
        <f>DATE(2025, 4, 2) + TIME(10, 38, 21)</f>
        <v>45749.443298611113</v>
      </c>
      <c r="D2290" s="1" t="s">
        <v>506</v>
      </c>
      <c r="E2290" s="1" t="s">
        <v>353</v>
      </c>
    </row>
    <row r="2291" spans="1:5" x14ac:dyDescent="0.2">
      <c r="A2291" s="1" t="s">
        <v>751</v>
      </c>
      <c r="B2291" s="1" t="s">
        <v>323</v>
      </c>
      <c r="C2291" s="5">
        <f>DATE(2025, 4, 2) + TIME(9, 53, 43)</f>
        <v>45749.412303240744</v>
      </c>
      <c r="D2291" s="1" t="s">
        <v>506</v>
      </c>
      <c r="E2291" s="1" t="s">
        <v>167</v>
      </c>
    </row>
    <row r="2292" spans="1:5" x14ac:dyDescent="0.2">
      <c r="A2292" s="1" t="s">
        <v>751</v>
      </c>
      <c r="B2292" s="1" t="s">
        <v>154</v>
      </c>
      <c r="C2292" s="5">
        <f>DATE(2025, 4, 2) + TIME(9, 33, 32)</f>
        <v>45749.398287037038</v>
      </c>
      <c r="D2292" s="1" t="s">
        <v>65</v>
      </c>
      <c r="E2292" s="1" t="s">
        <v>949</v>
      </c>
    </row>
    <row r="2293" spans="1:5" x14ac:dyDescent="0.2">
      <c r="A2293" s="1" t="s">
        <v>751</v>
      </c>
      <c r="B2293" s="1" t="s">
        <v>271</v>
      </c>
      <c r="C2293" s="5">
        <f>DATE(2025, 4, 2) + TIME(8, 45, 33)</f>
        <v>45749.364965277775</v>
      </c>
      <c r="D2293" s="1" t="s">
        <v>506</v>
      </c>
      <c r="E2293" s="1" t="s">
        <v>267</v>
      </c>
    </row>
    <row r="2294" spans="1:5" x14ac:dyDescent="0.2">
      <c r="A2294" s="1" t="s">
        <v>751</v>
      </c>
      <c r="B2294" s="1" t="s">
        <v>154</v>
      </c>
      <c r="C2294" s="5">
        <f>DATE(2025, 4, 2) + TIME(8, 14, 1)</f>
        <v>45749.34306712963</v>
      </c>
      <c r="D2294" s="1" t="s">
        <v>65</v>
      </c>
      <c r="E2294" s="1" t="s">
        <v>772</v>
      </c>
    </row>
    <row r="2295" spans="1:5" x14ac:dyDescent="0.2">
      <c r="A2295" s="1" t="s">
        <v>751</v>
      </c>
      <c r="B2295" s="1" t="s">
        <v>141</v>
      </c>
      <c r="C2295" s="5">
        <f>DATE(2025, 4, 2) + TIME(7, 51, 49)</f>
        <v>45749.327650462961</v>
      </c>
      <c r="D2295" s="1" t="s">
        <v>640</v>
      </c>
      <c r="E2295" s="1" t="s">
        <v>10</v>
      </c>
    </row>
    <row r="2296" spans="1:5" x14ac:dyDescent="0.2">
      <c r="A2296" s="1" t="s">
        <v>751</v>
      </c>
      <c r="B2296" s="1" t="s">
        <v>154</v>
      </c>
      <c r="C2296" s="5">
        <f>DATE(2025, 4, 1) + TIME(13, 19, 29)</f>
        <v>45748.555196759262</v>
      </c>
      <c r="D2296" s="1" t="s">
        <v>65</v>
      </c>
      <c r="E2296" s="1" t="s">
        <v>916</v>
      </c>
    </row>
    <row r="2297" spans="1:5" x14ac:dyDescent="0.2">
      <c r="A2297" s="1" t="s">
        <v>751</v>
      </c>
      <c r="B2297" s="1" t="s">
        <v>154</v>
      </c>
      <c r="C2297" s="5">
        <f>DATE(2025, 4, 1) + TIME(9, 53, 19)</f>
        <v>45748.41202546296</v>
      </c>
      <c r="D2297" s="1" t="s">
        <v>65</v>
      </c>
      <c r="E2297" s="1" t="s">
        <v>785</v>
      </c>
    </row>
    <row r="2298" spans="1:5" x14ac:dyDescent="0.2">
      <c r="A2298" s="1" t="s">
        <v>751</v>
      </c>
      <c r="B2298" s="1" t="s">
        <v>231</v>
      </c>
      <c r="C2298" s="5">
        <f>DATE(2025, 3, 27) + TIME(13, 11, 10)</f>
        <v>45743.549421296295</v>
      </c>
      <c r="D2298" s="1" t="s">
        <v>148</v>
      </c>
      <c r="E2298" s="1" t="s">
        <v>221</v>
      </c>
    </row>
    <row r="2299" spans="1:5" x14ac:dyDescent="0.2">
      <c r="A2299" s="1" t="s">
        <v>751</v>
      </c>
      <c r="B2299" s="1" t="s">
        <v>526</v>
      </c>
      <c r="C2299" s="5">
        <f>DATE(2025, 3, 26) + TIME(13, 21, 12)</f>
        <v>45742.556388888886</v>
      </c>
      <c r="D2299" s="1" t="s">
        <v>65</v>
      </c>
      <c r="E2299" s="1" t="s">
        <v>949</v>
      </c>
    </row>
    <row r="2300" spans="1:5" x14ac:dyDescent="0.2">
      <c r="A2300" s="1" t="s">
        <v>751</v>
      </c>
      <c r="B2300" s="1" t="s">
        <v>526</v>
      </c>
      <c r="C2300" s="5">
        <f>DATE(2025, 3, 25) + TIME(10, 34, 0)</f>
        <v>45741.44027777778</v>
      </c>
      <c r="D2300" s="1" t="s">
        <v>65</v>
      </c>
      <c r="E2300" s="1" t="s">
        <v>785</v>
      </c>
    </row>
    <row r="2301" spans="1:5" x14ac:dyDescent="0.2">
      <c r="A2301" s="1" t="s">
        <v>751</v>
      </c>
      <c r="B2301" s="1" t="s">
        <v>323</v>
      </c>
      <c r="C2301" s="5">
        <f>DATE(2025, 3, 24) + TIME(10, 36, 7)</f>
        <v>45740.441747685189</v>
      </c>
      <c r="D2301" s="1" t="s">
        <v>320</v>
      </c>
      <c r="E2301" s="1" t="s">
        <v>332</v>
      </c>
    </row>
    <row r="2302" spans="1:5" x14ac:dyDescent="0.2">
      <c r="A2302" s="1" t="s">
        <v>751</v>
      </c>
      <c r="B2302" s="1" t="s">
        <v>141</v>
      </c>
      <c r="C2302" s="5">
        <f>DATE(2025, 3, 20) + TIME(10, 55, 7)</f>
        <v>45736.454942129632</v>
      </c>
      <c r="D2302" s="1" t="s">
        <v>450</v>
      </c>
      <c r="E2302" s="1" t="s">
        <v>1007</v>
      </c>
    </row>
    <row r="2303" spans="1:5" x14ac:dyDescent="0.2">
      <c r="A2303" s="1" t="s">
        <v>751</v>
      </c>
      <c r="B2303" s="1" t="s">
        <v>271</v>
      </c>
      <c r="C2303" s="5">
        <f>DATE(2025, 3, 18) + TIME(15, 40, 21)</f>
        <v>45734.653020833335</v>
      </c>
      <c r="D2303" s="1" t="s">
        <v>506</v>
      </c>
      <c r="E2303" s="1" t="s">
        <v>1012</v>
      </c>
    </row>
    <row r="2304" spans="1:5" x14ac:dyDescent="0.2">
      <c r="A2304" s="1" t="s">
        <v>751</v>
      </c>
      <c r="B2304" s="1" t="s">
        <v>60</v>
      </c>
      <c r="C2304" s="5">
        <f>DATE(2025, 3, 18) + TIME(12, 18, 8)</f>
        <v>45734.512592592589</v>
      </c>
      <c r="D2304" s="1" t="s">
        <v>506</v>
      </c>
      <c r="E2304" s="1" t="s">
        <v>819</v>
      </c>
    </row>
    <row r="2305" spans="1:5" x14ac:dyDescent="0.2">
      <c r="A2305" s="1" t="s">
        <v>751</v>
      </c>
      <c r="B2305" s="1" t="s">
        <v>141</v>
      </c>
      <c r="C2305" s="5">
        <f>DATE(2025, 3, 18) + TIME(7, 58, 29)</f>
        <v>45734.332280092596</v>
      </c>
      <c r="D2305" s="1" t="s">
        <v>269</v>
      </c>
      <c r="E2305" s="1" t="s">
        <v>802</v>
      </c>
    </row>
    <row r="2306" spans="1:5" x14ac:dyDescent="0.2">
      <c r="A2306" s="1" t="s">
        <v>751</v>
      </c>
      <c r="B2306" s="1" t="s">
        <v>714</v>
      </c>
      <c r="C2306" s="5">
        <f>DATE(2025, 3, 17) + TIME(21, 0, 14)</f>
        <v>45733.875162037039</v>
      </c>
      <c r="D2306" s="1" t="s">
        <v>506</v>
      </c>
      <c r="E2306" s="1" t="s">
        <v>509</v>
      </c>
    </row>
    <row r="2307" spans="1:5" x14ac:dyDescent="0.2">
      <c r="A2307" s="1" t="s">
        <v>751</v>
      </c>
      <c r="B2307" s="1" t="s">
        <v>323</v>
      </c>
      <c r="C2307" s="5">
        <f>DATE(2025, 3, 12) + TIME(10, 53, 17)</f>
        <v>45728.453668981485</v>
      </c>
      <c r="D2307" s="1" t="s">
        <v>148</v>
      </c>
      <c r="E2307" s="1" t="s">
        <v>221</v>
      </c>
    </row>
    <row r="2308" spans="1:5" x14ac:dyDescent="0.2">
      <c r="A2308" s="1" t="s">
        <v>751</v>
      </c>
      <c r="B2308" s="1" t="s">
        <v>60</v>
      </c>
      <c r="C2308" s="5">
        <f>DATE(2025, 3, 6) + TIME(15, 18, 6)</f>
        <v>45722.637569444443</v>
      </c>
      <c r="D2308" s="1" t="s">
        <v>863</v>
      </c>
      <c r="E2308" s="1" t="s">
        <v>711</v>
      </c>
    </row>
    <row r="2309" spans="1:5" x14ac:dyDescent="0.2">
      <c r="A2309" s="1" t="s">
        <v>751</v>
      </c>
      <c r="B2309" s="1" t="s">
        <v>323</v>
      </c>
      <c r="C2309" s="5">
        <f>DATE(2025, 3, 6) + TIME(15, 18, 6)</f>
        <v>45722.637569444443</v>
      </c>
      <c r="D2309" s="1" t="s">
        <v>863</v>
      </c>
      <c r="E2309" s="1" t="s">
        <v>711</v>
      </c>
    </row>
    <row r="2310" spans="1:5" x14ac:dyDescent="0.2">
      <c r="A2310" s="1" t="s">
        <v>751</v>
      </c>
      <c r="B2310" s="1" t="s">
        <v>60</v>
      </c>
      <c r="C2310" s="5">
        <f>DATE(2025, 3, 6) + TIME(10, 33, 33)</f>
        <v>45722.439965277779</v>
      </c>
      <c r="D2310" s="1" t="s">
        <v>863</v>
      </c>
      <c r="E2310" s="1" t="s">
        <v>80</v>
      </c>
    </row>
    <row r="2311" spans="1:5" x14ac:dyDescent="0.2">
      <c r="A2311" s="1" t="s">
        <v>751</v>
      </c>
      <c r="B2311" s="1" t="s">
        <v>323</v>
      </c>
      <c r="C2311" s="5">
        <f>DATE(2025, 3, 6) + TIME(7, 1, 34)</f>
        <v>45722.292754629627</v>
      </c>
      <c r="D2311" s="1" t="s">
        <v>459</v>
      </c>
      <c r="E2311" s="1" t="s">
        <v>164</v>
      </c>
    </row>
    <row r="2312" spans="1:5" x14ac:dyDescent="0.2">
      <c r="A2312" s="1" t="s">
        <v>751</v>
      </c>
      <c r="B2312" s="1" t="s">
        <v>60</v>
      </c>
      <c r="C2312" s="5">
        <f>DATE(2025, 3, 5) + TIME(7, 44, 59)</f>
        <v>45721.322905092595</v>
      </c>
      <c r="D2312" s="1" t="s">
        <v>65</v>
      </c>
      <c r="E2312" s="1" t="s">
        <v>204</v>
      </c>
    </row>
    <row r="2313" spans="1:5" x14ac:dyDescent="0.2">
      <c r="A2313" s="1" t="s">
        <v>751</v>
      </c>
      <c r="B2313" s="1" t="s">
        <v>323</v>
      </c>
      <c r="C2313" s="5">
        <f>DATE(2025, 3, 4) + TIME(14, 37, 7)</f>
        <v>45720.6091087963</v>
      </c>
      <c r="D2313" s="1" t="s">
        <v>640</v>
      </c>
      <c r="E2313" s="1" t="s">
        <v>780</v>
      </c>
    </row>
    <row r="2314" spans="1:5" x14ac:dyDescent="0.2">
      <c r="A2314" s="1" t="s">
        <v>751</v>
      </c>
      <c r="B2314" s="1" t="s">
        <v>866</v>
      </c>
      <c r="C2314" s="5">
        <f>DATE(2025, 2, 27) + TIME(14, 45, 32)</f>
        <v>45715.614953703705</v>
      </c>
      <c r="D2314" s="1" t="s">
        <v>863</v>
      </c>
      <c r="E2314" s="1" t="s">
        <v>711</v>
      </c>
    </row>
    <row r="2315" spans="1:5" x14ac:dyDescent="0.2">
      <c r="A2315" s="1" t="s">
        <v>751</v>
      </c>
      <c r="B2315" s="1" t="s">
        <v>323</v>
      </c>
      <c r="C2315" s="5">
        <f>DATE(2025, 2, 27) + TIME(14, 45, 32)</f>
        <v>45715.614953703705</v>
      </c>
      <c r="D2315" s="1" t="s">
        <v>863</v>
      </c>
      <c r="E2315" s="1" t="s">
        <v>711</v>
      </c>
    </row>
    <row r="2316" spans="1:5" x14ac:dyDescent="0.2">
      <c r="A2316" s="1" t="s">
        <v>751</v>
      </c>
      <c r="B2316" s="1" t="s">
        <v>60</v>
      </c>
      <c r="C2316" s="5">
        <f>DATE(2025, 2, 24) + TIME(14, 11, 7)</f>
        <v>45712.591053240743</v>
      </c>
      <c r="D2316" s="1" t="s">
        <v>863</v>
      </c>
      <c r="E2316" s="1" t="s">
        <v>465</v>
      </c>
    </row>
    <row r="2317" spans="1:5" x14ac:dyDescent="0.2">
      <c r="A2317" s="1" t="s">
        <v>751</v>
      </c>
      <c r="B2317" s="1" t="s">
        <v>60</v>
      </c>
      <c r="C2317" s="5">
        <f>DATE(2025, 2, 20) + TIME(12, 42, 44)</f>
        <v>45708.529675925929</v>
      </c>
      <c r="D2317" s="1" t="s">
        <v>863</v>
      </c>
      <c r="E2317" s="1" t="s">
        <v>711</v>
      </c>
    </row>
    <row r="2318" spans="1:5" x14ac:dyDescent="0.2">
      <c r="A2318" s="1" t="s">
        <v>751</v>
      </c>
      <c r="B2318" s="1" t="s">
        <v>60</v>
      </c>
      <c r="C2318" s="5">
        <f>DATE(2025, 2, 20) + TIME(7, 43, 6)</f>
        <v>45708.321597222224</v>
      </c>
      <c r="D2318" s="1" t="s">
        <v>459</v>
      </c>
      <c r="E2318" s="1" t="s">
        <v>164</v>
      </c>
    </row>
    <row r="2319" spans="1:5" x14ac:dyDescent="0.2">
      <c r="A2319" s="1" t="s">
        <v>751</v>
      </c>
      <c r="B2319" s="1" t="s">
        <v>60</v>
      </c>
      <c r="C2319" s="5">
        <f>DATE(2025, 2, 19) + TIME(8, 38, 49)</f>
        <v>45707.360289351855</v>
      </c>
      <c r="D2319" s="1" t="s">
        <v>640</v>
      </c>
      <c r="E2319" s="1" t="s">
        <v>10</v>
      </c>
    </row>
    <row r="2320" spans="1:5" x14ac:dyDescent="0.2">
      <c r="A2320" s="1" t="s">
        <v>751</v>
      </c>
      <c r="B2320" s="1" t="s">
        <v>591</v>
      </c>
      <c r="C2320" s="5">
        <f>DATE(2025, 2, 18) + TIME(12, 26, 46)</f>
        <v>45706.518587962964</v>
      </c>
      <c r="D2320" s="1" t="s">
        <v>65</v>
      </c>
      <c r="E2320" s="1" t="s">
        <v>916</v>
      </c>
    </row>
    <row r="2321" spans="1:5" x14ac:dyDescent="0.2">
      <c r="A2321" s="1" t="s">
        <v>751</v>
      </c>
      <c r="B2321" s="1" t="s">
        <v>60</v>
      </c>
      <c r="C2321" s="5">
        <f>DATE(2025, 2, 18) + TIME(9, 14, 30)</f>
        <v>45706.385069444441</v>
      </c>
      <c r="D2321" s="1" t="s">
        <v>640</v>
      </c>
      <c r="E2321" s="1" t="s">
        <v>605</v>
      </c>
    </row>
    <row r="2322" spans="1:5" x14ac:dyDescent="0.2">
      <c r="A2322" s="1" t="s">
        <v>751</v>
      </c>
      <c r="B2322" s="1" t="s">
        <v>60</v>
      </c>
      <c r="C2322" s="5">
        <f>DATE(2025, 2, 17) + TIME(13, 46, 59)</f>
        <v>45705.574293981481</v>
      </c>
      <c r="D2322" s="1" t="s">
        <v>863</v>
      </c>
      <c r="E2322" s="1" t="s">
        <v>711</v>
      </c>
    </row>
    <row r="2323" spans="1:5" x14ac:dyDescent="0.2">
      <c r="A2323" s="1" t="s">
        <v>751</v>
      </c>
      <c r="B2323" s="1" t="s">
        <v>60</v>
      </c>
      <c r="C2323" s="5">
        <f>DATE(2025, 2, 13) + TIME(9, 12, 9)</f>
        <v>45701.383437500001</v>
      </c>
      <c r="D2323" s="1" t="s">
        <v>148</v>
      </c>
      <c r="E2323" s="1" t="s">
        <v>221</v>
      </c>
    </row>
    <row r="2324" spans="1:5" x14ac:dyDescent="0.2">
      <c r="A2324" s="1" t="s">
        <v>751</v>
      </c>
      <c r="B2324" s="1" t="s">
        <v>60</v>
      </c>
      <c r="C2324" s="5">
        <f>DATE(2025, 2, 13) + TIME(9, 12, 8)</f>
        <v>45701.383425925924</v>
      </c>
      <c r="D2324" s="1" t="s">
        <v>148</v>
      </c>
      <c r="E2324" s="1" t="s">
        <v>221</v>
      </c>
    </row>
    <row r="2325" spans="1:5" x14ac:dyDescent="0.2">
      <c r="A2325" s="1" t="s">
        <v>751</v>
      </c>
      <c r="B2325" s="1" t="s">
        <v>60</v>
      </c>
      <c r="C2325" s="5">
        <f>DATE(2025, 2, 12) + TIME(15, 12, 52)</f>
        <v>45700.633935185186</v>
      </c>
      <c r="D2325" s="1" t="s">
        <v>459</v>
      </c>
      <c r="E2325" s="1" t="s">
        <v>777</v>
      </c>
    </row>
    <row r="2326" spans="1:5" x14ac:dyDescent="0.2">
      <c r="A2326" s="1" t="s">
        <v>751</v>
      </c>
      <c r="B2326" s="1" t="s">
        <v>591</v>
      </c>
      <c r="C2326" s="5">
        <f>DATE(2025, 2, 12) + TIME(4, 30, 14)</f>
        <v>45700.187662037039</v>
      </c>
      <c r="D2326" s="1" t="s">
        <v>3</v>
      </c>
      <c r="E2326" s="1" t="s">
        <v>1036</v>
      </c>
    </row>
    <row r="2327" spans="1:5" x14ac:dyDescent="0.2">
      <c r="A2327" s="1" t="s">
        <v>751</v>
      </c>
      <c r="B2327" s="1" t="s">
        <v>60</v>
      </c>
      <c r="C2327" s="5">
        <f>DATE(2025, 2, 11) + TIME(9, 23, 26)</f>
        <v>45699.391273148147</v>
      </c>
      <c r="D2327" s="1" t="s">
        <v>506</v>
      </c>
      <c r="E2327" s="1" t="s">
        <v>525</v>
      </c>
    </row>
    <row r="2328" spans="1:5" x14ac:dyDescent="0.2">
      <c r="A2328" s="1" t="s">
        <v>751</v>
      </c>
      <c r="B2328" s="1" t="s">
        <v>60</v>
      </c>
      <c r="C2328" s="5">
        <f>DATE(2025, 2, 11) + TIME(9, 23, 26)</f>
        <v>45699.391273148147</v>
      </c>
      <c r="D2328" s="1" t="s">
        <v>506</v>
      </c>
      <c r="E2328" s="1" t="s">
        <v>509</v>
      </c>
    </row>
    <row r="2329" spans="1:5" x14ac:dyDescent="0.2">
      <c r="A2329" s="1" t="s">
        <v>751</v>
      </c>
      <c r="B2329" s="1" t="s">
        <v>60</v>
      </c>
      <c r="C2329" s="5">
        <f>DATE(2025, 2, 11) + TIME(6, 29, 7)</f>
        <v>45699.270219907405</v>
      </c>
      <c r="D2329" s="1" t="s">
        <v>863</v>
      </c>
      <c r="E2329" s="1" t="s">
        <v>80</v>
      </c>
    </row>
    <row r="2330" spans="1:5" x14ac:dyDescent="0.2">
      <c r="A2330" s="1" t="s">
        <v>751</v>
      </c>
      <c r="B2330" s="1" t="s">
        <v>60</v>
      </c>
      <c r="C2330" s="5">
        <f>DATE(2025, 2, 11) + TIME(6, 29, 7)</f>
        <v>45699.270219907405</v>
      </c>
      <c r="D2330" s="1" t="s">
        <v>863</v>
      </c>
      <c r="E2330" s="1" t="s">
        <v>80</v>
      </c>
    </row>
    <row r="2331" spans="1:5" x14ac:dyDescent="0.2">
      <c r="A2331" s="1" t="s">
        <v>751</v>
      </c>
      <c r="B2331" s="1" t="s">
        <v>60</v>
      </c>
      <c r="C2331" s="5">
        <f>DATE(2025, 2, 10) + TIME(13, 9, 22)</f>
        <v>45698.548171296294</v>
      </c>
      <c r="D2331" s="1" t="s">
        <v>148</v>
      </c>
      <c r="E2331" s="1" t="s">
        <v>1038</v>
      </c>
    </row>
    <row r="2332" spans="1:5" x14ac:dyDescent="0.2">
      <c r="A2332" s="1" t="s">
        <v>751</v>
      </c>
      <c r="B2332" s="1" t="s">
        <v>60</v>
      </c>
      <c r="C2332" s="5">
        <f>DATE(2025, 2, 10) + TIME(9, 32, 50)</f>
        <v>45698.397800925923</v>
      </c>
      <c r="D2332" s="1" t="s">
        <v>341</v>
      </c>
      <c r="E2332" s="1" t="s">
        <v>172</v>
      </c>
    </row>
    <row r="2333" spans="1:5" x14ac:dyDescent="0.2">
      <c r="A2333" s="1" t="s">
        <v>751</v>
      </c>
      <c r="B2333" s="1" t="s">
        <v>60</v>
      </c>
      <c r="C2333" s="5">
        <f>DATE(2025, 2, 10) + TIME(9, 18, 27)</f>
        <v>45698.387812499997</v>
      </c>
      <c r="D2333" s="1" t="s">
        <v>320</v>
      </c>
      <c r="E2333" s="1" t="s">
        <v>332</v>
      </c>
    </row>
    <row r="2334" spans="1:5" x14ac:dyDescent="0.2">
      <c r="A2334" s="1" t="s">
        <v>751</v>
      </c>
      <c r="B2334" s="1" t="s">
        <v>866</v>
      </c>
      <c r="C2334" s="5">
        <f>DATE(2025, 2, 10) + TIME(9, 18, 26)</f>
        <v>45698.387800925928</v>
      </c>
      <c r="D2334" s="1" t="s">
        <v>320</v>
      </c>
      <c r="E2334" s="1" t="s">
        <v>332</v>
      </c>
    </row>
    <row r="2335" spans="1:5" x14ac:dyDescent="0.2">
      <c r="A2335" s="1" t="s">
        <v>751</v>
      </c>
      <c r="B2335" s="1" t="s">
        <v>60</v>
      </c>
      <c r="C2335" s="5">
        <f>DATE(2025, 2, 10) + TIME(9, 17, 12)</f>
        <v>45698.386944444443</v>
      </c>
      <c r="D2335" s="1" t="s">
        <v>506</v>
      </c>
      <c r="E2335" s="1" t="s">
        <v>710</v>
      </c>
    </row>
    <row r="2336" spans="1:5" x14ac:dyDescent="0.2">
      <c r="A2336" s="1" t="s">
        <v>751</v>
      </c>
      <c r="B2336" s="1" t="s">
        <v>60</v>
      </c>
      <c r="C2336" s="5">
        <f>DATE(2025, 2, 6) + TIME(12, 19, 22)</f>
        <v>45694.513449074075</v>
      </c>
      <c r="D2336" s="1" t="s">
        <v>566</v>
      </c>
      <c r="E2336" s="1" t="s">
        <v>570</v>
      </c>
    </row>
    <row r="2337" spans="1:5" x14ac:dyDescent="0.2">
      <c r="A2337" s="1" t="s">
        <v>751</v>
      </c>
      <c r="B2337" s="1" t="s">
        <v>141</v>
      </c>
      <c r="C2337" s="5">
        <f>DATE(2025, 2, 6) + TIME(4, 30, 48)</f>
        <v>45694.188055555554</v>
      </c>
      <c r="D2337" s="1" t="s">
        <v>3</v>
      </c>
      <c r="E2337" s="1" t="s">
        <v>515</v>
      </c>
    </row>
    <row r="2338" spans="1:5" x14ac:dyDescent="0.2">
      <c r="A2338" s="1" t="s">
        <v>751</v>
      </c>
      <c r="B2338" s="1" t="s">
        <v>141</v>
      </c>
      <c r="C2338" s="5">
        <f>DATE(2025, 2, 5) + TIME(14, 28, 4)</f>
        <v>45693.602824074071</v>
      </c>
      <c r="D2338" s="1" t="s">
        <v>144</v>
      </c>
      <c r="E2338" s="1" t="s">
        <v>1040</v>
      </c>
    </row>
    <row r="2339" spans="1:5" x14ac:dyDescent="0.2">
      <c r="A2339" s="1" t="s">
        <v>751</v>
      </c>
      <c r="B2339" s="1" t="s">
        <v>202</v>
      </c>
      <c r="C2339" s="5">
        <f>DATE(2025, 2, 3) + TIME(10, 4, 4)</f>
        <v>45691.419490740744</v>
      </c>
      <c r="D2339" s="1" t="s">
        <v>566</v>
      </c>
      <c r="E2339" s="1" t="s">
        <v>1046</v>
      </c>
    </row>
    <row r="2340" spans="1:5" x14ac:dyDescent="0.2">
      <c r="A2340" s="1" t="s">
        <v>751</v>
      </c>
      <c r="B2340" s="1" t="s">
        <v>60</v>
      </c>
      <c r="C2340" s="5">
        <f>DATE(2025, 2, 3) + TIME(9, 31, 31)</f>
        <v>45691.396886574075</v>
      </c>
      <c r="D2340" s="1" t="s">
        <v>320</v>
      </c>
      <c r="E2340" s="1" t="s">
        <v>521</v>
      </c>
    </row>
    <row r="2341" spans="1:5" x14ac:dyDescent="0.2">
      <c r="A2341" s="1" t="s">
        <v>751</v>
      </c>
      <c r="B2341" s="1" t="s">
        <v>60</v>
      </c>
      <c r="C2341" s="5">
        <f>DATE(2025, 1, 30) + TIME(11, 22, 53)</f>
        <v>45687.474224537036</v>
      </c>
      <c r="D2341" s="1" t="s">
        <v>3</v>
      </c>
      <c r="E2341" s="1" t="s">
        <v>481</v>
      </c>
    </row>
    <row r="2342" spans="1:5" x14ac:dyDescent="0.2">
      <c r="A2342" s="1" t="s">
        <v>751</v>
      </c>
      <c r="B2342" s="1" t="s">
        <v>526</v>
      </c>
      <c r="C2342" s="5">
        <f>DATE(2025, 1, 30) + TIME(10, 11, 57)</f>
        <v>45687.42496527778</v>
      </c>
      <c r="D2342" s="1" t="s">
        <v>638</v>
      </c>
      <c r="E2342" s="1" t="s">
        <v>172</v>
      </c>
    </row>
    <row r="2343" spans="1:5" x14ac:dyDescent="0.2">
      <c r="A2343" s="1" t="s">
        <v>751</v>
      </c>
      <c r="B2343" s="1" t="s">
        <v>526</v>
      </c>
      <c r="C2343" s="5">
        <f>DATE(2025, 1, 29) + TIME(11, 6, 39)</f>
        <v>45686.462951388887</v>
      </c>
      <c r="D2343" s="1" t="s">
        <v>341</v>
      </c>
      <c r="E2343" s="1" t="s">
        <v>826</v>
      </c>
    </row>
    <row r="2344" spans="1:5" x14ac:dyDescent="0.2">
      <c r="A2344" s="1" t="s">
        <v>751</v>
      </c>
      <c r="B2344" s="1" t="s">
        <v>526</v>
      </c>
      <c r="C2344" s="5">
        <f>DATE(2025, 1, 29) + TIME(7, 45, 56)</f>
        <v>45686.323564814818</v>
      </c>
      <c r="D2344" s="1" t="s">
        <v>640</v>
      </c>
      <c r="E2344" s="1" t="s">
        <v>10</v>
      </c>
    </row>
    <row r="2345" spans="1:5" x14ac:dyDescent="0.2">
      <c r="A2345" s="1" t="s">
        <v>751</v>
      </c>
      <c r="B2345" s="1" t="s">
        <v>986</v>
      </c>
      <c r="C2345" s="5">
        <f>DATE(2025, 1, 23) + TIME(12, 2, 10)</f>
        <v>45680.501504629632</v>
      </c>
      <c r="D2345" s="1" t="s">
        <v>566</v>
      </c>
      <c r="E2345" s="1" t="s">
        <v>570</v>
      </c>
    </row>
    <row r="2346" spans="1:5" x14ac:dyDescent="0.2">
      <c r="A2346" s="1" t="s">
        <v>751</v>
      </c>
      <c r="B2346" s="1" t="s">
        <v>1056</v>
      </c>
      <c r="C2346" s="5">
        <f>DATE(2025, 1, 22) + TIME(10, 31, 39)</f>
        <v>45679.438645833332</v>
      </c>
      <c r="D2346" s="1" t="s">
        <v>65</v>
      </c>
      <c r="E2346" s="1" t="s">
        <v>995</v>
      </c>
    </row>
    <row r="2347" spans="1:5" x14ac:dyDescent="0.2">
      <c r="A2347" s="1" t="s">
        <v>751</v>
      </c>
      <c r="B2347" s="1" t="s">
        <v>1056</v>
      </c>
      <c r="C2347" s="5">
        <f>DATE(2025, 1, 22) + TIME(9, 18, 45)</f>
        <v>45679.388020833336</v>
      </c>
      <c r="D2347" s="1" t="s">
        <v>65</v>
      </c>
      <c r="E2347" s="1" t="s">
        <v>949</v>
      </c>
    </row>
    <row r="2348" spans="1:5" x14ac:dyDescent="0.2">
      <c r="A2348" s="1" t="s">
        <v>751</v>
      </c>
      <c r="B2348" s="1" t="s">
        <v>1056</v>
      </c>
      <c r="C2348" s="5">
        <f>DATE(2025, 1, 21) + TIME(14, 34, 42)</f>
        <v>45678.607430555552</v>
      </c>
      <c r="D2348" s="1" t="s">
        <v>65</v>
      </c>
      <c r="E2348" s="1" t="s">
        <v>916</v>
      </c>
    </row>
    <row r="2349" spans="1:5" x14ac:dyDescent="0.2">
      <c r="A2349" s="1" t="s">
        <v>751</v>
      </c>
      <c r="B2349" s="1" t="s">
        <v>60</v>
      </c>
      <c r="C2349" s="5">
        <f>DATE(2025, 1, 21) + TIME(11, 40, 54)</f>
        <v>45678.48673611111</v>
      </c>
      <c r="D2349" s="1" t="s">
        <v>863</v>
      </c>
      <c r="E2349" s="1" t="s">
        <v>1057</v>
      </c>
    </row>
    <row r="2350" spans="1:5" x14ac:dyDescent="0.2">
      <c r="A2350" s="1" t="s">
        <v>751</v>
      </c>
      <c r="B2350" s="1" t="s">
        <v>229</v>
      </c>
      <c r="C2350" s="5">
        <f>DATE(2025, 1, 21) + TIME(11, 28, 30)</f>
        <v>45678.478125000001</v>
      </c>
      <c r="D2350" s="1" t="s">
        <v>640</v>
      </c>
      <c r="E2350" s="1" t="s">
        <v>726</v>
      </c>
    </row>
    <row r="2351" spans="1:5" x14ac:dyDescent="0.2">
      <c r="A2351" s="1" t="s">
        <v>751</v>
      </c>
      <c r="B2351" s="1" t="s">
        <v>60</v>
      </c>
      <c r="C2351" s="5">
        <f>DATE(2025, 1, 20) + TIME(15, 56, 56)</f>
        <v>45677.664537037039</v>
      </c>
      <c r="D2351" s="1" t="s">
        <v>863</v>
      </c>
      <c r="E2351" s="1" t="s">
        <v>80</v>
      </c>
    </row>
    <row r="2352" spans="1:5" x14ac:dyDescent="0.2">
      <c r="A2352" s="1" t="s">
        <v>751</v>
      </c>
      <c r="B2352" s="1" t="s">
        <v>60</v>
      </c>
      <c r="C2352" s="5">
        <f>DATE(2025, 1, 16) + TIME(15, 19, 37)</f>
        <v>45673.638622685183</v>
      </c>
      <c r="D2352" s="1" t="s">
        <v>459</v>
      </c>
      <c r="E2352" s="1" t="s">
        <v>164</v>
      </c>
    </row>
    <row r="2353" spans="1:5" x14ac:dyDescent="0.2">
      <c r="A2353" s="1" t="s">
        <v>751</v>
      </c>
      <c r="B2353" s="1" t="s">
        <v>60</v>
      </c>
      <c r="C2353" s="5">
        <f>DATE(2025, 1, 16) + TIME(15, 19, 37)</f>
        <v>45673.638622685183</v>
      </c>
      <c r="D2353" s="1" t="s">
        <v>459</v>
      </c>
      <c r="E2353" s="1" t="s">
        <v>164</v>
      </c>
    </row>
    <row r="2354" spans="1:5" x14ac:dyDescent="0.2">
      <c r="A2354" s="1" t="s">
        <v>751</v>
      </c>
      <c r="B2354" s="1" t="s">
        <v>60</v>
      </c>
      <c r="C2354" s="5">
        <f>DATE(2025, 1, 16) + TIME(13, 45, 10)</f>
        <v>45673.57303240741</v>
      </c>
      <c r="D2354" s="1" t="s">
        <v>640</v>
      </c>
      <c r="E2354" s="1" t="s">
        <v>667</v>
      </c>
    </row>
    <row r="2355" spans="1:5" x14ac:dyDescent="0.2">
      <c r="A2355" s="1" t="s">
        <v>751</v>
      </c>
      <c r="B2355" s="1" t="s">
        <v>60</v>
      </c>
      <c r="C2355" s="5">
        <f>DATE(2025, 1, 16) + TIME(9, 53, 4)</f>
        <v>45673.411851851852</v>
      </c>
      <c r="D2355" s="1" t="s">
        <v>3</v>
      </c>
      <c r="E2355" s="1" t="s">
        <v>515</v>
      </c>
    </row>
    <row r="2356" spans="1:5" x14ac:dyDescent="0.2">
      <c r="A2356" s="1" t="s">
        <v>751</v>
      </c>
      <c r="B2356" s="1" t="s">
        <v>60</v>
      </c>
      <c r="C2356" s="5">
        <f>DATE(2025, 1, 16) + TIME(9, 3, 41)</f>
        <v>45673.377557870372</v>
      </c>
      <c r="D2356" s="1" t="s">
        <v>640</v>
      </c>
      <c r="E2356" s="1" t="s">
        <v>834</v>
      </c>
    </row>
    <row r="2357" spans="1:5" x14ac:dyDescent="0.2">
      <c r="A2357" s="1" t="s">
        <v>751</v>
      </c>
      <c r="B2357" s="1" t="s">
        <v>678</v>
      </c>
      <c r="C2357" s="5">
        <f>DATE(2025, 1, 16) + TIME(7, 20, 9)</f>
        <v>45673.305659722224</v>
      </c>
      <c r="D2357" s="1" t="s">
        <v>65</v>
      </c>
      <c r="E2357" s="1" t="s">
        <v>991</v>
      </c>
    </row>
    <row r="2358" spans="1:5" x14ac:dyDescent="0.2">
      <c r="A2358" s="1" t="s">
        <v>751</v>
      </c>
      <c r="B2358" s="1" t="s">
        <v>141</v>
      </c>
      <c r="C2358" s="5">
        <f>DATE(2025, 1, 15) + TIME(12, 53, 34)</f>
        <v>45672.537199074075</v>
      </c>
      <c r="D2358" s="1" t="s">
        <v>144</v>
      </c>
      <c r="E2358" s="1" t="s">
        <v>826</v>
      </c>
    </row>
    <row r="2359" spans="1:5" x14ac:dyDescent="0.2">
      <c r="A2359" s="1" t="s">
        <v>751</v>
      </c>
      <c r="B2359" s="1" t="s">
        <v>60</v>
      </c>
      <c r="C2359" s="5">
        <f>DATE(2025, 1, 14) + TIME(14, 54, 31)</f>
        <v>45671.621192129627</v>
      </c>
      <c r="D2359" s="1" t="s">
        <v>64</v>
      </c>
      <c r="E2359" s="1" t="s">
        <v>1064</v>
      </c>
    </row>
    <row r="2360" spans="1:5" x14ac:dyDescent="0.2">
      <c r="A2360" s="1" t="s">
        <v>751</v>
      </c>
      <c r="B2360" s="1" t="s">
        <v>60</v>
      </c>
      <c r="C2360" s="5">
        <f>DATE(2025, 1, 14) + TIME(12, 36, 56)</f>
        <v>45671.525648148148</v>
      </c>
      <c r="D2360" s="1" t="s">
        <v>64</v>
      </c>
      <c r="E2360" s="1" t="s">
        <v>1066</v>
      </c>
    </row>
    <row r="2361" spans="1:5" x14ac:dyDescent="0.2">
      <c r="A2361" s="1" t="s">
        <v>751</v>
      </c>
      <c r="B2361" s="1" t="s">
        <v>60</v>
      </c>
      <c r="C2361" s="5">
        <f>DATE(2025, 1, 9) + TIME(14, 1, 0)</f>
        <v>45666.584027777775</v>
      </c>
      <c r="D2361" s="1" t="s">
        <v>566</v>
      </c>
      <c r="E2361" s="1" t="s">
        <v>893</v>
      </c>
    </row>
    <row r="2362" spans="1:5" x14ac:dyDescent="0.2">
      <c r="A2362" s="1" t="s">
        <v>751</v>
      </c>
      <c r="B2362" s="1" t="s">
        <v>714</v>
      </c>
      <c r="C2362" s="5">
        <f>DATE(2025, 1, 8) + TIME(14, 40, 39)</f>
        <v>45665.611562500002</v>
      </c>
      <c r="D2362" s="1" t="s">
        <v>144</v>
      </c>
      <c r="E2362" s="1" t="s">
        <v>293</v>
      </c>
    </row>
    <row r="2363" spans="1:5" x14ac:dyDescent="0.2">
      <c r="A2363" s="1" t="s">
        <v>751</v>
      </c>
      <c r="B2363" s="1" t="s">
        <v>141</v>
      </c>
      <c r="C2363" s="5">
        <f>DATE(2025, 1, 8) + TIME(12, 42, 12)</f>
        <v>45665.529305555552</v>
      </c>
      <c r="D2363" s="1" t="s">
        <v>566</v>
      </c>
      <c r="E2363" s="1" t="s">
        <v>570</v>
      </c>
    </row>
    <row r="2364" spans="1:5" x14ac:dyDescent="0.2">
      <c r="A2364" s="1" t="s">
        <v>751</v>
      </c>
      <c r="B2364" s="1" t="s">
        <v>60</v>
      </c>
      <c r="C2364" s="5">
        <f>DATE(2025, 1, 8) + TIME(8, 3, 47)</f>
        <v>45665.335960648146</v>
      </c>
      <c r="D2364" s="1" t="s">
        <v>640</v>
      </c>
      <c r="E2364" s="1" t="s">
        <v>10</v>
      </c>
    </row>
    <row r="2365" spans="1:5" x14ac:dyDescent="0.2">
      <c r="A2365" s="1" t="s">
        <v>751</v>
      </c>
      <c r="B2365" s="1" t="s">
        <v>60</v>
      </c>
      <c r="C2365" s="5">
        <f>DATE(2025, 1, 7) + TIME(11, 32, 6)</f>
        <v>45664.480624999997</v>
      </c>
      <c r="D2365" s="1" t="s">
        <v>320</v>
      </c>
      <c r="E2365" s="1" t="s">
        <v>115</v>
      </c>
    </row>
    <row r="2366" spans="1:5" x14ac:dyDescent="0.2">
      <c r="A2366" s="1" t="s">
        <v>751</v>
      </c>
      <c r="B2366" s="1" t="s">
        <v>1074</v>
      </c>
      <c r="C2366" s="5">
        <f>DATE(2025, 1, 6) + TIME(11, 4, 17)</f>
        <v>45663.46130787037</v>
      </c>
      <c r="D2366" s="1" t="s">
        <v>148</v>
      </c>
      <c r="E2366" s="1" t="s">
        <v>469</v>
      </c>
    </row>
    <row r="2367" spans="1:5" x14ac:dyDescent="0.2">
      <c r="A2367" s="1" t="s">
        <v>751</v>
      </c>
      <c r="B2367" s="1" t="s">
        <v>60</v>
      </c>
      <c r="C2367" s="5">
        <f>DATE(2025, 1, 6) + TIME(9, 37, 25)</f>
        <v>45663.400983796295</v>
      </c>
      <c r="D2367" s="1" t="s">
        <v>506</v>
      </c>
      <c r="E2367" s="1" t="s">
        <v>710</v>
      </c>
    </row>
    <row r="2368" spans="1:5" x14ac:dyDescent="0.2">
      <c r="A2368" s="1" t="s">
        <v>751</v>
      </c>
      <c r="B2368" s="1" t="s">
        <v>141</v>
      </c>
      <c r="C2368" s="5">
        <f>DATE(2025, 1, 2) + TIME(12, 12, 56)</f>
        <v>45659.508981481478</v>
      </c>
      <c r="D2368" s="1" t="s">
        <v>638</v>
      </c>
      <c r="E2368" s="1" t="s">
        <v>172</v>
      </c>
    </row>
    <row r="2369" spans="1:5" x14ac:dyDescent="0.2">
      <c r="A2369" s="1" t="s">
        <v>751</v>
      </c>
      <c r="B2369" s="1" t="s">
        <v>678</v>
      </c>
      <c r="C2369" s="5">
        <f>DATE(2025, 1, 2) + TIME(10, 16, 26)</f>
        <v>45659.428078703706</v>
      </c>
      <c r="D2369" s="1" t="s">
        <v>3</v>
      </c>
      <c r="E2369" s="1" t="s">
        <v>515</v>
      </c>
    </row>
    <row r="2370" spans="1:5" x14ac:dyDescent="0.2">
      <c r="A2370" s="1" t="s">
        <v>751</v>
      </c>
      <c r="B2370" s="1" t="s">
        <v>323</v>
      </c>
      <c r="C2370" s="5">
        <f>DATE(2024, 12, 31) + TIME(11, 5, 5)</f>
        <v>45657.461863425924</v>
      </c>
      <c r="D2370" s="1" t="s">
        <v>3</v>
      </c>
      <c r="E2370" s="1" t="s">
        <v>584</v>
      </c>
    </row>
    <row r="2371" spans="1:5" x14ac:dyDescent="0.2">
      <c r="A2371" s="1" t="s">
        <v>751</v>
      </c>
      <c r="B2371" s="1" t="s">
        <v>866</v>
      </c>
      <c r="C2371" s="5">
        <f>DATE(2024, 12, 31) + TIME(9, 38, 41)</f>
        <v>45657.401863425926</v>
      </c>
      <c r="D2371" s="1" t="s">
        <v>566</v>
      </c>
      <c r="E2371" s="1" t="s">
        <v>570</v>
      </c>
    </row>
    <row r="2372" spans="1:5" x14ac:dyDescent="0.2">
      <c r="A2372" s="1" t="s">
        <v>751</v>
      </c>
      <c r="B2372" s="1" t="s">
        <v>231</v>
      </c>
      <c r="C2372" s="5">
        <f>DATE(2024, 12, 31) + TIME(9, 38, 41)</f>
        <v>45657.401863425926</v>
      </c>
      <c r="D2372" s="1" t="s">
        <v>566</v>
      </c>
      <c r="E2372" s="1" t="s">
        <v>570</v>
      </c>
    </row>
    <row r="2373" spans="1:5" x14ac:dyDescent="0.2">
      <c r="A2373" s="1" t="s">
        <v>751</v>
      </c>
      <c r="B2373" s="1" t="s">
        <v>526</v>
      </c>
      <c r="C2373" s="5">
        <f>DATE(2024, 12, 28) + TIME(8, 55, 22)</f>
        <v>45654.371782407405</v>
      </c>
      <c r="D2373" s="1" t="s">
        <v>65</v>
      </c>
      <c r="E2373" s="1" t="s">
        <v>1078</v>
      </c>
    </row>
    <row r="2374" spans="1:5" x14ac:dyDescent="0.2">
      <c r="A2374" s="1" t="s">
        <v>751</v>
      </c>
      <c r="B2374" s="1" t="s">
        <v>60</v>
      </c>
      <c r="C2374" s="5">
        <f>DATE(2024, 12, 26) + TIME(9, 8, 59)</f>
        <v>45652.381238425929</v>
      </c>
      <c r="D2374" s="1" t="s">
        <v>450</v>
      </c>
      <c r="E2374" s="1" t="s">
        <v>442</v>
      </c>
    </row>
    <row r="2375" spans="1:5" x14ac:dyDescent="0.2">
      <c r="A2375" s="1" t="s">
        <v>751</v>
      </c>
      <c r="B2375" s="1" t="s">
        <v>60</v>
      </c>
      <c r="C2375" s="5">
        <f>DATE(2024, 12, 26) + TIME(9, 8, 59)</f>
        <v>45652.381238425929</v>
      </c>
      <c r="D2375" s="1" t="s">
        <v>450</v>
      </c>
      <c r="E2375" s="1" t="s">
        <v>442</v>
      </c>
    </row>
    <row r="2376" spans="1:5" x14ac:dyDescent="0.2">
      <c r="A2376" s="1" t="s">
        <v>751</v>
      </c>
      <c r="B2376" s="1" t="s">
        <v>963</v>
      </c>
      <c r="C2376" s="5">
        <f>DATE(2024, 12, 23) + TIME(12, 36, 39)</f>
        <v>45649.525451388887</v>
      </c>
      <c r="D2376" s="1" t="s">
        <v>566</v>
      </c>
      <c r="E2376" s="1" t="s">
        <v>1082</v>
      </c>
    </row>
    <row r="2377" spans="1:5" x14ac:dyDescent="0.2">
      <c r="A2377" s="1" t="s">
        <v>751</v>
      </c>
      <c r="B2377" s="1" t="s">
        <v>139</v>
      </c>
      <c r="C2377" s="5">
        <f>DATE(2024, 12, 19) + TIME(16, 16, 44)</f>
        <v>45645.678287037037</v>
      </c>
      <c r="D2377" s="1" t="s">
        <v>450</v>
      </c>
      <c r="E2377" s="1" t="s">
        <v>442</v>
      </c>
    </row>
    <row r="2378" spans="1:5" x14ac:dyDescent="0.2">
      <c r="A2378" s="1" t="s">
        <v>751</v>
      </c>
      <c r="B2378" s="1" t="s">
        <v>139</v>
      </c>
      <c r="C2378" s="5">
        <f>DATE(2024, 12, 19) + TIME(16, 16, 43)</f>
        <v>45645.67827546296</v>
      </c>
      <c r="D2378" s="1" t="s">
        <v>450</v>
      </c>
      <c r="E2378" s="1" t="s">
        <v>442</v>
      </c>
    </row>
    <row r="2379" spans="1:5" x14ac:dyDescent="0.2">
      <c r="A2379" s="1" t="s">
        <v>751</v>
      </c>
      <c r="B2379" s="1" t="s">
        <v>526</v>
      </c>
      <c r="C2379" s="5">
        <f>DATE(2024, 12, 19) + TIME(13, 19, 45)</f>
        <v>45645.555381944447</v>
      </c>
      <c r="D2379" s="1" t="s">
        <v>144</v>
      </c>
      <c r="E2379" s="1" t="s">
        <v>293</v>
      </c>
    </row>
    <row r="2380" spans="1:5" x14ac:dyDescent="0.2">
      <c r="A2380" s="1" t="s">
        <v>751</v>
      </c>
      <c r="B2380" s="1" t="s">
        <v>866</v>
      </c>
      <c r="C2380" s="5">
        <f>DATE(2024, 12, 18) + TIME(15, 0, 34)</f>
        <v>45644.625393518516</v>
      </c>
      <c r="D2380" s="1" t="s">
        <v>64</v>
      </c>
      <c r="E2380" s="1" t="s">
        <v>337</v>
      </c>
    </row>
    <row r="2381" spans="1:5" x14ac:dyDescent="0.2">
      <c r="A2381" s="1" t="s">
        <v>751</v>
      </c>
      <c r="B2381" s="1" t="s">
        <v>963</v>
      </c>
      <c r="C2381" s="5">
        <f>DATE(2024, 12, 17) + TIME(13, 0, 4)</f>
        <v>45643.541712962964</v>
      </c>
      <c r="D2381" s="1" t="s">
        <v>566</v>
      </c>
      <c r="E2381" s="1" t="s">
        <v>1082</v>
      </c>
    </row>
    <row r="2382" spans="1:5" x14ac:dyDescent="0.2">
      <c r="A2382" s="1" t="s">
        <v>751</v>
      </c>
      <c r="B2382" s="1" t="s">
        <v>526</v>
      </c>
      <c r="C2382" s="5">
        <f>DATE(2024, 12, 16) + TIME(10, 49, 39)</f>
        <v>45642.451145833336</v>
      </c>
      <c r="D2382" s="1" t="s">
        <v>320</v>
      </c>
      <c r="E2382" s="1" t="s">
        <v>820</v>
      </c>
    </row>
    <row r="2383" spans="1:5" x14ac:dyDescent="0.2">
      <c r="A2383" s="1" t="s">
        <v>751</v>
      </c>
      <c r="B2383" s="1" t="s">
        <v>139</v>
      </c>
      <c r="C2383" s="5">
        <f>DATE(2024, 12, 16) + TIME(9, 26, 21)</f>
        <v>45642.39329861111</v>
      </c>
      <c r="D2383" s="1" t="s">
        <v>640</v>
      </c>
      <c r="E2383" s="1" t="s">
        <v>348</v>
      </c>
    </row>
    <row r="2384" spans="1:5" x14ac:dyDescent="0.2">
      <c r="A2384" s="1" t="s">
        <v>751</v>
      </c>
      <c r="B2384" s="1" t="s">
        <v>139</v>
      </c>
      <c r="C2384" s="5">
        <f>DATE(2024, 12, 16) + TIME(7, 9, 39)</f>
        <v>45642.298368055555</v>
      </c>
      <c r="D2384" s="1" t="s">
        <v>450</v>
      </c>
      <c r="E2384" s="1" t="s">
        <v>442</v>
      </c>
    </row>
    <row r="2385" spans="1:5" x14ac:dyDescent="0.2">
      <c r="A2385" s="1" t="s">
        <v>751</v>
      </c>
      <c r="B2385" s="1" t="s">
        <v>141</v>
      </c>
      <c r="C2385" s="5">
        <f>DATE(2024, 12, 12) + TIME(10, 41, 55)</f>
        <v>45638.445775462962</v>
      </c>
      <c r="D2385" s="1" t="s">
        <v>320</v>
      </c>
      <c r="E2385" s="1" t="s">
        <v>521</v>
      </c>
    </row>
    <row r="2386" spans="1:5" x14ac:dyDescent="0.2">
      <c r="A2386" s="1" t="s">
        <v>751</v>
      </c>
      <c r="B2386" s="1" t="s">
        <v>262</v>
      </c>
      <c r="C2386" s="5">
        <f>DATE(2024, 12, 10) + TIME(11, 27, 55)</f>
        <v>45636.477719907409</v>
      </c>
      <c r="D2386" s="1" t="s">
        <v>640</v>
      </c>
      <c r="E2386" s="1" t="s">
        <v>726</v>
      </c>
    </row>
    <row r="2387" spans="1:5" x14ac:dyDescent="0.2">
      <c r="A2387" s="1" t="s">
        <v>751</v>
      </c>
      <c r="B2387" s="1" t="s">
        <v>714</v>
      </c>
      <c r="C2387" s="5">
        <f>DATE(2024, 12, 10) + TIME(10, 57, 29)</f>
        <v>45636.456585648149</v>
      </c>
      <c r="D2387" s="1" t="s">
        <v>506</v>
      </c>
      <c r="E2387" s="1" t="s">
        <v>509</v>
      </c>
    </row>
    <row r="2388" spans="1:5" x14ac:dyDescent="0.2">
      <c r="A2388" s="1" t="s">
        <v>751</v>
      </c>
      <c r="B2388" s="1" t="s">
        <v>229</v>
      </c>
      <c r="C2388" s="5">
        <f>DATE(2024, 12, 10) + TIME(10, 38, 39)</f>
        <v>45636.443506944444</v>
      </c>
      <c r="D2388" s="1" t="s">
        <v>506</v>
      </c>
      <c r="E2388" s="1" t="s">
        <v>819</v>
      </c>
    </row>
    <row r="2389" spans="1:5" x14ac:dyDescent="0.2">
      <c r="A2389" s="1" t="s">
        <v>751</v>
      </c>
      <c r="B2389" s="1" t="s">
        <v>272</v>
      </c>
      <c r="C2389" s="5">
        <f>DATE(2024, 12, 5) + TIME(13, 27, 55)</f>
        <v>45631.561053240737</v>
      </c>
      <c r="D2389" s="1" t="s">
        <v>863</v>
      </c>
      <c r="E2389" s="1" t="s">
        <v>711</v>
      </c>
    </row>
    <row r="2390" spans="1:5" x14ac:dyDescent="0.2">
      <c r="A2390" s="1" t="s">
        <v>751</v>
      </c>
      <c r="B2390" s="1" t="s">
        <v>163</v>
      </c>
      <c r="C2390" s="5">
        <f>DATE(2024, 12, 5) + TIME(13, 27, 55)</f>
        <v>45631.561053240737</v>
      </c>
      <c r="D2390" s="1" t="s">
        <v>863</v>
      </c>
      <c r="E2390" s="1" t="s">
        <v>711</v>
      </c>
    </row>
    <row r="2391" spans="1:5" x14ac:dyDescent="0.2">
      <c r="A2391" s="1" t="s">
        <v>751</v>
      </c>
      <c r="B2391" s="1" t="s">
        <v>866</v>
      </c>
      <c r="C2391" s="5">
        <f>DATE(2024, 12, 5) + TIME(11, 35, 42)</f>
        <v>45631.483124999999</v>
      </c>
      <c r="D2391" s="1" t="s">
        <v>863</v>
      </c>
      <c r="E2391" s="1" t="s">
        <v>80</v>
      </c>
    </row>
    <row r="2392" spans="1:5" x14ac:dyDescent="0.2">
      <c r="A2392" s="1" t="s">
        <v>751</v>
      </c>
      <c r="B2392" s="1" t="s">
        <v>323</v>
      </c>
      <c r="C2392" s="5">
        <f>DATE(2024, 12, 5) + TIME(11, 34, 45)</f>
        <v>45631.482465277775</v>
      </c>
      <c r="D2392" s="1" t="s">
        <v>863</v>
      </c>
      <c r="E2392" s="1" t="s">
        <v>711</v>
      </c>
    </row>
    <row r="2393" spans="1:5" x14ac:dyDescent="0.2">
      <c r="A2393" s="1" t="s">
        <v>751</v>
      </c>
      <c r="B2393" s="1" t="s">
        <v>866</v>
      </c>
      <c r="C2393" s="5">
        <f>DATE(2024, 12, 4) + TIME(10, 39, 53)</f>
        <v>45630.444363425922</v>
      </c>
      <c r="D2393" s="1" t="s">
        <v>506</v>
      </c>
      <c r="E2393" s="1" t="s">
        <v>167</v>
      </c>
    </row>
    <row r="2394" spans="1:5" x14ac:dyDescent="0.2">
      <c r="A2394" s="1" t="s">
        <v>751</v>
      </c>
      <c r="B2394" s="1" t="s">
        <v>202</v>
      </c>
      <c r="C2394" s="5">
        <f>DATE(2024, 12, 2) + TIME(10, 25, 43)</f>
        <v>45628.434525462966</v>
      </c>
      <c r="D2394" s="1" t="s">
        <v>566</v>
      </c>
      <c r="E2394" s="1" t="s">
        <v>1103</v>
      </c>
    </row>
    <row r="2395" spans="1:5" x14ac:dyDescent="0.2">
      <c r="A2395" s="1" t="s">
        <v>751</v>
      </c>
      <c r="B2395" s="1" t="s">
        <v>526</v>
      </c>
      <c r="C2395" s="5">
        <f>DATE(2024, 12, 1) + TIME(17, 33, 36)</f>
        <v>45627.731666666667</v>
      </c>
      <c r="D2395" s="1" t="s">
        <v>65</v>
      </c>
      <c r="E2395" s="1" t="s">
        <v>1078</v>
      </c>
    </row>
    <row r="2396" spans="1:5" x14ac:dyDescent="0.2">
      <c r="A2396" s="1" t="s">
        <v>751</v>
      </c>
      <c r="B2396" s="1" t="s">
        <v>644</v>
      </c>
      <c r="C2396" s="5">
        <f>DATE(2024, 11, 27) + TIME(11, 41, 45)</f>
        <v>45623.487326388888</v>
      </c>
      <c r="D2396" s="1" t="s">
        <v>863</v>
      </c>
      <c r="E2396" s="1" t="s">
        <v>80</v>
      </c>
    </row>
    <row r="2397" spans="1:5" x14ac:dyDescent="0.2">
      <c r="A2397" s="1" t="s">
        <v>751</v>
      </c>
      <c r="B2397" s="1" t="s">
        <v>229</v>
      </c>
      <c r="C2397" s="5">
        <f>DATE(2024, 11, 26) + TIME(8, 49, 9)</f>
        <v>45622.367465277777</v>
      </c>
      <c r="D2397" s="1" t="s">
        <v>148</v>
      </c>
      <c r="E2397" s="1" t="s">
        <v>891</v>
      </c>
    </row>
    <row r="2398" spans="1:5" x14ac:dyDescent="0.2">
      <c r="A2398" s="1" t="s">
        <v>751</v>
      </c>
      <c r="B2398" s="1" t="s">
        <v>526</v>
      </c>
      <c r="C2398" s="5">
        <f>DATE(2024, 11, 21) + TIME(9, 1, 34)</f>
        <v>45617.376087962963</v>
      </c>
      <c r="D2398" s="1" t="s">
        <v>506</v>
      </c>
      <c r="E2398" s="1" t="s">
        <v>200</v>
      </c>
    </row>
    <row r="2399" spans="1:5" x14ac:dyDescent="0.2">
      <c r="A2399" s="1" t="s">
        <v>751</v>
      </c>
      <c r="B2399" s="1" t="s">
        <v>323</v>
      </c>
      <c r="C2399" s="5">
        <f>DATE(2024, 11, 20) + TIME(13, 56, 44)</f>
        <v>45616.581064814818</v>
      </c>
      <c r="D2399" s="1" t="s">
        <v>459</v>
      </c>
      <c r="E2399" s="1" t="s">
        <v>777</v>
      </c>
    </row>
    <row r="2400" spans="1:5" x14ac:dyDescent="0.2">
      <c r="A2400" s="1" t="s">
        <v>751</v>
      </c>
      <c r="B2400" s="1" t="s">
        <v>202</v>
      </c>
      <c r="C2400" s="5">
        <f>DATE(2024, 11, 20) + TIME(13, 54, 28)</f>
        <v>45616.57949074074</v>
      </c>
      <c r="D2400" s="1" t="s">
        <v>459</v>
      </c>
      <c r="E2400" s="1" t="s">
        <v>777</v>
      </c>
    </row>
    <row r="2401" spans="1:5" x14ac:dyDescent="0.2">
      <c r="A2401" s="1" t="s">
        <v>751</v>
      </c>
      <c r="B2401" s="1" t="s">
        <v>60</v>
      </c>
      <c r="C2401" s="5">
        <f>DATE(2024, 11, 20) + TIME(13, 54, 28)</f>
        <v>45616.57949074074</v>
      </c>
      <c r="D2401" s="1" t="s">
        <v>459</v>
      </c>
      <c r="E2401" s="1" t="s">
        <v>777</v>
      </c>
    </row>
    <row r="2402" spans="1:5" x14ac:dyDescent="0.2">
      <c r="A2402" s="1" t="s">
        <v>751</v>
      </c>
      <c r="B2402" s="1" t="s">
        <v>323</v>
      </c>
      <c r="C2402" s="5">
        <f>DATE(2024, 11, 20) + TIME(13, 54, 28)</f>
        <v>45616.57949074074</v>
      </c>
      <c r="D2402" s="1" t="s">
        <v>459</v>
      </c>
      <c r="E2402" s="1" t="s">
        <v>777</v>
      </c>
    </row>
    <row r="2403" spans="1:5" x14ac:dyDescent="0.2">
      <c r="A2403" s="1" t="s">
        <v>751</v>
      </c>
      <c r="B2403" s="1" t="s">
        <v>229</v>
      </c>
      <c r="C2403" s="5">
        <f>DATE(2024, 11, 20) + TIME(9, 51, 3)</f>
        <v>45616.410451388889</v>
      </c>
      <c r="D2403" s="1" t="s">
        <v>148</v>
      </c>
      <c r="E2403" s="1" t="s">
        <v>891</v>
      </c>
    </row>
    <row r="2404" spans="1:5" x14ac:dyDescent="0.2">
      <c r="A2404" s="1" t="s">
        <v>751</v>
      </c>
      <c r="B2404" s="1" t="s">
        <v>229</v>
      </c>
      <c r="C2404" s="5">
        <f>DATE(2024, 11, 19) + TIME(15, 25, 19)</f>
        <v>45615.642581018517</v>
      </c>
      <c r="D2404" s="1" t="s">
        <v>148</v>
      </c>
      <c r="E2404" s="1" t="s">
        <v>929</v>
      </c>
    </row>
    <row r="2405" spans="1:5" x14ac:dyDescent="0.2">
      <c r="A2405" s="1" t="s">
        <v>751</v>
      </c>
      <c r="B2405" s="1" t="s">
        <v>714</v>
      </c>
      <c r="C2405" s="5">
        <f>DATE(2024, 11, 19) + TIME(12, 13, 5)</f>
        <v>45615.509085648147</v>
      </c>
      <c r="D2405" s="1" t="s">
        <v>64</v>
      </c>
      <c r="E2405" s="1" t="s">
        <v>1110</v>
      </c>
    </row>
    <row r="2406" spans="1:5" x14ac:dyDescent="0.2">
      <c r="A2406" s="1" t="s">
        <v>751</v>
      </c>
      <c r="B2406" s="1" t="s">
        <v>526</v>
      </c>
      <c r="C2406" s="5">
        <f>DATE(2024, 11, 19) + TIME(12, 9, 35)</f>
        <v>45615.506655092591</v>
      </c>
      <c r="D2406" s="1" t="s">
        <v>506</v>
      </c>
      <c r="E2406" s="1" t="s">
        <v>509</v>
      </c>
    </row>
    <row r="2407" spans="1:5" x14ac:dyDescent="0.2">
      <c r="A2407" s="1" t="s">
        <v>751</v>
      </c>
      <c r="B2407" s="1" t="s">
        <v>202</v>
      </c>
      <c r="C2407" s="5">
        <f>DATE(2024, 11, 19) + TIME(9, 43, 47)</f>
        <v>45615.405405092592</v>
      </c>
      <c r="D2407" s="1" t="s">
        <v>566</v>
      </c>
      <c r="E2407" s="1" t="s">
        <v>998</v>
      </c>
    </row>
    <row r="2408" spans="1:5" x14ac:dyDescent="0.2">
      <c r="A2408" s="1" t="s">
        <v>751</v>
      </c>
      <c r="B2408" s="1" t="s">
        <v>866</v>
      </c>
      <c r="C2408" s="5">
        <f>DATE(2024, 11, 18) + TIME(15, 7, 19)</f>
        <v>45614.63008101852</v>
      </c>
      <c r="D2408" s="1" t="s">
        <v>506</v>
      </c>
      <c r="E2408" s="1" t="s">
        <v>811</v>
      </c>
    </row>
    <row r="2409" spans="1:5" x14ac:dyDescent="0.2">
      <c r="A2409" s="1" t="s">
        <v>751</v>
      </c>
      <c r="B2409" s="1" t="s">
        <v>644</v>
      </c>
      <c r="C2409" s="5">
        <f>DATE(2024, 11, 18) + TIME(14, 53, 1)</f>
        <v>45614.620150462964</v>
      </c>
      <c r="D2409" s="1" t="s">
        <v>506</v>
      </c>
      <c r="E2409" s="1" t="s">
        <v>710</v>
      </c>
    </row>
    <row r="2410" spans="1:5" x14ac:dyDescent="0.2">
      <c r="A2410" s="1" t="s">
        <v>751</v>
      </c>
      <c r="B2410" s="1" t="s">
        <v>526</v>
      </c>
      <c r="C2410" s="5">
        <f>DATE(2024, 11, 18) + TIME(14, 36, 16)</f>
        <v>45614.608518518522</v>
      </c>
      <c r="D2410" s="1" t="s">
        <v>506</v>
      </c>
      <c r="E2410" s="1" t="s">
        <v>811</v>
      </c>
    </row>
    <row r="2411" spans="1:5" x14ac:dyDescent="0.2">
      <c r="A2411" s="1" t="s">
        <v>751</v>
      </c>
      <c r="B2411" s="1" t="s">
        <v>202</v>
      </c>
      <c r="C2411" s="5">
        <f>DATE(2024, 11, 18) + TIME(13, 59, 45)</f>
        <v>45614.58315972222</v>
      </c>
      <c r="D2411" s="1" t="s">
        <v>64</v>
      </c>
      <c r="E2411" s="1" t="s">
        <v>1114</v>
      </c>
    </row>
    <row r="2412" spans="1:5" x14ac:dyDescent="0.2">
      <c r="A2412" s="1" t="s">
        <v>751</v>
      </c>
      <c r="B2412" s="1" t="s">
        <v>202</v>
      </c>
      <c r="C2412" s="5">
        <f>DATE(2024, 11, 18) + TIME(10, 24, 7)</f>
        <v>45614.43341435185</v>
      </c>
      <c r="D2412" s="1" t="s">
        <v>566</v>
      </c>
      <c r="E2412" s="1" t="s">
        <v>1046</v>
      </c>
    </row>
    <row r="2413" spans="1:5" x14ac:dyDescent="0.2">
      <c r="A2413" s="1" t="s">
        <v>751</v>
      </c>
      <c r="B2413" s="1" t="s">
        <v>202</v>
      </c>
      <c r="C2413" s="5">
        <f>DATE(2024, 11, 18) + TIME(10, 24, 6)</f>
        <v>45614.43340277778</v>
      </c>
      <c r="D2413" s="1" t="s">
        <v>566</v>
      </c>
      <c r="E2413" s="1" t="s">
        <v>1103</v>
      </c>
    </row>
    <row r="2414" spans="1:5" x14ac:dyDescent="0.2">
      <c r="A2414" s="1" t="s">
        <v>751</v>
      </c>
      <c r="B2414" s="1" t="s">
        <v>60</v>
      </c>
      <c r="C2414" s="5">
        <f>DATE(2024, 11, 15) + TIME(13, 36, 10)</f>
        <v>45611.566782407404</v>
      </c>
      <c r="D2414" s="1" t="s">
        <v>921</v>
      </c>
      <c r="E2414" s="1" t="s">
        <v>1104</v>
      </c>
    </row>
    <row r="2415" spans="1:5" x14ac:dyDescent="0.2">
      <c r="A2415" s="1" t="s">
        <v>751</v>
      </c>
      <c r="B2415" s="1" t="s">
        <v>323</v>
      </c>
      <c r="C2415" s="5">
        <f>DATE(2024, 11, 14) + TIME(12, 19, 43)</f>
        <v>45610.513692129629</v>
      </c>
      <c r="D2415" s="1" t="s">
        <v>148</v>
      </c>
      <c r="E2415" s="1" t="s">
        <v>469</v>
      </c>
    </row>
    <row r="2416" spans="1:5" x14ac:dyDescent="0.2">
      <c r="A2416" s="1" t="s">
        <v>751</v>
      </c>
      <c r="B2416" s="1" t="s">
        <v>60</v>
      </c>
      <c r="C2416" s="5">
        <f>DATE(2024, 11, 14) + TIME(12, 19, 43)</f>
        <v>45610.513692129629</v>
      </c>
      <c r="D2416" s="1" t="s">
        <v>148</v>
      </c>
      <c r="E2416" s="1" t="s">
        <v>469</v>
      </c>
    </row>
    <row r="2417" spans="1:5" x14ac:dyDescent="0.2">
      <c r="A2417" s="1" t="s">
        <v>751</v>
      </c>
      <c r="B2417" s="1" t="s">
        <v>644</v>
      </c>
      <c r="C2417" s="5">
        <f>DATE(2024, 11, 14) + TIME(12, 19, 42)</f>
        <v>45610.513680555552</v>
      </c>
      <c r="D2417" s="1" t="s">
        <v>148</v>
      </c>
      <c r="E2417" s="1" t="s">
        <v>469</v>
      </c>
    </row>
    <row r="2418" spans="1:5" x14ac:dyDescent="0.2">
      <c r="A2418" s="1" t="s">
        <v>751</v>
      </c>
      <c r="B2418" s="1" t="s">
        <v>866</v>
      </c>
      <c r="C2418" s="5">
        <f>DATE(2024, 11, 14) + TIME(12, 19, 42)</f>
        <v>45610.513680555552</v>
      </c>
      <c r="D2418" s="1" t="s">
        <v>148</v>
      </c>
      <c r="E2418" s="1" t="s">
        <v>469</v>
      </c>
    </row>
    <row r="2419" spans="1:5" x14ac:dyDescent="0.2">
      <c r="A2419" s="1" t="s">
        <v>751</v>
      </c>
      <c r="B2419" s="1" t="s">
        <v>229</v>
      </c>
      <c r="C2419" s="5">
        <f>DATE(2024, 11, 14) + TIME(12, 8, 18)</f>
        <v>45610.50576388889</v>
      </c>
      <c r="D2419" s="1" t="s">
        <v>148</v>
      </c>
      <c r="E2419" s="1" t="s">
        <v>469</v>
      </c>
    </row>
    <row r="2420" spans="1:5" x14ac:dyDescent="0.2">
      <c r="A2420" s="1" t="s">
        <v>751</v>
      </c>
      <c r="B2420" s="1" t="s">
        <v>644</v>
      </c>
      <c r="C2420" s="5">
        <f>DATE(2024, 11, 13) + TIME(15, 23, 26)</f>
        <v>45609.641273148147</v>
      </c>
      <c r="D2420" s="1" t="s">
        <v>566</v>
      </c>
      <c r="E2420" s="1" t="s">
        <v>570</v>
      </c>
    </row>
    <row r="2421" spans="1:5" x14ac:dyDescent="0.2">
      <c r="A2421" s="1" t="s">
        <v>751</v>
      </c>
      <c r="B2421" s="1" t="s">
        <v>323</v>
      </c>
      <c r="C2421" s="5">
        <f>DATE(2024, 11, 13) + TIME(10, 7, 26)</f>
        <v>45609.4218287037</v>
      </c>
      <c r="D2421" s="1" t="s">
        <v>506</v>
      </c>
      <c r="E2421" s="1" t="s">
        <v>167</v>
      </c>
    </row>
    <row r="2422" spans="1:5" x14ac:dyDescent="0.2">
      <c r="A2422" s="1" t="s">
        <v>751</v>
      </c>
      <c r="B2422" s="1" t="s">
        <v>229</v>
      </c>
      <c r="C2422" s="5">
        <f>DATE(2024, 11, 13) + TIME(8, 49, 51)</f>
        <v>45609.367951388886</v>
      </c>
      <c r="D2422" s="1" t="s">
        <v>148</v>
      </c>
      <c r="E2422" s="1" t="s">
        <v>891</v>
      </c>
    </row>
    <row r="2423" spans="1:5" x14ac:dyDescent="0.2">
      <c r="A2423" s="1" t="s">
        <v>751</v>
      </c>
      <c r="B2423" s="1" t="s">
        <v>866</v>
      </c>
      <c r="C2423" s="5">
        <f>DATE(2024, 11, 13) + TIME(7, 38, 19)</f>
        <v>45609.31827546296</v>
      </c>
      <c r="D2423" s="1" t="s">
        <v>269</v>
      </c>
      <c r="E2423" s="1" t="s">
        <v>588</v>
      </c>
    </row>
    <row r="2424" spans="1:5" x14ac:dyDescent="0.2">
      <c r="A2424" s="1" t="s">
        <v>751</v>
      </c>
      <c r="B2424" s="1" t="s">
        <v>202</v>
      </c>
      <c r="C2424" s="5">
        <f>DATE(2024, 11, 13) + TIME(7, 5, 16)</f>
        <v>45609.295324074075</v>
      </c>
      <c r="D2424" s="1" t="s">
        <v>65</v>
      </c>
      <c r="E2424" s="1" t="s">
        <v>302</v>
      </c>
    </row>
    <row r="2425" spans="1:5" x14ac:dyDescent="0.2">
      <c r="A2425" s="1" t="s">
        <v>751</v>
      </c>
      <c r="B2425" s="1" t="s">
        <v>526</v>
      </c>
      <c r="C2425" s="5">
        <f>DATE(2024, 11, 12) + TIME(15, 19, 11)</f>
        <v>45608.638321759259</v>
      </c>
      <c r="D2425" s="1" t="s">
        <v>640</v>
      </c>
      <c r="E2425" s="1" t="s">
        <v>1121</v>
      </c>
    </row>
    <row r="2426" spans="1:5" x14ac:dyDescent="0.2">
      <c r="A2426" s="1" t="s">
        <v>751</v>
      </c>
      <c r="B2426" s="1" t="s">
        <v>139</v>
      </c>
      <c r="C2426" s="5">
        <f>DATE(2024, 11, 12) + TIME(14, 15, 31)</f>
        <v>45608.594108796293</v>
      </c>
      <c r="D2426" s="1" t="s">
        <v>506</v>
      </c>
      <c r="E2426" s="1" t="s">
        <v>1012</v>
      </c>
    </row>
    <row r="2427" spans="1:5" x14ac:dyDescent="0.2">
      <c r="A2427" s="1" t="s">
        <v>751</v>
      </c>
      <c r="B2427" s="1" t="s">
        <v>139</v>
      </c>
      <c r="C2427" s="5">
        <f>DATE(2024, 11, 12) + TIME(14, 14, 46)</f>
        <v>45608.593587962961</v>
      </c>
      <c r="D2427" s="1" t="s">
        <v>506</v>
      </c>
      <c r="E2427" s="1" t="s">
        <v>509</v>
      </c>
    </row>
    <row r="2428" spans="1:5" x14ac:dyDescent="0.2">
      <c r="A2428" s="1" t="s">
        <v>751</v>
      </c>
      <c r="B2428" s="1" t="s">
        <v>202</v>
      </c>
      <c r="C2428" s="5">
        <f>DATE(2024, 11, 12) + TIME(12, 27, 35)</f>
        <v>45608.519155092596</v>
      </c>
      <c r="D2428" s="1" t="s">
        <v>148</v>
      </c>
      <c r="E2428" s="1" t="s">
        <v>1122</v>
      </c>
    </row>
    <row r="2429" spans="1:5" x14ac:dyDescent="0.2">
      <c r="A2429" s="1" t="s">
        <v>751</v>
      </c>
      <c r="B2429" s="1" t="s">
        <v>139</v>
      </c>
      <c r="C2429" s="5">
        <f>DATE(2024, 11, 11) + TIME(9, 48, 19)</f>
        <v>45607.408553240741</v>
      </c>
      <c r="D2429" s="1" t="s">
        <v>640</v>
      </c>
      <c r="E2429" s="1" t="s">
        <v>348</v>
      </c>
    </row>
    <row r="2430" spans="1:5" x14ac:dyDescent="0.2">
      <c r="A2430" s="1" t="s">
        <v>751</v>
      </c>
      <c r="B2430" s="1" t="s">
        <v>723</v>
      </c>
      <c r="C2430" s="5">
        <f>DATE(2024, 11, 6) + TIME(13, 24, 23)</f>
        <v>45602.558599537035</v>
      </c>
      <c r="D2430" s="1" t="s">
        <v>356</v>
      </c>
      <c r="E2430" s="1" t="s">
        <v>1125</v>
      </c>
    </row>
    <row r="2431" spans="1:5" x14ac:dyDescent="0.2">
      <c r="A2431" s="1" t="s">
        <v>751</v>
      </c>
      <c r="B2431" s="1" t="s">
        <v>60</v>
      </c>
      <c r="C2431" s="5">
        <f>DATE(2024, 11, 6) + TIME(13, 24, 23)</f>
        <v>45602.558599537035</v>
      </c>
      <c r="D2431" s="1" t="s">
        <v>356</v>
      </c>
      <c r="E2431" s="1" t="s">
        <v>1125</v>
      </c>
    </row>
    <row r="2432" spans="1:5" x14ac:dyDescent="0.2">
      <c r="A2432" s="1" t="s">
        <v>751</v>
      </c>
      <c r="B2432" s="1" t="s">
        <v>415</v>
      </c>
      <c r="C2432" s="5">
        <f>DATE(2024, 11, 6) + TIME(12, 35, 57)</f>
        <v>45602.524965277778</v>
      </c>
      <c r="D2432" s="1" t="s">
        <v>216</v>
      </c>
      <c r="E2432" s="1" t="s">
        <v>184</v>
      </c>
    </row>
    <row r="2433" spans="1:5" x14ac:dyDescent="0.2">
      <c r="A2433" s="1" t="s">
        <v>751</v>
      </c>
      <c r="B2433" s="1" t="s">
        <v>866</v>
      </c>
      <c r="C2433" s="5">
        <f>DATE(2024, 11, 6) + TIME(11, 25, 24)</f>
        <v>45602.475972222222</v>
      </c>
      <c r="D2433" s="1" t="s">
        <v>921</v>
      </c>
      <c r="E2433" s="1" t="s">
        <v>232</v>
      </c>
    </row>
    <row r="2434" spans="1:5" x14ac:dyDescent="0.2">
      <c r="A2434" s="1" t="s">
        <v>751</v>
      </c>
      <c r="B2434" s="1" t="s">
        <v>1127</v>
      </c>
      <c r="C2434" s="5">
        <f>DATE(2024, 11, 6) + TIME(11, 25, 21)</f>
        <v>45602.475937499999</v>
      </c>
      <c r="D2434" s="1" t="s">
        <v>921</v>
      </c>
      <c r="E2434" s="1" t="s">
        <v>232</v>
      </c>
    </row>
    <row r="2435" spans="1:5" x14ac:dyDescent="0.2">
      <c r="A2435" s="1" t="s">
        <v>751</v>
      </c>
      <c r="B2435" s="1" t="s">
        <v>60</v>
      </c>
      <c r="C2435" s="5">
        <f>DATE(2024, 11, 5) + TIME(12, 22, 15)</f>
        <v>45601.515451388892</v>
      </c>
      <c r="D2435" s="1" t="s">
        <v>506</v>
      </c>
      <c r="E2435" s="1" t="s">
        <v>1012</v>
      </c>
    </row>
    <row r="2436" spans="1:5" x14ac:dyDescent="0.2">
      <c r="A2436" s="1" t="s">
        <v>751</v>
      </c>
      <c r="B2436" s="1" t="s">
        <v>526</v>
      </c>
      <c r="C2436" s="5">
        <f>DATE(2024, 11, 5) + TIME(11, 33, 39)</f>
        <v>45601.48170138889</v>
      </c>
      <c r="D2436" s="1" t="s">
        <v>640</v>
      </c>
      <c r="E2436" s="1" t="s">
        <v>780</v>
      </c>
    </row>
    <row r="2437" spans="1:5" x14ac:dyDescent="0.2">
      <c r="A2437" s="1" t="s">
        <v>751</v>
      </c>
      <c r="B2437" s="1" t="s">
        <v>60</v>
      </c>
      <c r="C2437" s="5">
        <f>DATE(2024, 11, 5) + TIME(8, 26, 25)</f>
        <v>45601.351678240739</v>
      </c>
      <c r="D2437" s="1" t="s">
        <v>506</v>
      </c>
      <c r="E2437" s="1" t="s">
        <v>509</v>
      </c>
    </row>
    <row r="2438" spans="1:5" x14ac:dyDescent="0.2">
      <c r="A2438" s="1" t="s">
        <v>751</v>
      </c>
      <c r="B2438" s="1" t="s">
        <v>60</v>
      </c>
      <c r="C2438" s="5">
        <f>DATE(2024, 11, 5) + TIME(8, 26, 24)</f>
        <v>45601.351666666669</v>
      </c>
      <c r="D2438" s="1" t="s">
        <v>506</v>
      </c>
      <c r="E2438" s="1" t="s">
        <v>509</v>
      </c>
    </row>
    <row r="2439" spans="1:5" x14ac:dyDescent="0.2">
      <c r="A2439" s="1" t="s">
        <v>751</v>
      </c>
      <c r="B2439" s="1" t="s">
        <v>526</v>
      </c>
      <c r="C2439" s="5">
        <f>DATE(2024, 11, 5) + TIME(6, 19, 28)</f>
        <v>45601.263518518521</v>
      </c>
      <c r="D2439" s="1" t="s">
        <v>65</v>
      </c>
      <c r="E2439" s="1" t="s">
        <v>495</v>
      </c>
    </row>
    <row r="2440" spans="1:5" x14ac:dyDescent="0.2">
      <c r="A2440" s="1" t="s">
        <v>751</v>
      </c>
      <c r="B2440" s="1" t="s">
        <v>202</v>
      </c>
      <c r="C2440" s="5">
        <f>DATE(2024, 11, 4) + TIME(11, 41, 35)</f>
        <v>45600.487210648149</v>
      </c>
      <c r="D2440" s="1" t="s">
        <v>640</v>
      </c>
      <c r="E2440" s="1" t="s">
        <v>1131</v>
      </c>
    </row>
    <row r="2441" spans="1:5" x14ac:dyDescent="0.2">
      <c r="A2441" s="1" t="s">
        <v>751</v>
      </c>
      <c r="B2441" s="1" t="s">
        <v>202</v>
      </c>
      <c r="C2441" s="5">
        <f>DATE(2024, 11, 4) + TIME(11, 41, 35)</f>
        <v>45600.487210648149</v>
      </c>
      <c r="D2441" s="1" t="s">
        <v>640</v>
      </c>
      <c r="E2441" s="1" t="s">
        <v>1131</v>
      </c>
    </row>
    <row r="2442" spans="1:5" x14ac:dyDescent="0.2">
      <c r="A2442" s="1" t="s">
        <v>751</v>
      </c>
      <c r="B2442" s="1" t="s">
        <v>202</v>
      </c>
      <c r="C2442" s="5">
        <f>DATE(2024, 11, 4) + TIME(11, 40, 49)</f>
        <v>45600.486678240741</v>
      </c>
      <c r="D2442" s="1" t="s">
        <v>640</v>
      </c>
      <c r="E2442" s="1" t="s">
        <v>1132</v>
      </c>
    </row>
    <row r="2443" spans="1:5" x14ac:dyDescent="0.2">
      <c r="A2443" s="1" t="s">
        <v>751</v>
      </c>
      <c r="B2443" s="1" t="s">
        <v>644</v>
      </c>
      <c r="C2443" s="5">
        <f>DATE(2024, 11, 4) + TIME(9, 33, 47)</f>
        <v>45600.398460648146</v>
      </c>
      <c r="D2443" s="1" t="s">
        <v>320</v>
      </c>
      <c r="E2443" s="1" t="s">
        <v>332</v>
      </c>
    </row>
    <row r="2444" spans="1:5" x14ac:dyDescent="0.2">
      <c r="A2444" s="1" t="s">
        <v>751</v>
      </c>
      <c r="B2444" s="1" t="s">
        <v>202</v>
      </c>
      <c r="C2444" s="5">
        <f>DATE(2024, 11, 4) + TIME(4, 15, 20)</f>
        <v>45600.177314814813</v>
      </c>
      <c r="D2444" s="1" t="s">
        <v>3</v>
      </c>
      <c r="E2444" s="1" t="s">
        <v>1133</v>
      </c>
    </row>
    <row r="2445" spans="1:5" x14ac:dyDescent="0.2">
      <c r="A2445" s="1" t="s">
        <v>751</v>
      </c>
      <c r="B2445" s="1" t="s">
        <v>866</v>
      </c>
      <c r="C2445" s="5">
        <f>DATE(2024, 10, 31) + TIME(10, 37, 11)</f>
        <v>45596.442488425928</v>
      </c>
      <c r="D2445" s="1" t="s">
        <v>506</v>
      </c>
      <c r="E2445" s="1" t="s">
        <v>488</v>
      </c>
    </row>
    <row r="2446" spans="1:5" x14ac:dyDescent="0.2">
      <c r="A2446" s="1" t="s">
        <v>751</v>
      </c>
      <c r="B2446" s="1" t="s">
        <v>139</v>
      </c>
      <c r="C2446" s="5">
        <f>DATE(2024, 10, 30) + TIME(10, 20, 46)</f>
        <v>45595.431087962963</v>
      </c>
      <c r="D2446" s="1" t="s">
        <v>450</v>
      </c>
      <c r="E2446" s="1" t="s">
        <v>1141</v>
      </c>
    </row>
    <row r="2447" spans="1:5" x14ac:dyDescent="0.2">
      <c r="A2447" s="1" t="s">
        <v>751</v>
      </c>
      <c r="B2447" s="1" t="s">
        <v>644</v>
      </c>
      <c r="C2447" s="5">
        <f>DATE(2024, 10, 30) + TIME(10, 20, 45)</f>
        <v>45595.431076388886</v>
      </c>
      <c r="D2447" s="1" t="s">
        <v>450</v>
      </c>
      <c r="E2447" s="1" t="s">
        <v>1141</v>
      </c>
    </row>
    <row r="2448" spans="1:5" x14ac:dyDescent="0.2">
      <c r="A2448" s="1" t="s">
        <v>751</v>
      </c>
      <c r="B2448" s="1" t="s">
        <v>526</v>
      </c>
      <c r="C2448" s="5">
        <f>DATE(2024, 10, 29) + TIME(11, 2, 16)</f>
        <v>45594.459907407407</v>
      </c>
      <c r="D2448" s="1" t="s">
        <v>640</v>
      </c>
      <c r="E2448" s="1" t="s">
        <v>1121</v>
      </c>
    </row>
    <row r="2449" spans="1:5" x14ac:dyDescent="0.2">
      <c r="A2449" s="1" t="s">
        <v>751</v>
      </c>
      <c r="B2449" s="1" t="s">
        <v>60</v>
      </c>
      <c r="C2449" s="5">
        <f>DATE(2024, 10, 29) + TIME(9, 17, 44)</f>
        <v>45594.387314814812</v>
      </c>
      <c r="D2449" s="1" t="s">
        <v>506</v>
      </c>
      <c r="E2449" s="1" t="s">
        <v>525</v>
      </c>
    </row>
    <row r="2450" spans="1:5" x14ac:dyDescent="0.2">
      <c r="A2450" s="1" t="s">
        <v>751</v>
      </c>
      <c r="B2450" s="1" t="s">
        <v>714</v>
      </c>
      <c r="C2450" s="5">
        <f>DATE(2024, 10, 28) + TIME(9, 0, 57)</f>
        <v>45593.375659722224</v>
      </c>
      <c r="D2450" s="1" t="s">
        <v>921</v>
      </c>
      <c r="E2450" s="1" t="s">
        <v>232</v>
      </c>
    </row>
    <row r="2451" spans="1:5" x14ac:dyDescent="0.2">
      <c r="A2451" s="1" t="s">
        <v>751</v>
      </c>
      <c r="B2451" s="1" t="s">
        <v>644</v>
      </c>
      <c r="C2451" s="5">
        <f>DATE(2024, 10, 24) + TIME(11, 4, 53)</f>
        <v>45589.461724537039</v>
      </c>
      <c r="D2451" s="1" t="s">
        <v>638</v>
      </c>
      <c r="E2451" s="1" t="s">
        <v>172</v>
      </c>
    </row>
    <row r="2452" spans="1:5" x14ac:dyDescent="0.2">
      <c r="A2452" s="1" t="s">
        <v>751</v>
      </c>
      <c r="B2452" s="1" t="s">
        <v>229</v>
      </c>
      <c r="C2452" s="5">
        <f>DATE(2024, 10, 23) + TIME(12, 1, 14)</f>
        <v>45588.500856481478</v>
      </c>
      <c r="D2452" s="1" t="s">
        <v>216</v>
      </c>
      <c r="E2452" s="1" t="s">
        <v>184</v>
      </c>
    </row>
    <row r="2453" spans="1:5" x14ac:dyDescent="0.2">
      <c r="A2453" s="1" t="s">
        <v>751</v>
      </c>
      <c r="B2453" s="1" t="s">
        <v>229</v>
      </c>
      <c r="C2453" s="5">
        <f>DATE(2024, 10, 21) + TIME(13, 51, 19)</f>
        <v>45586.577303240738</v>
      </c>
      <c r="D2453" s="1" t="s">
        <v>506</v>
      </c>
      <c r="E2453" s="1" t="s">
        <v>956</v>
      </c>
    </row>
    <row r="2454" spans="1:5" x14ac:dyDescent="0.2">
      <c r="A2454" s="1" t="s">
        <v>751</v>
      </c>
      <c r="B2454" s="1" t="s">
        <v>229</v>
      </c>
      <c r="C2454" s="5">
        <f>DATE(2024, 10, 21) + TIME(13, 50, 32)</f>
        <v>45586.57675925926</v>
      </c>
      <c r="D2454" s="1" t="s">
        <v>506</v>
      </c>
      <c r="E2454" s="1" t="s">
        <v>1150</v>
      </c>
    </row>
    <row r="2455" spans="1:5" x14ac:dyDescent="0.2">
      <c r="A2455" s="1" t="s">
        <v>751</v>
      </c>
      <c r="B2455" s="1" t="s">
        <v>60</v>
      </c>
      <c r="C2455" s="5">
        <f>DATE(2024, 10, 20) + TIME(12, 44, 21)</f>
        <v>45585.530798611115</v>
      </c>
      <c r="D2455" s="1" t="s">
        <v>863</v>
      </c>
      <c r="E2455" s="1" t="s">
        <v>711</v>
      </c>
    </row>
    <row r="2456" spans="1:5" x14ac:dyDescent="0.2">
      <c r="A2456" s="1" t="s">
        <v>751</v>
      </c>
      <c r="B2456" s="1" t="s">
        <v>60</v>
      </c>
      <c r="C2456" s="5">
        <f>DATE(2024, 10, 17) + TIME(11, 26, 47)</f>
        <v>45582.47693287037</v>
      </c>
      <c r="D2456" s="1" t="s">
        <v>863</v>
      </c>
      <c r="E2456" s="1" t="s">
        <v>80</v>
      </c>
    </row>
    <row r="2457" spans="1:5" x14ac:dyDescent="0.2">
      <c r="A2457" s="1" t="s">
        <v>751</v>
      </c>
      <c r="B2457" s="1" t="s">
        <v>60</v>
      </c>
      <c r="C2457" s="5">
        <f>DATE(2024, 10, 17) + TIME(11, 26, 47)</f>
        <v>45582.47693287037</v>
      </c>
      <c r="D2457" s="1" t="s">
        <v>863</v>
      </c>
      <c r="E2457" s="1" t="s">
        <v>80</v>
      </c>
    </row>
    <row r="2458" spans="1:5" x14ac:dyDescent="0.2">
      <c r="A2458" s="1" t="s">
        <v>751</v>
      </c>
      <c r="B2458" s="1" t="s">
        <v>642</v>
      </c>
      <c r="C2458" s="5">
        <f>DATE(2024, 10, 16) + TIME(13, 58, 6)</f>
        <v>45581.582013888888</v>
      </c>
      <c r="D2458" s="1" t="s">
        <v>563</v>
      </c>
      <c r="E2458" s="1" t="s">
        <v>1153</v>
      </c>
    </row>
    <row r="2459" spans="1:5" x14ac:dyDescent="0.2">
      <c r="A2459" s="1" t="s">
        <v>751</v>
      </c>
      <c r="B2459" s="1" t="s">
        <v>60</v>
      </c>
      <c r="C2459" s="5">
        <f>DATE(2024, 10, 10) + TIME(14, 14, 35)</f>
        <v>45575.593460648146</v>
      </c>
      <c r="D2459" s="1" t="s">
        <v>1054</v>
      </c>
      <c r="E2459" s="1" t="s">
        <v>935</v>
      </c>
    </row>
    <row r="2460" spans="1:5" x14ac:dyDescent="0.2">
      <c r="A2460" s="1" t="s">
        <v>751</v>
      </c>
      <c r="B2460" s="1" t="s">
        <v>642</v>
      </c>
      <c r="C2460" s="5">
        <f>DATE(2024, 10, 9) + TIME(15, 34, 10)</f>
        <v>45574.648726851854</v>
      </c>
      <c r="D2460" s="1" t="s">
        <v>563</v>
      </c>
      <c r="E2460" s="1" t="s">
        <v>1153</v>
      </c>
    </row>
    <row r="2461" spans="1:5" x14ac:dyDescent="0.2">
      <c r="A2461" s="1" t="s">
        <v>751</v>
      </c>
      <c r="B2461" s="1" t="s">
        <v>526</v>
      </c>
      <c r="C2461" s="5">
        <f>DATE(2024, 10, 8) + TIME(11, 24, 16)</f>
        <v>45573.475185185183</v>
      </c>
      <c r="D2461" s="1" t="s">
        <v>640</v>
      </c>
      <c r="E2461" s="1" t="s">
        <v>1121</v>
      </c>
    </row>
    <row r="2462" spans="1:5" x14ac:dyDescent="0.2">
      <c r="A2462" s="1" t="s">
        <v>751</v>
      </c>
      <c r="B2462" s="1" t="s">
        <v>60</v>
      </c>
      <c r="C2462" s="5">
        <f>DATE(2024, 10, 8) + TIME(9, 43, 43)</f>
        <v>45573.405358796299</v>
      </c>
      <c r="D2462" s="1" t="s">
        <v>506</v>
      </c>
      <c r="E2462" s="1" t="s">
        <v>446</v>
      </c>
    </row>
    <row r="2463" spans="1:5" x14ac:dyDescent="0.2">
      <c r="A2463" s="1" t="s">
        <v>751</v>
      </c>
      <c r="B2463" s="1" t="s">
        <v>229</v>
      </c>
      <c r="C2463" s="5">
        <f>DATE(2024, 10, 7) + TIME(15, 36, 0)</f>
        <v>45572.65</v>
      </c>
      <c r="D2463" s="1" t="s">
        <v>506</v>
      </c>
      <c r="E2463" s="1" t="s">
        <v>811</v>
      </c>
    </row>
    <row r="2464" spans="1:5" x14ac:dyDescent="0.2">
      <c r="A2464" s="1" t="s">
        <v>751</v>
      </c>
      <c r="B2464" s="1" t="s">
        <v>564</v>
      </c>
      <c r="C2464" s="5">
        <f>DATE(2024, 10, 3) + TIME(12, 28, 19)</f>
        <v>45568.51966435185</v>
      </c>
      <c r="D2464" s="1" t="s">
        <v>320</v>
      </c>
      <c r="E2464" s="1" t="s">
        <v>689</v>
      </c>
    </row>
    <row r="2465" spans="1:5" x14ac:dyDescent="0.2">
      <c r="A2465" s="1" t="s">
        <v>751</v>
      </c>
      <c r="B2465" s="1" t="s">
        <v>1166</v>
      </c>
      <c r="C2465" s="5">
        <f>DATE(2024, 10, 3) + TIME(12, 28, 19)</f>
        <v>45568.51966435185</v>
      </c>
      <c r="D2465" s="1" t="s">
        <v>320</v>
      </c>
      <c r="E2465" s="1" t="s">
        <v>689</v>
      </c>
    </row>
    <row r="2466" spans="1:5" x14ac:dyDescent="0.2">
      <c r="A2466" s="1" t="s">
        <v>751</v>
      </c>
      <c r="B2466" s="1" t="s">
        <v>60</v>
      </c>
      <c r="C2466" s="5">
        <f>DATE(2024, 10, 2) + TIME(14, 36, 38)</f>
        <v>45567.608773148146</v>
      </c>
      <c r="D2466" s="1" t="s">
        <v>1054</v>
      </c>
      <c r="E2466" s="1" t="s">
        <v>935</v>
      </c>
    </row>
    <row r="2467" spans="1:5" x14ac:dyDescent="0.2">
      <c r="A2467" s="1" t="s">
        <v>751</v>
      </c>
      <c r="B2467" s="1" t="s">
        <v>1168</v>
      </c>
      <c r="C2467" s="5">
        <f>DATE(2024, 10, 2) + TIME(14, 10, 25)</f>
        <v>45567.590567129628</v>
      </c>
      <c r="D2467" s="1" t="s">
        <v>563</v>
      </c>
      <c r="E2467" s="1" t="s">
        <v>1153</v>
      </c>
    </row>
    <row r="2468" spans="1:5" x14ac:dyDescent="0.2">
      <c r="A2468" s="1" t="s">
        <v>751</v>
      </c>
      <c r="B2468" s="1" t="s">
        <v>60</v>
      </c>
      <c r="C2468" s="5">
        <f>DATE(2024, 10, 2) + TIME(11, 28, 46)</f>
        <v>45567.478310185186</v>
      </c>
      <c r="D2468" s="1" t="s">
        <v>64</v>
      </c>
      <c r="E2468" s="1" t="s">
        <v>873</v>
      </c>
    </row>
    <row r="2469" spans="1:5" x14ac:dyDescent="0.2">
      <c r="A2469" s="1" t="s">
        <v>751</v>
      </c>
      <c r="B2469" s="1" t="s">
        <v>526</v>
      </c>
      <c r="C2469" s="5">
        <f>DATE(2024, 10, 2) + TIME(8, 35, 27)</f>
        <v>45567.357951388891</v>
      </c>
      <c r="D2469" s="1" t="s">
        <v>269</v>
      </c>
      <c r="E2469" s="1" t="s">
        <v>783</v>
      </c>
    </row>
    <row r="2470" spans="1:5" x14ac:dyDescent="0.2">
      <c r="A2470" s="1" t="s">
        <v>751</v>
      </c>
      <c r="B2470" s="1" t="s">
        <v>229</v>
      </c>
      <c r="C2470" s="5">
        <f>DATE(2024, 10, 1) + TIME(13, 30, 11)</f>
        <v>45566.562627314815</v>
      </c>
      <c r="D2470" s="1" t="s">
        <v>506</v>
      </c>
      <c r="E2470" s="1" t="s">
        <v>1012</v>
      </c>
    </row>
    <row r="2471" spans="1:5" x14ac:dyDescent="0.2">
      <c r="A2471" s="1" t="s">
        <v>751</v>
      </c>
      <c r="B2471" s="1" t="s">
        <v>229</v>
      </c>
      <c r="C2471" s="5">
        <f>DATE(2024, 10, 1) + TIME(13, 29, 20)</f>
        <v>45566.562037037038</v>
      </c>
      <c r="D2471" s="1" t="s">
        <v>506</v>
      </c>
      <c r="E2471" s="1" t="s">
        <v>509</v>
      </c>
    </row>
    <row r="2472" spans="1:5" x14ac:dyDescent="0.2">
      <c r="A2472" s="1" t="s">
        <v>751</v>
      </c>
      <c r="B2472" s="1" t="s">
        <v>526</v>
      </c>
      <c r="C2472" s="5">
        <f>DATE(2024, 9, 26) + TIME(13, 14, 25)</f>
        <v>45561.551678240743</v>
      </c>
      <c r="D2472" s="1" t="s">
        <v>269</v>
      </c>
      <c r="E2472" s="1" t="s">
        <v>783</v>
      </c>
    </row>
    <row r="2473" spans="1:5" x14ac:dyDescent="0.2">
      <c r="A2473" s="1" t="s">
        <v>751</v>
      </c>
      <c r="B2473" s="1" t="s">
        <v>60</v>
      </c>
      <c r="C2473" s="5">
        <f>DATE(2024, 9, 25) + TIME(11, 50, 56)</f>
        <v>45560.493703703702</v>
      </c>
      <c r="D2473" s="1" t="s">
        <v>269</v>
      </c>
      <c r="E2473" s="1" t="s">
        <v>588</v>
      </c>
    </row>
    <row r="2474" spans="1:5" x14ac:dyDescent="0.2">
      <c r="A2474" s="1" t="s">
        <v>751</v>
      </c>
      <c r="B2474" s="1" t="s">
        <v>229</v>
      </c>
      <c r="C2474" s="5">
        <f>DATE(2024, 9, 24) + TIME(13, 26, 39)</f>
        <v>45559.560173611113</v>
      </c>
      <c r="D2474" s="1" t="s">
        <v>506</v>
      </c>
      <c r="E2474" s="1" t="s">
        <v>509</v>
      </c>
    </row>
    <row r="2475" spans="1:5" x14ac:dyDescent="0.2">
      <c r="A2475" s="1" t="s">
        <v>751</v>
      </c>
      <c r="B2475" s="1" t="s">
        <v>591</v>
      </c>
      <c r="C2475" s="5">
        <f>DATE(2024, 9, 24) + TIME(12, 33, 5)</f>
        <v>45559.522974537038</v>
      </c>
      <c r="D2475" s="1" t="s">
        <v>731</v>
      </c>
      <c r="E2475" s="1" t="s">
        <v>916</v>
      </c>
    </row>
    <row r="2476" spans="1:5" x14ac:dyDescent="0.2">
      <c r="A2476" s="1" t="s">
        <v>751</v>
      </c>
      <c r="B2476" s="1" t="s">
        <v>229</v>
      </c>
      <c r="C2476" s="5">
        <f>DATE(2024, 9, 24) + TIME(12, 33, 5)</f>
        <v>45559.522974537038</v>
      </c>
      <c r="D2476" s="1" t="s">
        <v>731</v>
      </c>
      <c r="E2476" s="1" t="s">
        <v>916</v>
      </c>
    </row>
    <row r="2477" spans="1:5" x14ac:dyDescent="0.2">
      <c r="A2477" s="1" t="s">
        <v>751</v>
      </c>
      <c r="B2477" s="1" t="s">
        <v>60</v>
      </c>
      <c r="C2477" s="5">
        <f>DATE(2024, 9, 24) + TIME(9, 51, 33)</f>
        <v>45559.410798611112</v>
      </c>
      <c r="D2477" s="1" t="s">
        <v>506</v>
      </c>
      <c r="E2477" s="1" t="s">
        <v>1012</v>
      </c>
    </row>
    <row r="2478" spans="1:5" x14ac:dyDescent="0.2">
      <c r="A2478" s="1" t="s">
        <v>751</v>
      </c>
      <c r="B2478" s="1" t="s">
        <v>60</v>
      </c>
      <c r="C2478" s="5">
        <f>DATE(2024, 9, 24) + TIME(8, 4, 14)</f>
        <v>45559.336273148147</v>
      </c>
      <c r="D2478" s="1" t="s">
        <v>320</v>
      </c>
      <c r="E2478" s="1" t="s">
        <v>115</v>
      </c>
    </row>
    <row r="2479" spans="1:5" x14ac:dyDescent="0.2">
      <c r="A2479" s="1" t="s">
        <v>751</v>
      </c>
      <c r="B2479" s="1" t="s">
        <v>229</v>
      </c>
      <c r="C2479" s="5">
        <f>DATE(2024, 9, 23) + TIME(15, 26, 16)</f>
        <v>45558.643240740741</v>
      </c>
      <c r="D2479" s="1" t="s">
        <v>506</v>
      </c>
      <c r="E2479" s="1" t="s">
        <v>811</v>
      </c>
    </row>
    <row r="2480" spans="1:5" x14ac:dyDescent="0.2">
      <c r="A2480" s="1" t="s">
        <v>751</v>
      </c>
      <c r="B2480" s="1" t="s">
        <v>229</v>
      </c>
      <c r="C2480" s="5">
        <f>DATE(2024, 9, 23) + TIME(13, 54, 55)</f>
        <v>45558.57980324074</v>
      </c>
      <c r="D2480" s="1" t="s">
        <v>506</v>
      </c>
      <c r="E2480" s="1" t="s">
        <v>1150</v>
      </c>
    </row>
    <row r="2481" spans="1:5" x14ac:dyDescent="0.2">
      <c r="A2481" s="1" t="s">
        <v>751</v>
      </c>
      <c r="B2481" s="1" t="s">
        <v>141</v>
      </c>
      <c r="C2481" s="5">
        <f>DATE(2024, 9, 23) + TIME(13, 26, 34)</f>
        <v>45558.560115740744</v>
      </c>
      <c r="D2481" s="1" t="s">
        <v>566</v>
      </c>
      <c r="E2481" s="1" t="s">
        <v>1178</v>
      </c>
    </row>
    <row r="2482" spans="1:5" x14ac:dyDescent="0.2">
      <c r="A2482" s="1" t="s">
        <v>751</v>
      </c>
      <c r="B2482" s="1" t="s">
        <v>1127</v>
      </c>
      <c r="C2482" s="5">
        <f>DATE(2024, 9, 19) + TIME(16, 19, 50)</f>
        <v>45554.680439814816</v>
      </c>
      <c r="D2482" s="1" t="s">
        <v>640</v>
      </c>
      <c r="E2482" s="1" t="s">
        <v>834</v>
      </c>
    </row>
    <row r="2483" spans="1:5" x14ac:dyDescent="0.2">
      <c r="A2483" s="1" t="s">
        <v>751</v>
      </c>
      <c r="B2483" s="1" t="s">
        <v>1182</v>
      </c>
      <c r="C2483" s="5">
        <f>DATE(2024, 9, 19) + TIME(12, 20, 39)</f>
        <v>45554.514340277776</v>
      </c>
      <c r="D2483" s="1" t="s">
        <v>921</v>
      </c>
      <c r="E2483" s="1" t="s">
        <v>232</v>
      </c>
    </row>
    <row r="2484" spans="1:5" x14ac:dyDescent="0.2">
      <c r="A2484" s="1" t="s">
        <v>751</v>
      </c>
      <c r="B2484" s="1" t="s">
        <v>986</v>
      </c>
      <c r="C2484" s="5">
        <f>DATE(2024, 9, 19) + TIME(12, 9, 31)</f>
        <v>45554.506608796299</v>
      </c>
      <c r="D2484" s="1" t="s">
        <v>459</v>
      </c>
      <c r="E2484" s="1" t="s">
        <v>528</v>
      </c>
    </row>
    <row r="2485" spans="1:5" x14ac:dyDescent="0.2">
      <c r="A2485" s="1" t="s">
        <v>751</v>
      </c>
      <c r="B2485" s="1" t="s">
        <v>1182</v>
      </c>
      <c r="C2485" s="5">
        <f>DATE(2024, 9, 19) + TIME(10, 29, 24)</f>
        <v>45554.437083333331</v>
      </c>
      <c r="D2485" s="1" t="s">
        <v>148</v>
      </c>
      <c r="E2485" s="1" t="s">
        <v>221</v>
      </c>
    </row>
    <row r="2486" spans="1:5" x14ac:dyDescent="0.2">
      <c r="A2486" s="1" t="s">
        <v>751</v>
      </c>
      <c r="B2486" s="1" t="s">
        <v>664</v>
      </c>
      <c r="C2486" s="5">
        <f>DATE(2024, 9, 19) + TIME(7, 51, 42)</f>
        <v>45554.327569444446</v>
      </c>
      <c r="D2486" s="1" t="s">
        <v>3</v>
      </c>
      <c r="E2486" s="1" t="s">
        <v>481</v>
      </c>
    </row>
    <row r="2487" spans="1:5" x14ac:dyDescent="0.2">
      <c r="A2487" s="1" t="s">
        <v>751</v>
      </c>
      <c r="B2487" s="1" t="s">
        <v>229</v>
      </c>
      <c r="C2487" s="5">
        <f>DATE(2024, 9, 18) + TIME(14, 15, 4)</f>
        <v>45553.5937962963</v>
      </c>
      <c r="D2487" s="1" t="s">
        <v>750</v>
      </c>
      <c r="E2487" s="1" t="s">
        <v>167</v>
      </c>
    </row>
    <row r="2488" spans="1:5" x14ac:dyDescent="0.2">
      <c r="A2488" s="1" t="s">
        <v>751</v>
      </c>
      <c r="B2488" s="1" t="s">
        <v>1182</v>
      </c>
      <c r="C2488" s="5">
        <f>DATE(2024, 9, 18) + TIME(12, 3, 24)</f>
        <v>45553.50236111111</v>
      </c>
      <c r="D2488" s="1" t="s">
        <v>64</v>
      </c>
      <c r="E2488" s="1" t="s">
        <v>326</v>
      </c>
    </row>
    <row r="2489" spans="1:5" x14ac:dyDescent="0.2">
      <c r="A2489" s="1" t="s">
        <v>751</v>
      </c>
      <c r="B2489" s="1" t="s">
        <v>1182</v>
      </c>
      <c r="C2489" s="5">
        <f>DATE(2024, 9, 18) + TIME(10, 13, 36)</f>
        <v>45553.426111111112</v>
      </c>
      <c r="D2489" s="1" t="s">
        <v>576</v>
      </c>
      <c r="E2489" s="1" t="s">
        <v>332</v>
      </c>
    </row>
    <row r="2490" spans="1:5" x14ac:dyDescent="0.2">
      <c r="A2490" s="1" t="s">
        <v>751</v>
      </c>
      <c r="B2490" s="1" t="s">
        <v>1182</v>
      </c>
      <c r="C2490" s="5">
        <f>DATE(2024, 9, 18) + TIME(8, 59, 6)</f>
        <v>45553.374374999999</v>
      </c>
      <c r="D2490" s="1" t="s">
        <v>640</v>
      </c>
      <c r="E2490" s="1" t="s">
        <v>10</v>
      </c>
    </row>
    <row r="2491" spans="1:5" x14ac:dyDescent="0.2">
      <c r="A2491" s="1" t="s">
        <v>751</v>
      </c>
      <c r="B2491" s="1" t="s">
        <v>664</v>
      </c>
      <c r="C2491" s="5">
        <f>DATE(2024, 9, 17) + TIME(11, 10, 5)</f>
        <v>45552.46533564815</v>
      </c>
      <c r="D2491" s="1" t="s">
        <v>269</v>
      </c>
      <c r="E2491" s="1" t="s">
        <v>1184</v>
      </c>
    </row>
    <row r="2492" spans="1:5" x14ac:dyDescent="0.2">
      <c r="A2492" s="1" t="s">
        <v>751</v>
      </c>
      <c r="B2492" s="1" t="s">
        <v>163</v>
      </c>
      <c r="C2492" s="5">
        <f>DATE(2024, 9, 11) + TIME(9, 6, 4)</f>
        <v>45546.379212962966</v>
      </c>
      <c r="D2492" s="1" t="s">
        <v>921</v>
      </c>
      <c r="E2492" s="1" t="s">
        <v>232</v>
      </c>
    </row>
    <row r="2493" spans="1:5" x14ac:dyDescent="0.2">
      <c r="A2493" s="1" t="s">
        <v>751</v>
      </c>
      <c r="B2493" s="1" t="s">
        <v>963</v>
      </c>
      <c r="C2493" s="5">
        <f>DATE(2024, 9, 10) + TIME(12, 42, 6)</f>
        <v>45545.529236111113</v>
      </c>
      <c r="D2493" s="1" t="s">
        <v>396</v>
      </c>
      <c r="E2493" s="1" t="s">
        <v>970</v>
      </c>
    </row>
    <row r="2494" spans="1:5" x14ac:dyDescent="0.2">
      <c r="A2494" s="1" t="s">
        <v>751</v>
      </c>
      <c r="B2494" s="1" t="s">
        <v>866</v>
      </c>
      <c r="C2494" s="5">
        <f>DATE(2024, 9, 9) + TIME(9, 2, 43)</f>
        <v>45544.376886574071</v>
      </c>
      <c r="D2494" s="1" t="s">
        <v>921</v>
      </c>
      <c r="E2494" s="1" t="s">
        <v>232</v>
      </c>
    </row>
    <row r="2495" spans="1:5" x14ac:dyDescent="0.2">
      <c r="A2495" s="1" t="s">
        <v>751</v>
      </c>
      <c r="B2495" s="1" t="s">
        <v>664</v>
      </c>
      <c r="C2495" s="5">
        <f>DATE(2024, 9, 9) + TIME(9, 1, 49)</f>
        <v>45544.376261574071</v>
      </c>
      <c r="D2495" s="1" t="s">
        <v>921</v>
      </c>
      <c r="E2495" s="1" t="s">
        <v>284</v>
      </c>
    </row>
    <row r="2496" spans="1:5" x14ac:dyDescent="0.2">
      <c r="A2496" s="1" t="s">
        <v>751</v>
      </c>
      <c r="B2496" s="1" t="s">
        <v>163</v>
      </c>
      <c r="C2496" s="5">
        <f>DATE(2024, 9, 5) + TIME(10, 44, 5)</f>
        <v>45540.447280092594</v>
      </c>
      <c r="D2496" s="1" t="s">
        <v>863</v>
      </c>
      <c r="E2496" s="1" t="s">
        <v>1195</v>
      </c>
    </row>
    <row r="2497" spans="1:5" x14ac:dyDescent="0.2">
      <c r="A2497" s="1" t="s">
        <v>751</v>
      </c>
      <c r="B2497" s="1" t="s">
        <v>664</v>
      </c>
      <c r="C2497" s="5">
        <f>DATE(2024, 9, 4) + TIME(10, 45, 53)</f>
        <v>45539.448530092595</v>
      </c>
      <c r="D2497" s="1" t="s">
        <v>921</v>
      </c>
      <c r="E2497" s="1" t="s">
        <v>284</v>
      </c>
    </row>
    <row r="2498" spans="1:5" x14ac:dyDescent="0.2">
      <c r="A2498" s="1" t="s">
        <v>751</v>
      </c>
      <c r="B2498" s="1" t="s">
        <v>262</v>
      </c>
      <c r="C2498" s="5">
        <f>DATE(2024, 9, 3) + TIME(14, 24, 8)</f>
        <v>45538.600092592591</v>
      </c>
      <c r="D2498" s="1" t="s">
        <v>450</v>
      </c>
      <c r="E2498" s="1" t="s">
        <v>1197</v>
      </c>
    </row>
    <row r="2499" spans="1:5" x14ac:dyDescent="0.2">
      <c r="A2499" s="1" t="s">
        <v>751</v>
      </c>
      <c r="B2499" s="1" t="s">
        <v>229</v>
      </c>
      <c r="C2499" s="5">
        <f>DATE(2024, 9, 3) + TIME(7, 49, 56)</f>
        <v>45538.326342592591</v>
      </c>
      <c r="D2499" s="1" t="s">
        <v>3</v>
      </c>
      <c r="E2499" s="1" t="s">
        <v>1198</v>
      </c>
    </row>
    <row r="2500" spans="1:5" x14ac:dyDescent="0.2">
      <c r="A2500" s="1" t="s">
        <v>751</v>
      </c>
      <c r="B2500" s="1" t="s">
        <v>664</v>
      </c>
      <c r="C2500" s="5">
        <f>DATE(2024, 8, 29) + TIME(10, 34, 51)</f>
        <v>45533.440868055557</v>
      </c>
      <c r="D2500" s="1" t="s">
        <v>320</v>
      </c>
      <c r="E2500" s="1" t="s">
        <v>689</v>
      </c>
    </row>
    <row r="2501" spans="1:5" x14ac:dyDescent="0.2">
      <c r="A2501" s="1" t="s">
        <v>751</v>
      </c>
      <c r="B2501" s="1" t="s">
        <v>60</v>
      </c>
      <c r="C2501" s="5">
        <f>DATE(2024, 8, 29) + TIME(10, 30, 16)</f>
        <v>45533.437685185185</v>
      </c>
      <c r="D2501" s="1" t="s">
        <v>320</v>
      </c>
      <c r="E2501" s="1" t="s">
        <v>689</v>
      </c>
    </row>
    <row r="2502" spans="1:5" x14ac:dyDescent="0.2">
      <c r="A2502" s="1" t="s">
        <v>751</v>
      </c>
      <c r="B2502" s="1" t="s">
        <v>60</v>
      </c>
      <c r="C2502" s="5">
        <f>DATE(2024, 8, 29) + TIME(9, 50, 15)</f>
        <v>45533.409895833334</v>
      </c>
      <c r="D2502" s="1" t="s">
        <v>148</v>
      </c>
      <c r="E2502" s="1" t="s">
        <v>221</v>
      </c>
    </row>
    <row r="2503" spans="1:5" x14ac:dyDescent="0.2">
      <c r="A2503" s="1" t="s">
        <v>751</v>
      </c>
      <c r="B2503" s="1" t="s">
        <v>60</v>
      </c>
      <c r="C2503" s="5">
        <f>DATE(2024, 8, 28) + TIME(10, 26, 9)</f>
        <v>45532.43482638889</v>
      </c>
      <c r="D2503" s="1" t="s">
        <v>506</v>
      </c>
      <c r="E2503" s="1" t="s">
        <v>353</v>
      </c>
    </row>
    <row r="2504" spans="1:5" x14ac:dyDescent="0.2">
      <c r="A2504" s="1" t="s">
        <v>751</v>
      </c>
      <c r="B2504" s="1" t="s">
        <v>60</v>
      </c>
      <c r="C2504" s="5">
        <f>DATE(2024, 8, 28) + TIME(8, 40, 47)</f>
        <v>45532.361655092594</v>
      </c>
      <c r="D2504" s="1" t="s">
        <v>921</v>
      </c>
      <c r="E2504" s="1" t="s">
        <v>232</v>
      </c>
    </row>
    <row r="2505" spans="1:5" x14ac:dyDescent="0.2">
      <c r="A2505" s="1" t="s">
        <v>751</v>
      </c>
      <c r="B2505" s="1" t="s">
        <v>229</v>
      </c>
      <c r="C2505" s="5">
        <f>DATE(2024, 8, 28) + TIME(8, 36, 21)</f>
        <v>45532.358576388891</v>
      </c>
      <c r="D2505" s="1" t="s">
        <v>506</v>
      </c>
      <c r="E2505" s="1" t="s">
        <v>721</v>
      </c>
    </row>
    <row r="2506" spans="1:5" x14ac:dyDescent="0.2">
      <c r="A2506" s="1" t="s">
        <v>751</v>
      </c>
      <c r="B2506" s="1" t="s">
        <v>664</v>
      </c>
      <c r="C2506" s="5">
        <f>DATE(2024, 8, 28) + TIME(7, 46, 20)</f>
        <v>45532.323842592596</v>
      </c>
      <c r="D2506" s="1" t="s">
        <v>459</v>
      </c>
      <c r="E2506" s="1" t="s">
        <v>777</v>
      </c>
    </row>
    <row r="2507" spans="1:5" x14ac:dyDescent="0.2">
      <c r="A2507" s="1" t="s">
        <v>751</v>
      </c>
      <c r="B2507" s="1" t="s">
        <v>60</v>
      </c>
      <c r="C2507" s="5">
        <f>DATE(2024, 8, 28) + TIME(7, 46, 20)</f>
        <v>45532.323842592596</v>
      </c>
      <c r="D2507" s="1" t="s">
        <v>459</v>
      </c>
      <c r="E2507" s="1" t="s">
        <v>777</v>
      </c>
    </row>
    <row r="2508" spans="1:5" x14ac:dyDescent="0.2">
      <c r="A2508" s="1" t="s">
        <v>751</v>
      </c>
      <c r="B2508" s="1" t="s">
        <v>664</v>
      </c>
      <c r="C2508" s="5">
        <f>DATE(2024, 8, 28) + TIME(7, 46, 20)</f>
        <v>45532.323842592596</v>
      </c>
      <c r="D2508" s="1" t="s">
        <v>459</v>
      </c>
      <c r="E2508" s="1" t="s">
        <v>777</v>
      </c>
    </row>
    <row r="2509" spans="1:5" x14ac:dyDescent="0.2">
      <c r="A2509" s="1" t="s">
        <v>751</v>
      </c>
      <c r="B2509" s="1" t="s">
        <v>664</v>
      </c>
      <c r="C2509" s="5">
        <f>DATE(2024, 8, 28) + TIME(7, 36, 39)</f>
        <v>45532.317118055558</v>
      </c>
      <c r="D2509" s="1" t="s">
        <v>459</v>
      </c>
      <c r="E2509" s="1" t="s">
        <v>528</v>
      </c>
    </row>
    <row r="2510" spans="1:5" x14ac:dyDescent="0.2">
      <c r="A2510" s="1" t="s">
        <v>751</v>
      </c>
      <c r="B2510" s="1" t="s">
        <v>60</v>
      </c>
      <c r="C2510" s="5">
        <f>DATE(2024, 8, 27) + TIME(14, 9, 25)</f>
        <v>45531.589872685188</v>
      </c>
      <c r="D2510" s="1" t="s">
        <v>148</v>
      </c>
      <c r="E2510" s="1" t="s">
        <v>929</v>
      </c>
    </row>
    <row r="2511" spans="1:5" x14ac:dyDescent="0.2">
      <c r="A2511" s="1" t="s">
        <v>751</v>
      </c>
      <c r="B2511" s="1" t="s">
        <v>526</v>
      </c>
      <c r="C2511" s="5">
        <f>DATE(2024, 8, 27) + TIME(11, 32, 20)</f>
        <v>45531.480787037035</v>
      </c>
      <c r="D2511" s="1" t="s">
        <v>640</v>
      </c>
      <c r="E2511" s="1" t="s">
        <v>1121</v>
      </c>
    </row>
    <row r="2512" spans="1:5" x14ac:dyDescent="0.2">
      <c r="A2512" s="1" t="s">
        <v>751</v>
      </c>
      <c r="B2512" s="1" t="s">
        <v>229</v>
      </c>
      <c r="C2512" s="5">
        <f>DATE(2024, 8, 27) + TIME(10, 47, 7)</f>
        <v>45531.449386574073</v>
      </c>
      <c r="D2512" s="1" t="s">
        <v>65</v>
      </c>
      <c r="E2512" s="1" t="s">
        <v>785</v>
      </c>
    </row>
    <row r="2513" spans="1:5" x14ac:dyDescent="0.2">
      <c r="A2513" s="1" t="s">
        <v>751</v>
      </c>
      <c r="B2513" s="1" t="s">
        <v>139</v>
      </c>
      <c r="C2513" s="5">
        <f>DATE(2024, 8, 22) + TIME(14, 13, 41)</f>
        <v>45526.592835648145</v>
      </c>
      <c r="D2513" s="1" t="s">
        <v>1054</v>
      </c>
      <c r="E2513" s="1" t="s">
        <v>935</v>
      </c>
    </row>
    <row r="2514" spans="1:5" x14ac:dyDescent="0.2">
      <c r="A2514" s="1" t="s">
        <v>751</v>
      </c>
      <c r="B2514" s="1" t="s">
        <v>1209</v>
      </c>
      <c r="C2514" s="5">
        <f>DATE(2024, 8, 22) + TIME(11, 42, 3)</f>
        <v>45526.487534722219</v>
      </c>
      <c r="D2514" s="1" t="s">
        <v>450</v>
      </c>
      <c r="E2514" s="1" t="s">
        <v>442</v>
      </c>
    </row>
    <row r="2515" spans="1:5" x14ac:dyDescent="0.2">
      <c r="A2515" s="1" t="s">
        <v>751</v>
      </c>
      <c r="B2515" s="1" t="s">
        <v>678</v>
      </c>
      <c r="C2515" s="5">
        <f>DATE(2024, 8, 22) + TIME(11, 35, 45)</f>
        <v>45526.483159722222</v>
      </c>
      <c r="D2515" s="1" t="s">
        <v>3</v>
      </c>
      <c r="E2515" s="1" t="s">
        <v>313</v>
      </c>
    </row>
    <row r="2516" spans="1:5" x14ac:dyDescent="0.2">
      <c r="A2516" s="1" t="s">
        <v>751</v>
      </c>
      <c r="B2516" s="1" t="s">
        <v>60</v>
      </c>
      <c r="C2516" s="5">
        <f>DATE(2024, 8, 22) + TIME(10, 29, 55)</f>
        <v>45526.437442129631</v>
      </c>
      <c r="D2516" s="1" t="s">
        <v>148</v>
      </c>
      <c r="E2516" s="1" t="s">
        <v>469</v>
      </c>
    </row>
    <row r="2517" spans="1:5" x14ac:dyDescent="0.2">
      <c r="A2517" s="1" t="s">
        <v>751</v>
      </c>
      <c r="B2517" s="1" t="s">
        <v>60</v>
      </c>
      <c r="C2517" s="5">
        <f>DATE(2024, 8, 22) + TIME(10, 28, 47)</f>
        <v>45526.436655092592</v>
      </c>
      <c r="D2517" s="1" t="s">
        <v>148</v>
      </c>
      <c r="E2517" s="1" t="s">
        <v>469</v>
      </c>
    </row>
    <row r="2518" spans="1:5" x14ac:dyDescent="0.2">
      <c r="A2518" s="1" t="s">
        <v>751</v>
      </c>
      <c r="B2518" s="1" t="s">
        <v>526</v>
      </c>
      <c r="C2518" s="5">
        <f>DATE(2024, 8, 21) + TIME(12, 53, 1)</f>
        <v>45525.536817129629</v>
      </c>
      <c r="D2518" s="1" t="s">
        <v>65</v>
      </c>
      <c r="E2518" s="1" t="s">
        <v>1210</v>
      </c>
    </row>
    <row r="2519" spans="1:5" x14ac:dyDescent="0.2">
      <c r="A2519" s="1" t="s">
        <v>751</v>
      </c>
      <c r="B2519" s="1" t="s">
        <v>1212</v>
      </c>
      <c r="C2519" s="5">
        <f>DATE(2024, 8, 21) + TIME(8, 44, 41)</f>
        <v>45525.364363425928</v>
      </c>
      <c r="D2519" s="1" t="s">
        <v>640</v>
      </c>
      <c r="E2519" s="1" t="s">
        <v>10</v>
      </c>
    </row>
    <row r="2520" spans="1:5" x14ac:dyDescent="0.2">
      <c r="A2520" s="1" t="s">
        <v>751</v>
      </c>
      <c r="B2520" s="1" t="s">
        <v>60</v>
      </c>
      <c r="C2520" s="5">
        <f>DATE(2024, 8, 21) + TIME(7, 54, 38)</f>
        <v>45525.329606481479</v>
      </c>
      <c r="D2520" s="1" t="s">
        <v>459</v>
      </c>
      <c r="E2520" s="1" t="s">
        <v>777</v>
      </c>
    </row>
    <row r="2521" spans="1:5" x14ac:dyDescent="0.2">
      <c r="A2521" s="1" t="s">
        <v>751</v>
      </c>
      <c r="B2521" s="1" t="s">
        <v>1182</v>
      </c>
      <c r="C2521" s="5">
        <f>DATE(2024, 8, 15) + TIME(12, 52, 2)</f>
        <v>45519.536134259259</v>
      </c>
      <c r="D2521" s="1" t="s">
        <v>450</v>
      </c>
      <c r="E2521" s="1" t="s">
        <v>442</v>
      </c>
    </row>
    <row r="2522" spans="1:5" x14ac:dyDescent="0.2">
      <c r="A2522" s="1" t="s">
        <v>751</v>
      </c>
      <c r="B2522" s="1" t="s">
        <v>713</v>
      </c>
      <c r="C2522" s="5">
        <f>DATE(2024, 8, 14) + TIME(14, 11, 48)</f>
        <v>45518.591527777775</v>
      </c>
      <c r="D2522" s="1" t="s">
        <v>65</v>
      </c>
      <c r="E2522" s="1" t="s">
        <v>995</v>
      </c>
    </row>
    <row r="2523" spans="1:5" x14ac:dyDescent="0.2">
      <c r="A2523" s="1" t="s">
        <v>751</v>
      </c>
      <c r="B2523" s="1" t="s">
        <v>663</v>
      </c>
      <c r="C2523" s="5">
        <f>DATE(2024, 8, 14) + TIME(11, 49, 17)</f>
        <v>45518.49255787037</v>
      </c>
      <c r="D2523" s="1" t="s">
        <v>65</v>
      </c>
      <c r="E2523" s="1" t="s">
        <v>995</v>
      </c>
    </row>
    <row r="2524" spans="1:5" x14ac:dyDescent="0.2">
      <c r="A2524" s="1" t="s">
        <v>751</v>
      </c>
      <c r="B2524" s="1" t="s">
        <v>664</v>
      </c>
      <c r="C2524" s="5">
        <f>DATE(2024, 8, 14) + TIME(8, 18, 0)</f>
        <v>45518.345833333333</v>
      </c>
      <c r="D2524" s="1" t="s">
        <v>921</v>
      </c>
      <c r="E2524" s="1" t="s">
        <v>232</v>
      </c>
    </row>
    <row r="2525" spans="1:5" x14ac:dyDescent="0.2">
      <c r="A2525" s="1" t="s">
        <v>751</v>
      </c>
      <c r="B2525" s="1" t="s">
        <v>1217</v>
      </c>
      <c r="C2525" s="5">
        <f>DATE(2024, 8, 14) + TIME(8, 18, 0)</f>
        <v>45518.345833333333</v>
      </c>
      <c r="D2525" s="1" t="s">
        <v>921</v>
      </c>
      <c r="E2525" s="1" t="s">
        <v>232</v>
      </c>
    </row>
    <row r="2526" spans="1:5" x14ac:dyDescent="0.2">
      <c r="A2526" s="1" t="s">
        <v>751</v>
      </c>
      <c r="B2526" s="1" t="s">
        <v>60</v>
      </c>
      <c r="C2526" s="5">
        <f>DATE(2024, 8, 13) + TIME(12, 35, 42)</f>
        <v>45517.524791666663</v>
      </c>
      <c r="D2526" s="1" t="s">
        <v>506</v>
      </c>
      <c r="E2526" s="1" t="s">
        <v>1012</v>
      </c>
    </row>
    <row r="2527" spans="1:5" x14ac:dyDescent="0.2">
      <c r="A2527" s="1" t="s">
        <v>751</v>
      </c>
      <c r="B2527" s="1" t="s">
        <v>60</v>
      </c>
      <c r="C2527" s="5">
        <f>DATE(2024, 8, 13) + TIME(12, 34, 57)</f>
        <v>45517.524270833332</v>
      </c>
      <c r="D2527" s="1" t="s">
        <v>506</v>
      </c>
      <c r="E2527" s="1" t="s">
        <v>819</v>
      </c>
    </row>
    <row r="2528" spans="1:5" x14ac:dyDescent="0.2">
      <c r="A2528" s="1" t="s">
        <v>751</v>
      </c>
      <c r="B2528" s="1" t="s">
        <v>513</v>
      </c>
      <c r="C2528" s="5">
        <f>DATE(2024, 8, 13) + TIME(12, 34, 57)</f>
        <v>45517.524270833332</v>
      </c>
      <c r="D2528" s="1" t="s">
        <v>506</v>
      </c>
      <c r="E2528" s="1" t="s">
        <v>819</v>
      </c>
    </row>
    <row r="2529" spans="1:5" x14ac:dyDescent="0.2">
      <c r="A2529" s="1" t="s">
        <v>751</v>
      </c>
      <c r="B2529" s="1" t="s">
        <v>60</v>
      </c>
      <c r="C2529" s="5">
        <f>DATE(2024, 8, 13) + TIME(7, 43, 16)</f>
        <v>45517.321712962963</v>
      </c>
      <c r="D2529" s="1" t="s">
        <v>506</v>
      </c>
      <c r="E2529" s="1" t="s">
        <v>509</v>
      </c>
    </row>
    <row r="2530" spans="1:5" x14ac:dyDescent="0.2">
      <c r="A2530" s="1" t="s">
        <v>751</v>
      </c>
      <c r="B2530" s="1" t="s">
        <v>60</v>
      </c>
      <c r="C2530" s="5">
        <f>DATE(2024, 8, 13) + TIME(7, 43, 16)</f>
        <v>45517.321712962963</v>
      </c>
      <c r="D2530" s="1" t="s">
        <v>506</v>
      </c>
      <c r="E2530" s="1" t="s">
        <v>509</v>
      </c>
    </row>
    <row r="2531" spans="1:5" x14ac:dyDescent="0.2">
      <c r="A2531" s="1" t="s">
        <v>751</v>
      </c>
      <c r="B2531" s="1" t="s">
        <v>229</v>
      </c>
      <c r="C2531" s="5">
        <f>DATE(2024, 8, 13) + TIME(7, 43, 16)</f>
        <v>45517.321712962963</v>
      </c>
      <c r="D2531" s="1" t="s">
        <v>506</v>
      </c>
      <c r="E2531" s="1" t="s">
        <v>509</v>
      </c>
    </row>
    <row r="2532" spans="1:5" x14ac:dyDescent="0.2">
      <c r="A2532" s="1" t="s">
        <v>751</v>
      </c>
      <c r="B2532" s="1" t="s">
        <v>229</v>
      </c>
      <c r="C2532" s="5">
        <f>DATE(2024, 8, 12) + TIME(16, 3, 33)</f>
        <v>45516.669131944444</v>
      </c>
      <c r="D2532" s="1" t="s">
        <v>226</v>
      </c>
      <c r="E2532" s="1" t="s">
        <v>953</v>
      </c>
    </row>
    <row r="2533" spans="1:5" x14ac:dyDescent="0.2">
      <c r="A2533" s="1" t="s">
        <v>751</v>
      </c>
      <c r="B2533" s="1" t="s">
        <v>1219</v>
      </c>
      <c r="C2533" s="5">
        <f>DATE(2024, 8, 12) + TIME(13, 10, 20)</f>
        <v>45516.548842592594</v>
      </c>
      <c r="D2533" s="1" t="s">
        <v>148</v>
      </c>
      <c r="E2533" s="1" t="s">
        <v>221</v>
      </c>
    </row>
    <row r="2534" spans="1:5" x14ac:dyDescent="0.2">
      <c r="A2534" s="1" t="s">
        <v>751</v>
      </c>
      <c r="B2534" s="1" t="s">
        <v>229</v>
      </c>
      <c r="C2534" s="5">
        <f>DATE(2024, 8, 12) + TIME(12, 9, 34)</f>
        <v>45516.506643518522</v>
      </c>
      <c r="D2534" s="1" t="s">
        <v>65</v>
      </c>
      <c r="E2534" s="1" t="s">
        <v>658</v>
      </c>
    </row>
    <row r="2535" spans="1:5" x14ac:dyDescent="0.2">
      <c r="A2535" s="1" t="s">
        <v>751</v>
      </c>
      <c r="B2535" s="1" t="s">
        <v>229</v>
      </c>
      <c r="C2535" s="5">
        <f>DATE(2024, 8, 12) + TIME(10, 15, 43)</f>
        <v>45516.427581018521</v>
      </c>
      <c r="D2535" s="1" t="s">
        <v>65</v>
      </c>
      <c r="E2535" s="1" t="s">
        <v>546</v>
      </c>
    </row>
    <row r="2536" spans="1:5" x14ac:dyDescent="0.2">
      <c r="A2536" s="1" t="s">
        <v>751</v>
      </c>
      <c r="B2536" s="1" t="s">
        <v>1166</v>
      </c>
      <c r="C2536" s="5">
        <f>DATE(2024, 8, 12) + TIME(9, 51, 39)</f>
        <v>45516.410868055558</v>
      </c>
      <c r="D2536" s="1" t="s">
        <v>320</v>
      </c>
      <c r="E2536" s="1" t="s">
        <v>332</v>
      </c>
    </row>
    <row r="2537" spans="1:5" x14ac:dyDescent="0.2">
      <c r="A2537" s="1" t="s">
        <v>751</v>
      </c>
      <c r="B2537" s="1" t="s">
        <v>229</v>
      </c>
      <c r="C2537" s="5">
        <f>DATE(2024, 8, 12) + TIME(7, 31, 46)</f>
        <v>45516.313726851855</v>
      </c>
      <c r="D2537" s="1" t="s">
        <v>506</v>
      </c>
      <c r="E2537" s="1" t="s">
        <v>1220</v>
      </c>
    </row>
    <row r="2538" spans="1:5" x14ac:dyDescent="0.2">
      <c r="A2538" s="1" t="s">
        <v>751</v>
      </c>
      <c r="B2538" s="1" t="s">
        <v>229</v>
      </c>
      <c r="C2538" s="5">
        <f>DATE(2024, 8, 8) + TIME(14, 26, 55)</f>
        <v>45512.602025462962</v>
      </c>
      <c r="D2538" s="1" t="s">
        <v>65</v>
      </c>
      <c r="E2538" s="1" t="s">
        <v>606</v>
      </c>
    </row>
    <row r="2539" spans="1:5" x14ac:dyDescent="0.2">
      <c r="A2539" s="1" t="s">
        <v>751</v>
      </c>
      <c r="B2539" s="1" t="s">
        <v>1219</v>
      </c>
      <c r="C2539" s="5">
        <f>DATE(2024, 8, 8) + TIME(14, 17, 56)</f>
        <v>45512.59578703704</v>
      </c>
      <c r="D2539" s="1" t="s">
        <v>450</v>
      </c>
      <c r="E2539" s="1" t="s">
        <v>442</v>
      </c>
    </row>
    <row r="2540" spans="1:5" x14ac:dyDescent="0.2">
      <c r="A2540" s="1" t="s">
        <v>751</v>
      </c>
      <c r="B2540" s="1" t="s">
        <v>229</v>
      </c>
      <c r="C2540" s="5">
        <f>DATE(2024, 8, 8) + TIME(10, 34, 46)</f>
        <v>45512.440810185188</v>
      </c>
      <c r="D2540" s="1" t="s">
        <v>506</v>
      </c>
      <c r="E2540" s="1" t="s">
        <v>488</v>
      </c>
    </row>
    <row r="2541" spans="1:5" x14ac:dyDescent="0.2">
      <c r="A2541" s="1" t="s">
        <v>751</v>
      </c>
      <c r="B2541" s="1" t="s">
        <v>139</v>
      </c>
      <c r="C2541" s="5">
        <f>DATE(2024, 8, 8) + TIME(10, 12, 0)</f>
        <v>45512.425000000003</v>
      </c>
      <c r="D2541" s="1" t="s">
        <v>65</v>
      </c>
      <c r="E2541" s="1" t="s">
        <v>910</v>
      </c>
    </row>
    <row r="2542" spans="1:5" x14ac:dyDescent="0.2">
      <c r="A2542" s="1" t="s">
        <v>751</v>
      </c>
      <c r="B2542" s="1" t="s">
        <v>229</v>
      </c>
      <c r="C2542" s="5">
        <f>DATE(2024, 8, 7) + TIME(8, 43, 48)</f>
        <v>45511.363749999997</v>
      </c>
      <c r="D2542" s="1" t="s">
        <v>65</v>
      </c>
      <c r="E2542" s="1" t="s">
        <v>949</v>
      </c>
    </row>
    <row r="2543" spans="1:5" x14ac:dyDescent="0.2">
      <c r="A2543" s="1" t="s">
        <v>751</v>
      </c>
      <c r="B2543" s="1" t="s">
        <v>229</v>
      </c>
      <c r="C2543" s="5">
        <f>DATE(2024, 8, 7) + TIME(8, 17, 6)</f>
        <v>45511.345208333332</v>
      </c>
      <c r="D2543" s="1" t="s">
        <v>65</v>
      </c>
      <c r="E2543" s="1" t="s">
        <v>772</v>
      </c>
    </row>
    <row r="2544" spans="1:5" x14ac:dyDescent="0.2">
      <c r="A2544" s="1" t="s">
        <v>751</v>
      </c>
      <c r="B2544" s="1" t="s">
        <v>644</v>
      </c>
      <c r="C2544" s="5">
        <f>DATE(2024, 8, 6) + TIME(15, 16, 47)</f>
        <v>45510.636655092596</v>
      </c>
      <c r="D2544" s="1" t="s">
        <v>148</v>
      </c>
      <c r="E2544" s="1" t="s">
        <v>929</v>
      </c>
    </row>
    <row r="2545" spans="1:5" x14ac:dyDescent="0.2">
      <c r="A2545" s="1" t="s">
        <v>751</v>
      </c>
      <c r="B2545" s="1" t="s">
        <v>229</v>
      </c>
      <c r="C2545" s="5">
        <f>DATE(2024, 8, 6) + TIME(13, 0, 9)</f>
        <v>45510.541770833333</v>
      </c>
      <c r="D2545" s="1" t="s">
        <v>506</v>
      </c>
      <c r="E2545" s="1" t="s">
        <v>1012</v>
      </c>
    </row>
    <row r="2546" spans="1:5" x14ac:dyDescent="0.2">
      <c r="A2546" s="1" t="s">
        <v>751</v>
      </c>
      <c r="B2546" s="1" t="s">
        <v>229</v>
      </c>
      <c r="C2546" s="5">
        <f>DATE(2024, 8, 6) + TIME(12, 59, 49)</f>
        <v>45510.541539351849</v>
      </c>
      <c r="D2546" s="1" t="s">
        <v>506</v>
      </c>
      <c r="E2546" s="1" t="s">
        <v>819</v>
      </c>
    </row>
    <row r="2547" spans="1:5" x14ac:dyDescent="0.2">
      <c r="A2547" s="1" t="s">
        <v>751</v>
      </c>
      <c r="B2547" s="1" t="s">
        <v>229</v>
      </c>
      <c r="C2547" s="5">
        <f>DATE(2024, 8, 6) + TIME(12, 59, 12)</f>
        <v>45510.54111111111</v>
      </c>
      <c r="D2547" s="1" t="s">
        <v>506</v>
      </c>
      <c r="E2547" s="1" t="s">
        <v>509</v>
      </c>
    </row>
    <row r="2548" spans="1:5" x14ac:dyDescent="0.2">
      <c r="A2548" s="1" t="s">
        <v>751</v>
      </c>
      <c r="B2548" s="1" t="s">
        <v>664</v>
      </c>
      <c r="C2548" s="5">
        <f>DATE(2024, 8, 6) + TIME(11, 39, 11)</f>
        <v>45510.485543981478</v>
      </c>
      <c r="D2548" s="1" t="s">
        <v>566</v>
      </c>
      <c r="E2548" s="1" t="s">
        <v>1226</v>
      </c>
    </row>
    <row r="2549" spans="1:5" x14ac:dyDescent="0.2">
      <c r="A2549" s="1" t="s">
        <v>751</v>
      </c>
      <c r="B2549" s="1" t="s">
        <v>664</v>
      </c>
      <c r="C2549" s="5">
        <f>DATE(2024, 7, 31) + TIME(9, 41, 53)</f>
        <v>45504.404085648152</v>
      </c>
      <c r="D2549" s="1" t="s">
        <v>320</v>
      </c>
      <c r="E2549" s="1" t="s">
        <v>521</v>
      </c>
    </row>
    <row r="2550" spans="1:5" x14ac:dyDescent="0.2">
      <c r="A2550" s="1" t="s">
        <v>751</v>
      </c>
      <c r="B2550" s="1" t="s">
        <v>60</v>
      </c>
      <c r="C2550" s="5">
        <f>DATE(2024, 7, 31) + TIME(7, 3, 9)</f>
        <v>45504.293854166666</v>
      </c>
      <c r="D2550" s="1" t="s">
        <v>640</v>
      </c>
      <c r="E2550" s="1" t="s">
        <v>10</v>
      </c>
    </row>
    <row r="2551" spans="1:5" x14ac:dyDescent="0.2">
      <c r="A2551" s="1" t="s">
        <v>751</v>
      </c>
      <c r="B2551" s="1" t="s">
        <v>1209</v>
      </c>
      <c r="C2551" s="5">
        <f>DATE(2024, 7, 25) + TIME(11, 21, 22)</f>
        <v>45498.473171296297</v>
      </c>
      <c r="D2551" s="1" t="s">
        <v>148</v>
      </c>
      <c r="E2551" s="1" t="s">
        <v>469</v>
      </c>
    </row>
    <row r="2552" spans="1:5" x14ac:dyDescent="0.2">
      <c r="A2552" s="1" t="s">
        <v>751</v>
      </c>
      <c r="B2552" s="1" t="s">
        <v>866</v>
      </c>
      <c r="C2552" s="5">
        <f>DATE(2024, 7, 24) + TIME(21, 20, 9)</f>
        <v>45497.888993055552</v>
      </c>
      <c r="D2552" s="1" t="s">
        <v>459</v>
      </c>
      <c r="E2552" s="1" t="s">
        <v>164</v>
      </c>
    </row>
    <row r="2553" spans="1:5" x14ac:dyDescent="0.2">
      <c r="A2553" s="1" t="s">
        <v>751</v>
      </c>
      <c r="B2553" s="1" t="s">
        <v>866</v>
      </c>
      <c r="C2553" s="5">
        <f>DATE(2024, 7, 24) + TIME(21, 20, 9)</f>
        <v>45497.888993055552</v>
      </c>
      <c r="D2553" s="1" t="s">
        <v>459</v>
      </c>
      <c r="E2553" s="1" t="s">
        <v>164</v>
      </c>
    </row>
    <row r="2554" spans="1:5" x14ac:dyDescent="0.2">
      <c r="A2554" s="1" t="s">
        <v>751</v>
      </c>
      <c r="B2554" s="1" t="s">
        <v>913</v>
      </c>
      <c r="C2554" s="5">
        <f>DATE(2024, 7, 23) + TIME(10, 48, 30)</f>
        <v>45496.45034722222</v>
      </c>
      <c r="D2554" s="1" t="s">
        <v>640</v>
      </c>
      <c r="E2554" s="1" t="s">
        <v>780</v>
      </c>
    </row>
    <row r="2555" spans="1:5" x14ac:dyDescent="0.2">
      <c r="A2555" s="1" t="s">
        <v>751</v>
      </c>
      <c r="B2555" s="1" t="s">
        <v>678</v>
      </c>
      <c r="C2555" s="5">
        <f>DATE(2024, 7, 18) + TIME(11, 36, 24)</f>
        <v>45491.483611111114</v>
      </c>
      <c r="D2555" s="1" t="s">
        <v>459</v>
      </c>
      <c r="E2555" s="1" t="s">
        <v>528</v>
      </c>
    </row>
    <row r="2556" spans="1:5" x14ac:dyDescent="0.2">
      <c r="A2556" s="1" t="s">
        <v>751</v>
      </c>
      <c r="B2556" s="1" t="s">
        <v>1216</v>
      </c>
      <c r="C2556" s="5">
        <f>DATE(2024, 7, 18) + TIME(9, 22, 14)</f>
        <v>45491.390439814815</v>
      </c>
      <c r="D2556" s="1" t="s">
        <v>320</v>
      </c>
      <c r="E2556" s="1" t="s">
        <v>521</v>
      </c>
    </row>
    <row r="2557" spans="1:5" x14ac:dyDescent="0.2">
      <c r="A2557" s="1" t="s">
        <v>751</v>
      </c>
      <c r="B2557" s="1" t="s">
        <v>262</v>
      </c>
      <c r="C2557" s="5">
        <f>DATE(2024, 7, 16) + TIME(14, 51, 19)</f>
        <v>45489.618969907409</v>
      </c>
      <c r="D2557" s="1" t="s">
        <v>64</v>
      </c>
      <c r="E2557" s="1" t="s">
        <v>1238</v>
      </c>
    </row>
    <row r="2558" spans="1:5" x14ac:dyDescent="0.2">
      <c r="A2558" s="1" t="s">
        <v>751</v>
      </c>
      <c r="B2558" s="1" t="s">
        <v>866</v>
      </c>
      <c r="C2558" s="5">
        <f>DATE(2024, 7, 15) + TIME(10, 1, 36)</f>
        <v>45488.41777777778</v>
      </c>
      <c r="D2558" s="1" t="s">
        <v>341</v>
      </c>
      <c r="E2558" s="1" t="s">
        <v>1241</v>
      </c>
    </row>
    <row r="2559" spans="1:5" x14ac:dyDescent="0.2">
      <c r="A2559" s="1" t="s">
        <v>751</v>
      </c>
      <c r="B2559" s="1" t="s">
        <v>644</v>
      </c>
      <c r="C2559" s="5">
        <f>DATE(2024, 7, 11) + TIME(13, 28, 50)</f>
        <v>45484.561689814815</v>
      </c>
      <c r="D2559" s="1" t="s">
        <v>65</v>
      </c>
      <c r="E2559" s="1" t="s">
        <v>910</v>
      </c>
    </row>
    <row r="2560" spans="1:5" x14ac:dyDescent="0.2">
      <c r="A2560" s="1" t="s">
        <v>751</v>
      </c>
      <c r="B2560" s="1" t="s">
        <v>526</v>
      </c>
      <c r="C2560" s="5">
        <f>DATE(2024, 7, 10) + TIME(13, 28, 31)</f>
        <v>45483.561469907407</v>
      </c>
      <c r="D2560" s="1" t="s">
        <v>65</v>
      </c>
      <c r="E2560" s="1" t="s">
        <v>949</v>
      </c>
    </row>
    <row r="2561" spans="1:5" x14ac:dyDescent="0.2">
      <c r="A2561" s="1" t="s">
        <v>751</v>
      </c>
      <c r="B2561" s="1" t="s">
        <v>963</v>
      </c>
      <c r="C2561" s="5">
        <f>DATE(2024, 7, 9) + TIME(10, 34, 8)</f>
        <v>45482.440370370372</v>
      </c>
      <c r="D2561" s="1" t="s">
        <v>396</v>
      </c>
      <c r="E2561" s="1" t="s">
        <v>553</v>
      </c>
    </row>
    <row r="2562" spans="1:5" x14ac:dyDescent="0.2">
      <c r="A2562" s="1" t="s">
        <v>751</v>
      </c>
      <c r="B2562" s="1" t="s">
        <v>644</v>
      </c>
      <c r="C2562" s="5">
        <f>DATE(2024, 7, 9) + TIME(8, 47, 3)</f>
        <v>45482.366006944445</v>
      </c>
      <c r="D2562" s="1" t="s">
        <v>506</v>
      </c>
      <c r="E2562" s="1" t="s">
        <v>509</v>
      </c>
    </row>
    <row r="2563" spans="1:5" x14ac:dyDescent="0.2">
      <c r="A2563" s="1" t="s">
        <v>751</v>
      </c>
      <c r="B2563" s="1" t="s">
        <v>963</v>
      </c>
      <c r="C2563" s="5">
        <f>DATE(2024, 7, 3) + TIME(12, 11, 48)</f>
        <v>45476.508194444446</v>
      </c>
      <c r="D2563" s="1" t="s">
        <v>921</v>
      </c>
      <c r="E2563" s="1" t="s">
        <v>232</v>
      </c>
    </row>
    <row r="2564" spans="1:5" x14ac:dyDescent="0.2">
      <c r="A2564" s="1" t="s">
        <v>751</v>
      </c>
      <c r="B2564" s="1" t="s">
        <v>963</v>
      </c>
      <c r="C2564" s="5">
        <f>DATE(2024, 7, 3) + TIME(8, 23, 30)</f>
        <v>45476.349652777775</v>
      </c>
      <c r="D2564" s="1" t="s">
        <v>3</v>
      </c>
      <c r="E2564" s="1" t="s">
        <v>132</v>
      </c>
    </row>
    <row r="2565" spans="1:5" x14ac:dyDescent="0.2">
      <c r="A2565" s="1" t="s">
        <v>751</v>
      </c>
      <c r="B2565" s="1" t="s">
        <v>154</v>
      </c>
      <c r="C2565" s="5">
        <f>DATE(2024, 7, 2) + TIME(13, 25, 44)</f>
        <v>45475.559537037036</v>
      </c>
      <c r="D2565" s="1" t="s">
        <v>566</v>
      </c>
      <c r="E2565" s="1" t="s">
        <v>1248</v>
      </c>
    </row>
    <row r="2566" spans="1:5" x14ac:dyDescent="0.2">
      <c r="A2566" s="1" t="s">
        <v>751</v>
      </c>
      <c r="B2566" s="1" t="s">
        <v>526</v>
      </c>
      <c r="C2566" s="5">
        <f>DATE(2024, 7, 1) + TIME(14, 25, 55)</f>
        <v>45474.601331018515</v>
      </c>
      <c r="D2566" s="1" t="s">
        <v>638</v>
      </c>
      <c r="E2566" s="1" t="s">
        <v>172</v>
      </c>
    </row>
    <row r="2567" spans="1:5" x14ac:dyDescent="0.2">
      <c r="A2567" s="1" t="s">
        <v>751</v>
      </c>
      <c r="B2567" s="1" t="s">
        <v>60</v>
      </c>
      <c r="C2567" s="5">
        <f>DATE(2024, 6, 27) + TIME(13, 14, 44)</f>
        <v>45470.551898148151</v>
      </c>
      <c r="D2567" s="1" t="s">
        <v>148</v>
      </c>
      <c r="E2567" s="1" t="s">
        <v>221</v>
      </c>
    </row>
    <row r="2568" spans="1:5" x14ac:dyDescent="0.2">
      <c r="A2568" s="1" t="s">
        <v>751</v>
      </c>
      <c r="B2568" s="1" t="s">
        <v>866</v>
      </c>
      <c r="C2568" s="5">
        <f>DATE(2024, 6, 27) + TIME(9, 4, 25)</f>
        <v>45470.378067129626</v>
      </c>
      <c r="D2568" s="1" t="s">
        <v>320</v>
      </c>
      <c r="E2568" s="1" t="s">
        <v>521</v>
      </c>
    </row>
    <row r="2569" spans="1:5" x14ac:dyDescent="0.2">
      <c r="A2569" s="1" t="s">
        <v>751</v>
      </c>
      <c r="B2569" s="1" t="s">
        <v>323</v>
      </c>
      <c r="C2569" s="5">
        <f>DATE(2024, 6, 26) + TIME(13, 34, 30)</f>
        <v>45469.565625000003</v>
      </c>
      <c r="D2569" s="1" t="s">
        <v>1054</v>
      </c>
      <c r="E2569" s="1" t="s">
        <v>68</v>
      </c>
    </row>
    <row r="2570" spans="1:5" x14ac:dyDescent="0.2">
      <c r="A2570" s="1" t="s">
        <v>751</v>
      </c>
      <c r="B2570" s="1" t="s">
        <v>323</v>
      </c>
      <c r="C2570" s="5">
        <f>DATE(2024, 6, 26) + TIME(13, 34, 30)</f>
        <v>45469.565625000003</v>
      </c>
      <c r="D2570" s="1" t="s">
        <v>1054</v>
      </c>
      <c r="E2570" s="1" t="s">
        <v>68</v>
      </c>
    </row>
    <row r="2571" spans="1:5" x14ac:dyDescent="0.2">
      <c r="A2571" s="1" t="s">
        <v>751</v>
      </c>
      <c r="B2571" s="1" t="s">
        <v>963</v>
      </c>
      <c r="C2571" s="5">
        <f>DATE(2024, 6, 26) + TIME(13, 25, 46)</f>
        <v>45469.559560185182</v>
      </c>
      <c r="D2571" s="1" t="s">
        <v>320</v>
      </c>
      <c r="E2571" s="1" t="s">
        <v>521</v>
      </c>
    </row>
    <row r="2572" spans="1:5" x14ac:dyDescent="0.2">
      <c r="A2572" s="1" t="s">
        <v>751</v>
      </c>
      <c r="B2572" s="1" t="s">
        <v>963</v>
      </c>
      <c r="C2572" s="5">
        <f>DATE(2024, 6, 26) + TIME(12, 58, 14)</f>
        <v>45469.540439814817</v>
      </c>
      <c r="D2572" s="1" t="s">
        <v>320</v>
      </c>
      <c r="E2572" s="1" t="s">
        <v>689</v>
      </c>
    </row>
    <row r="2573" spans="1:5" x14ac:dyDescent="0.2">
      <c r="A2573" s="1" t="s">
        <v>751</v>
      </c>
      <c r="B2573" s="1" t="s">
        <v>963</v>
      </c>
      <c r="C2573" s="5">
        <f>DATE(2024, 6, 26) + TIME(10, 30, 3)</f>
        <v>45469.437534722223</v>
      </c>
      <c r="D2573" s="1" t="s">
        <v>65</v>
      </c>
      <c r="E2573" s="1" t="s">
        <v>772</v>
      </c>
    </row>
    <row r="2574" spans="1:5" x14ac:dyDescent="0.2">
      <c r="A2574" s="1" t="s">
        <v>751</v>
      </c>
      <c r="B2574" s="1" t="s">
        <v>526</v>
      </c>
      <c r="C2574" s="5">
        <f>DATE(2024, 6, 26) + TIME(9, 30, 35)</f>
        <v>45469.396238425928</v>
      </c>
      <c r="D2574" s="1" t="s">
        <v>65</v>
      </c>
      <c r="E2574" s="1" t="s">
        <v>949</v>
      </c>
    </row>
    <row r="2575" spans="1:5" x14ac:dyDescent="0.2">
      <c r="A2575" s="1" t="s">
        <v>751</v>
      </c>
      <c r="B2575" s="1" t="s">
        <v>60</v>
      </c>
      <c r="C2575" s="5">
        <f>DATE(2024, 6, 25) + TIME(16, 8, 15)</f>
        <v>45468.672395833331</v>
      </c>
      <c r="D2575" s="1" t="s">
        <v>566</v>
      </c>
      <c r="E2575" s="1" t="s">
        <v>1226</v>
      </c>
    </row>
    <row r="2576" spans="1:5" x14ac:dyDescent="0.2">
      <c r="A2576" s="1" t="s">
        <v>751</v>
      </c>
      <c r="B2576" s="1" t="s">
        <v>866</v>
      </c>
      <c r="C2576" s="5">
        <f>DATE(2024, 6, 25) + TIME(16, 8, 15)</f>
        <v>45468.672395833331</v>
      </c>
      <c r="D2576" s="1" t="s">
        <v>566</v>
      </c>
      <c r="E2576" s="1" t="s">
        <v>1226</v>
      </c>
    </row>
    <row r="2577" spans="1:5" x14ac:dyDescent="0.2">
      <c r="A2577" s="1" t="s">
        <v>751</v>
      </c>
      <c r="B2577" s="1" t="s">
        <v>963</v>
      </c>
      <c r="C2577" s="5">
        <f>DATE(2024, 6, 25) + TIME(13, 7, 4)</f>
        <v>45468.546574074076</v>
      </c>
      <c r="D2577" s="1" t="s">
        <v>1221</v>
      </c>
      <c r="E2577" s="1" t="s">
        <v>424</v>
      </c>
    </row>
    <row r="2578" spans="1:5" x14ac:dyDescent="0.2">
      <c r="A2578" s="1" t="s">
        <v>751</v>
      </c>
      <c r="B2578" s="1" t="s">
        <v>1257</v>
      </c>
      <c r="C2578" s="5">
        <f>DATE(2024, 6, 25) + TIME(12, 43, 16)</f>
        <v>45468.530046296299</v>
      </c>
      <c r="D2578" s="1" t="s">
        <v>216</v>
      </c>
      <c r="E2578" s="1" t="s">
        <v>610</v>
      </c>
    </row>
    <row r="2579" spans="1:5" x14ac:dyDescent="0.2">
      <c r="A2579" s="1" t="s">
        <v>751</v>
      </c>
      <c r="B2579" s="1" t="s">
        <v>963</v>
      </c>
      <c r="C2579" s="5">
        <f>DATE(2024, 6, 25) + TIME(10, 25, 9)</f>
        <v>45468.434131944443</v>
      </c>
      <c r="D2579" s="1" t="s">
        <v>506</v>
      </c>
      <c r="E2579" s="1" t="s">
        <v>819</v>
      </c>
    </row>
    <row r="2580" spans="1:5" x14ac:dyDescent="0.2">
      <c r="A2580" s="1" t="s">
        <v>751</v>
      </c>
      <c r="B2580" s="1" t="s">
        <v>642</v>
      </c>
      <c r="C2580" s="5">
        <f>DATE(2024, 6, 24) + TIME(14, 47, 7)</f>
        <v>45467.616053240738</v>
      </c>
      <c r="D2580" s="1" t="s">
        <v>1221</v>
      </c>
      <c r="E2580" s="1" t="s">
        <v>1178</v>
      </c>
    </row>
    <row r="2581" spans="1:5" x14ac:dyDescent="0.2">
      <c r="A2581" s="1" t="s">
        <v>751</v>
      </c>
      <c r="B2581" s="1" t="s">
        <v>963</v>
      </c>
      <c r="C2581" s="5">
        <f>DATE(2024, 6, 24) + TIME(12, 46, 44)</f>
        <v>45467.532453703701</v>
      </c>
      <c r="D2581" s="1" t="s">
        <v>65</v>
      </c>
      <c r="E2581" s="1" t="s">
        <v>910</v>
      </c>
    </row>
    <row r="2582" spans="1:5" x14ac:dyDescent="0.2">
      <c r="A2582" s="1" t="s">
        <v>751</v>
      </c>
      <c r="B2582" s="1" t="s">
        <v>866</v>
      </c>
      <c r="C2582" s="5">
        <f>DATE(2024, 6, 20) + TIME(12, 13, 21)</f>
        <v>45463.509270833332</v>
      </c>
      <c r="D2582" s="1" t="s">
        <v>1221</v>
      </c>
      <c r="E2582" s="1" t="s">
        <v>570</v>
      </c>
    </row>
    <row r="2583" spans="1:5" x14ac:dyDescent="0.2">
      <c r="A2583" s="1" t="s">
        <v>751</v>
      </c>
      <c r="B2583" s="1" t="s">
        <v>271</v>
      </c>
      <c r="C2583" s="5">
        <f>DATE(2024, 6, 20) + TIME(7, 49, 2)</f>
        <v>45463.32571759259</v>
      </c>
      <c r="D2583" s="1" t="s">
        <v>3</v>
      </c>
      <c r="E2583" s="1" t="s">
        <v>515</v>
      </c>
    </row>
    <row r="2584" spans="1:5" x14ac:dyDescent="0.2">
      <c r="A2584" s="1" t="s">
        <v>751</v>
      </c>
      <c r="B2584" s="1" t="s">
        <v>60</v>
      </c>
      <c r="C2584" s="5">
        <f>DATE(2024, 6, 19) + TIME(11, 39, 39)</f>
        <v>45462.485868055555</v>
      </c>
      <c r="D2584" s="1" t="s">
        <v>459</v>
      </c>
      <c r="E2584" s="1" t="s">
        <v>777</v>
      </c>
    </row>
    <row r="2585" spans="1:5" x14ac:dyDescent="0.2">
      <c r="A2585" s="1" t="s">
        <v>751</v>
      </c>
      <c r="B2585" s="1" t="s">
        <v>60</v>
      </c>
      <c r="C2585" s="5">
        <f>DATE(2024, 6, 13) + TIME(9, 26, 29)</f>
        <v>45456.393391203703</v>
      </c>
      <c r="D2585" s="1" t="s">
        <v>506</v>
      </c>
      <c r="E2585" s="1" t="s">
        <v>200</v>
      </c>
    </row>
    <row r="2586" spans="1:5" x14ac:dyDescent="0.2">
      <c r="A2586" s="1" t="s">
        <v>751</v>
      </c>
      <c r="B2586" s="1" t="s">
        <v>1273</v>
      </c>
      <c r="C2586" s="5">
        <f>DATE(2024, 6, 12) + TIME(11, 14, 19)</f>
        <v>45455.468275462961</v>
      </c>
      <c r="D2586" s="1" t="s">
        <v>921</v>
      </c>
      <c r="E2586" s="1" t="s">
        <v>232</v>
      </c>
    </row>
    <row r="2587" spans="1:5" x14ac:dyDescent="0.2">
      <c r="A2587" s="1" t="s">
        <v>751</v>
      </c>
      <c r="B2587" s="1" t="s">
        <v>963</v>
      </c>
      <c r="C2587" s="5">
        <f>DATE(2024, 6, 12) + TIME(10, 31, 5)</f>
        <v>45455.438252314816</v>
      </c>
      <c r="D2587" s="1" t="s">
        <v>320</v>
      </c>
      <c r="E2587" s="1" t="s">
        <v>689</v>
      </c>
    </row>
    <row r="2588" spans="1:5" x14ac:dyDescent="0.2">
      <c r="A2588" s="1" t="s">
        <v>788</v>
      </c>
      <c r="B2588" s="1" t="s">
        <v>272</v>
      </c>
      <c r="C2588" s="5">
        <f>DATE(2025, 10, 28) + TIME(14, 42, 31)</f>
        <v>45958.612858796296</v>
      </c>
      <c r="D2588" s="1" t="s">
        <v>398</v>
      </c>
      <c r="E2588" s="1" t="s">
        <v>895</v>
      </c>
    </row>
    <row r="2589" spans="1:5" x14ac:dyDescent="0.2">
      <c r="A2589" s="1" t="s">
        <v>788</v>
      </c>
      <c r="B2589" s="1" t="s">
        <v>60</v>
      </c>
      <c r="C2589" s="5">
        <f>DATE(2025, 8, 12) + TIME(14, 53, 56)</f>
        <v>45881.620787037034</v>
      </c>
      <c r="D2589" s="1" t="s">
        <v>640</v>
      </c>
      <c r="E2589" s="1" t="s">
        <v>605</v>
      </c>
    </row>
    <row r="2590" spans="1:5" x14ac:dyDescent="0.2">
      <c r="A2590" s="1" t="s">
        <v>788</v>
      </c>
      <c r="B2590" s="1" t="s">
        <v>60</v>
      </c>
      <c r="C2590" s="5">
        <f>DATE(2025, 2, 17) + TIME(12, 1, 57)</f>
        <v>45705.501354166663</v>
      </c>
      <c r="D2590" s="1" t="s">
        <v>638</v>
      </c>
      <c r="E2590" s="1" t="s">
        <v>940</v>
      </c>
    </row>
    <row r="2591" spans="1:5" x14ac:dyDescent="0.2">
      <c r="A2591" s="1" t="s">
        <v>788</v>
      </c>
      <c r="B2591" s="1" t="s">
        <v>69</v>
      </c>
      <c r="C2591" s="5">
        <f>DATE(2024, 12, 29) + TIME(13, 23, 26)</f>
        <v>45655.557939814818</v>
      </c>
      <c r="D2591" s="1" t="s">
        <v>640</v>
      </c>
      <c r="E2591" s="1" t="s">
        <v>520</v>
      </c>
    </row>
    <row r="2592" spans="1:5" x14ac:dyDescent="0.2">
      <c r="A2592" s="1" t="s">
        <v>788</v>
      </c>
      <c r="B2592" s="1" t="s">
        <v>682</v>
      </c>
      <c r="C2592" s="5">
        <f>DATE(2024, 11, 4) + TIME(15, 32, 16)</f>
        <v>45600.647407407407</v>
      </c>
      <c r="D2592" s="1" t="s">
        <v>3</v>
      </c>
      <c r="E2592" s="1" t="s">
        <v>1129</v>
      </c>
    </row>
    <row r="2593" spans="1:5" x14ac:dyDescent="0.2">
      <c r="A2593" s="1" t="s">
        <v>788</v>
      </c>
      <c r="B2593" s="1" t="s">
        <v>139</v>
      </c>
      <c r="C2593" s="5">
        <f>DATE(2024, 10, 10) + TIME(13, 9, 40)</f>
        <v>45575.548379629632</v>
      </c>
      <c r="D2593" s="1" t="s">
        <v>1054</v>
      </c>
      <c r="E2593" s="1" t="s">
        <v>145</v>
      </c>
    </row>
    <row r="2594" spans="1:5" x14ac:dyDescent="0.2">
      <c r="A2594" s="1" t="s">
        <v>788</v>
      </c>
      <c r="B2594" s="1" t="s">
        <v>4</v>
      </c>
      <c r="C2594" s="5">
        <f>DATE(2024, 9, 26) + TIME(15, 2, 54)</f>
        <v>45561.627013888887</v>
      </c>
      <c r="D2594" s="1" t="s">
        <v>3</v>
      </c>
      <c r="E2594" s="1" t="s">
        <v>313</v>
      </c>
    </row>
    <row r="2595" spans="1:5" x14ac:dyDescent="0.2">
      <c r="A2595" s="1" t="s">
        <v>788</v>
      </c>
      <c r="B2595" s="1" t="s">
        <v>60</v>
      </c>
      <c r="C2595" s="5">
        <f>DATE(2024, 6, 18) + TIME(13, 42, 48)</f>
        <v>45461.571388888886</v>
      </c>
      <c r="D2595" s="1" t="s">
        <v>398</v>
      </c>
      <c r="E2595" s="1" t="s">
        <v>142</v>
      </c>
    </row>
    <row r="2596" spans="1:5" x14ac:dyDescent="0.2">
      <c r="A2596" s="1" t="s">
        <v>805</v>
      </c>
      <c r="B2596" s="1" t="s">
        <v>139</v>
      </c>
      <c r="C2596" s="5">
        <f>DATE(2026, 3, 12) + TIME(14, 20, 5)</f>
        <v>46093.597280092596</v>
      </c>
      <c r="D2596" s="1" t="s">
        <v>863</v>
      </c>
      <c r="E2596" s="1" t="s">
        <v>0</v>
      </c>
    </row>
    <row r="2597" spans="1:5" x14ac:dyDescent="0.2">
      <c r="A2597" s="1" t="s">
        <v>805</v>
      </c>
      <c r="B2597" s="1" t="s">
        <v>271</v>
      </c>
      <c r="C2597" s="5">
        <f>DATE(2026, 3, 12) + TIME(14, 20, 5)</f>
        <v>46093.597280092596</v>
      </c>
      <c r="D2597" s="1" t="s">
        <v>863</v>
      </c>
      <c r="E2597" s="1" t="s">
        <v>0</v>
      </c>
    </row>
    <row r="2598" spans="1:5" x14ac:dyDescent="0.2">
      <c r="A2598" s="1" t="s">
        <v>805</v>
      </c>
      <c r="B2598" s="1" t="s">
        <v>272</v>
      </c>
      <c r="C2598" s="5">
        <f>DATE(2026, 3, 12) + TIME(14, 20, 5)</f>
        <v>46093.597280092596</v>
      </c>
      <c r="D2598" s="1" t="s">
        <v>863</v>
      </c>
      <c r="E2598" s="1" t="s">
        <v>0</v>
      </c>
    </row>
    <row r="2599" spans="1:5" x14ac:dyDescent="0.2">
      <c r="A2599" s="1" t="s">
        <v>805</v>
      </c>
      <c r="B2599" s="1" t="s">
        <v>60</v>
      </c>
      <c r="C2599" s="5">
        <f>DATE(2026, 3, 3) + TIME(13, 30, 8)</f>
        <v>46084.562592592592</v>
      </c>
      <c r="D2599" s="1" t="s">
        <v>65</v>
      </c>
      <c r="E2599" s="1" t="s">
        <v>758</v>
      </c>
    </row>
    <row r="2600" spans="1:5" x14ac:dyDescent="0.2">
      <c r="A2600" s="1" t="s">
        <v>805</v>
      </c>
      <c r="B2600" s="1" t="s">
        <v>323</v>
      </c>
      <c r="C2600" s="5">
        <f>DATE(2026, 2, 25) + TIME(14, 48, 2)</f>
        <v>46078.616689814815</v>
      </c>
      <c r="D2600" s="1" t="s">
        <v>3</v>
      </c>
      <c r="E2600" s="1" t="s">
        <v>646</v>
      </c>
    </row>
    <row r="2601" spans="1:5" x14ac:dyDescent="0.2">
      <c r="A2601" s="1" t="s">
        <v>805</v>
      </c>
      <c r="B2601" s="1" t="s">
        <v>60</v>
      </c>
      <c r="C2601" s="5">
        <f>DATE(2026, 2, 19) + TIME(10, 13, 14)</f>
        <v>46072.425856481481</v>
      </c>
      <c r="D2601" s="1" t="s">
        <v>640</v>
      </c>
      <c r="E2601" s="1" t="s">
        <v>283</v>
      </c>
    </row>
    <row r="2602" spans="1:5" x14ac:dyDescent="0.2">
      <c r="A2602" s="1" t="s">
        <v>805</v>
      </c>
      <c r="B2602" s="1" t="s">
        <v>60</v>
      </c>
      <c r="C2602" s="5">
        <f>DATE(2026, 2, 12) + TIME(9, 44, 58)</f>
        <v>46065.406226851854</v>
      </c>
      <c r="D2602" s="1" t="s">
        <v>65</v>
      </c>
      <c r="E2602" s="1" t="s">
        <v>164</v>
      </c>
    </row>
    <row r="2603" spans="1:5" x14ac:dyDescent="0.2">
      <c r="A2603" s="1" t="s">
        <v>805</v>
      </c>
      <c r="B2603" s="1" t="s">
        <v>60</v>
      </c>
      <c r="C2603" s="5">
        <f>DATE(2026, 2, 12) + TIME(9, 44, 58)</f>
        <v>46065.406226851854</v>
      </c>
      <c r="D2603" s="1" t="s">
        <v>65</v>
      </c>
      <c r="E2603" s="1" t="s">
        <v>164</v>
      </c>
    </row>
    <row r="2604" spans="1:5" x14ac:dyDescent="0.2">
      <c r="A2604" s="1" t="s">
        <v>805</v>
      </c>
      <c r="B2604" s="1" t="s">
        <v>69</v>
      </c>
      <c r="C2604" s="5">
        <f>DATE(2026, 2, 3) + TIME(15, 0, 48)</f>
        <v>46056.625555555554</v>
      </c>
      <c r="D2604" s="1" t="s">
        <v>863</v>
      </c>
      <c r="E2604" s="1" t="s">
        <v>0</v>
      </c>
    </row>
    <row r="2605" spans="1:5" x14ac:dyDescent="0.2">
      <c r="A2605" s="1" t="s">
        <v>805</v>
      </c>
      <c r="B2605" s="1" t="s">
        <v>933</v>
      </c>
      <c r="C2605" s="5">
        <f>DATE(2026, 2, 3) + TIME(15, 0, 48)</f>
        <v>46056.625555555554</v>
      </c>
      <c r="D2605" s="1" t="s">
        <v>863</v>
      </c>
      <c r="E2605" s="1" t="s">
        <v>0</v>
      </c>
    </row>
    <row r="2606" spans="1:5" x14ac:dyDescent="0.2">
      <c r="A2606" s="1" t="s">
        <v>805</v>
      </c>
      <c r="B2606" s="1" t="s">
        <v>60</v>
      </c>
      <c r="C2606" s="5">
        <f>DATE(2026, 2, 3) + TIME(15, 0, 48)</f>
        <v>46056.625555555554</v>
      </c>
      <c r="D2606" s="1" t="s">
        <v>863</v>
      </c>
      <c r="E2606" s="1" t="s">
        <v>0</v>
      </c>
    </row>
    <row r="2607" spans="1:5" x14ac:dyDescent="0.2">
      <c r="A2607" s="1" t="s">
        <v>805</v>
      </c>
      <c r="B2607" s="1" t="s">
        <v>69</v>
      </c>
      <c r="C2607" s="5">
        <f>DATE(2026, 1, 29) + TIME(9, 4, 17)</f>
        <v>46051.377974537034</v>
      </c>
      <c r="D2607" s="1" t="s">
        <v>65</v>
      </c>
      <c r="E2607" s="1" t="s">
        <v>164</v>
      </c>
    </row>
    <row r="2608" spans="1:5" x14ac:dyDescent="0.2">
      <c r="A2608" s="1" t="s">
        <v>805</v>
      </c>
      <c r="B2608" s="1" t="s">
        <v>60</v>
      </c>
      <c r="C2608" s="5">
        <f>DATE(2026, 1, 15) + TIME(14, 6, 18)</f>
        <v>46037.587708333333</v>
      </c>
      <c r="D2608" s="1" t="s">
        <v>638</v>
      </c>
      <c r="E2608" s="1" t="s">
        <v>397</v>
      </c>
    </row>
    <row r="2609" spans="1:5" x14ac:dyDescent="0.2">
      <c r="A2609" s="1" t="s">
        <v>805</v>
      </c>
      <c r="B2609" s="1" t="s">
        <v>323</v>
      </c>
      <c r="C2609" s="5">
        <f>DATE(2026, 1, 7) + TIME(9, 26, 46)</f>
        <v>46029.393587962964</v>
      </c>
      <c r="D2609" s="1" t="s">
        <v>269</v>
      </c>
      <c r="E2609" s="1" t="s">
        <v>588</v>
      </c>
    </row>
    <row r="2610" spans="1:5" x14ac:dyDescent="0.2">
      <c r="A2610" s="1" t="s">
        <v>805</v>
      </c>
      <c r="B2610" s="1" t="s">
        <v>927</v>
      </c>
      <c r="C2610" s="5">
        <f>DATE(2025, 12, 31) + TIME(11, 37, 17)</f>
        <v>46022.484224537038</v>
      </c>
      <c r="D2610" s="1" t="s">
        <v>3</v>
      </c>
      <c r="E2610" s="1" t="s">
        <v>175</v>
      </c>
    </row>
    <row r="2611" spans="1:5" x14ac:dyDescent="0.2">
      <c r="A2611" s="1" t="s">
        <v>805</v>
      </c>
      <c r="B2611" s="1" t="s">
        <v>526</v>
      </c>
      <c r="C2611" s="5">
        <f>DATE(2025, 12, 8) + TIME(10, 4, 15)</f>
        <v>45999.419618055559</v>
      </c>
      <c r="D2611" s="1" t="s">
        <v>64</v>
      </c>
      <c r="E2611" s="1" t="s">
        <v>419</v>
      </c>
    </row>
    <row r="2612" spans="1:5" x14ac:dyDescent="0.2">
      <c r="A2612" s="1" t="s">
        <v>805</v>
      </c>
      <c r="B2612" s="1" t="s">
        <v>60</v>
      </c>
      <c r="C2612" s="5">
        <f>DATE(2025, 12, 3) + TIME(9, 50, 7)</f>
        <v>45994.409803240742</v>
      </c>
      <c r="D2612" s="1" t="s">
        <v>65</v>
      </c>
      <c r="E2612" s="1" t="s">
        <v>598</v>
      </c>
    </row>
    <row r="2613" spans="1:5" x14ac:dyDescent="0.2">
      <c r="A2613" s="1" t="s">
        <v>805</v>
      </c>
      <c r="B2613" s="1" t="s">
        <v>866</v>
      </c>
      <c r="C2613" s="5">
        <f>DATE(2025, 11, 25) + TIME(12, 7, 6)</f>
        <v>45986.504930555559</v>
      </c>
      <c r="D2613" s="1" t="s">
        <v>216</v>
      </c>
      <c r="E2613" s="1" t="s">
        <v>182</v>
      </c>
    </row>
    <row r="2614" spans="1:5" x14ac:dyDescent="0.2">
      <c r="A2614" s="1" t="s">
        <v>805</v>
      </c>
      <c r="B2614" s="1" t="s">
        <v>60</v>
      </c>
      <c r="C2614" s="5">
        <f>DATE(2025, 11, 25) + TIME(12, 7, 6)</f>
        <v>45986.504930555559</v>
      </c>
      <c r="D2614" s="1" t="s">
        <v>216</v>
      </c>
      <c r="E2614" s="1" t="s">
        <v>182</v>
      </c>
    </row>
    <row r="2615" spans="1:5" x14ac:dyDescent="0.2">
      <c r="A2615" s="1" t="s">
        <v>805</v>
      </c>
      <c r="B2615" s="1" t="s">
        <v>866</v>
      </c>
      <c r="C2615" s="5">
        <f>DATE(2025, 11, 21) + TIME(9, 52, 53)</f>
        <v>45982.411724537036</v>
      </c>
      <c r="D2615" s="1" t="s">
        <v>398</v>
      </c>
      <c r="E2615" s="1" t="s">
        <v>241</v>
      </c>
    </row>
    <row r="2616" spans="1:5" x14ac:dyDescent="0.2">
      <c r="A2616" s="1" t="s">
        <v>805</v>
      </c>
      <c r="B2616" s="1" t="s">
        <v>60</v>
      </c>
      <c r="C2616" s="5">
        <f>DATE(2025, 11, 19) + TIME(13, 8, 23)</f>
        <v>45980.547488425924</v>
      </c>
      <c r="D2616" s="1" t="s">
        <v>216</v>
      </c>
      <c r="E2616" s="1" t="s">
        <v>184</v>
      </c>
    </row>
    <row r="2617" spans="1:5" x14ac:dyDescent="0.2">
      <c r="A2617" s="1" t="s">
        <v>805</v>
      </c>
      <c r="B2617" s="1" t="s">
        <v>866</v>
      </c>
      <c r="C2617" s="5">
        <f>DATE(2025, 11, 19) + TIME(13, 8, 23)</f>
        <v>45980.547488425924</v>
      </c>
      <c r="D2617" s="1" t="s">
        <v>216</v>
      </c>
      <c r="E2617" s="1" t="s">
        <v>184</v>
      </c>
    </row>
    <row r="2618" spans="1:5" x14ac:dyDescent="0.2">
      <c r="A2618" s="1" t="s">
        <v>805</v>
      </c>
      <c r="B2618" s="1" t="s">
        <v>866</v>
      </c>
      <c r="C2618" s="5">
        <f>DATE(2025, 11, 18) + TIME(14, 10, 0)</f>
        <v>45979.590277777781</v>
      </c>
      <c r="D2618" s="1" t="s">
        <v>863</v>
      </c>
      <c r="E2618" s="1" t="s">
        <v>186</v>
      </c>
    </row>
    <row r="2619" spans="1:5" x14ac:dyDescent="0.2">
      <c r="A2619" s="1" t="s">
        <v>805</v>
      </c>
      <c r="B2619" s="1" t="s">
        <v>866</v>
      </c>
      <c r="C2619" s="5">
        <f>DATE(2025, 11, 13) + TIME(14, 2, 42)</f>
        <v>45974.58520833333</v>
      </c>
      <c r="D2619" s="1" t="s">
        <v>64</v>
      </c>
      <c r="E2619" s="1" t="s">
        <v>886</v>
      </c>
    </row>
    <row r="2620" spans="1:5" x14ac:dyDescent="0.2">
      <c r="A2620" s="1" t="s">
        <v>805</v>
      </c>
      <c r="B2620" s="1" t="s">
        <v>564</v>
      </c>
      <c r="C2620" s="5">
        <f>DATE(2025, 11, 12) + TIME(9, 2, 21)</f>
        <v>45973.376631944448</v>
      </c>
      <c r="D2620" s="1" t="s">
        <v>398</v>
      </c>
      <c r="E2620" s="1" t="s">
        <v>241</v>
      </c>
    </row>
    <row r="2621" spans="1:5" x14ac:dyDescent="0.2">
      <c r="A2621" s="1" t="s">
        <v>805</v>
      </c>
      <c r="B2621" s="1" t="s">
        <v>564</v>
      </c>
      <c r="C2621" s="5">
        <f>DATE(2025, 11, 12) + TIME(7, 1, 11)</f>
        <v>45973.292488425926</v>
      </c>
      <c r="D2621" s="1" t="s">
        <v>398</v>
      </c>
      <c r="E2621" s="1" t="s">
        <v>954</v>
      </c>
    </row>
    <row r="2622" spans="1:5" x14ac:dyDescent="0.2">
      <c r="A2622" s="1" t="s">
        <v>805</v>
      </c>
      <c r="B2622" s="1" t="s">
        <v>69</v>
      </c>
      <c r="C2622" s="5">
        <f>DATE(2025, 10, 30) + TIME(9, 17, 3)</f>
        <v>45960.386840277781</v>
      </c>
      <c r="D2622" s="1" t="s">
        <v>640</v>
      </c>
      <c r="E2622" s="1" t="s">
        <v>333</v>
      </c>
    </row>
    <row r="2623" spans="1:5" x14ac:dyDescent="0.2">
      <c r="A2623" s="1" t="s">
        <v>805</v>
      </c>
      <c r="B2623" s="1" t="s">
        <v>564</v>
      </c>
      <c r="C2623" s="5">
        <f>DATE(2025, 10, 24) + TIME(13, 33, 0)</f>
        <v>45954.564583333333</v>
      </c>
      <c r="D2623" s="1" t="s">
        <v>398</v>
      </c>
      <c r="E2623" s="1" t="s">
        <v>895</v>
      </c>
    </row>
    <row r="2624" spans="1:5" x14ac:dyDescent="0.2">
      <c r="A2624" s="1" t="s">
        <v>805</v>
      </c>
      <c r="B2624" s="1" t="s">
        <v>564</v>
      </c>
      <c r="C2624" s="5">
        <f>DATE(2025, 10, 22) + TIME(11, 51, 50)</f>
        <v>45952.494328703702</v>
      </c>
      <c r="D2624" s="1" t="s">
        <v>396</v>
      </c>
      <c r="E2624" s="1" t="s">
        <v>662</v>
      </c>
    </row>
    <row r="2625" spans="1:5" x14ac:dyDescent="0.2">
      <c r="A2625" s="1" t="s">
        <v>805</v>
      </c>
      <c r="B2625" s="1" t="s">
        <v>866</v>
      </c>
      <c r="C2625" s="5">
        <f>DATE(2025, 10, 14) + TIME(11, 23, 38)</f>
        <v>45944.474745370368</v>
      </c>
      <c r="D2625" s="1" t="s">
        <v>65</v>
      </c>
      <c r="E2625" s="1" t="s">
        <v>111</v>
      </c>
    </row>
    <row r="2626" spans="1:5" x14ac:dyDescent="0.2">
      <c r="A2626" s="1" t="s">
        <v>805</v>
      </c>
      <c r="B2626" s="1" t="s">
        <v>60</v>
      </c>
      <c r="C2626" s="5">
        <f>DATE(2025, 10, 2) + TIME(8, 41, 48)</f>
        <v>45932.362361111111</v>
      </c>
      <c r="D2626" s="1" t="s">
        <v>750</v>
      </c>
      <c r="E2626" s="1" t="s">
        <v>610</v>
      </c>
    </row>
    <row r="2627" spans="1:5" x14ac:dyDescent="0.2">
      <c r="A2627" s="1" t="s">
        <v>805</v>
      </c>
      <c r="B2627" s="1" t="s">
        <v>323</v>
      </c>
      <c r="C2627" s="5">
        <f>DATE(2025, 9, 18) + TIME(8, 6, 43)</f>
        <v>45918.337997685187</v>
      </c>
      <c r="D2627" s="1" t="s">
        <v>750</v>
      </c>
      <c r="E2627" s="1" t="s">
        <v>610</v>
      </c>
    </row>
    <row r="2628" spans="1:5" x14ac:dyDescent="0.2">
      <c r="A2628" s="1" t="s">
        <v>805</v>
      </c>
      <c r="B2628" s="1" t="s">
        <v>323</v>
      </c>
      <c r="C2628" s="5">
        <f>DATE(2025, 9, 16) + TIME(12, 49, 57)</f>
        <v>45916.534687500003</v>
      </c>
      <c r="D2628" s="1" t="s">
        <v>255</v>
      </c>
      <c r="E2628" s="1" t="s">
        <v>610</v>
      </c>
    </row>
    <row r="2629" spans="1:5" x14ac:dyDescent="0.2">
      <c r="A2629" s="1" t="s">
        <v>805</v>
      </c>
      <c r="B2629" s="1" t="s">
        <v>323</v>
      </c>
      <c r="C2629" s="5">
        <f>DATE(2025, 9, 3) + TIME(13, 43, 18)</f>
        <v>45903.571736111109</v>
      </c>
      <c r="D2629" s="1" t="s">
        <v>396</v>
      </c>
      <c r="E2629" s="1" t="s">
        <v>547</v>
      </c>
    </row>
    <row r="2630" spans="1:5" x14ac:dyDescent="0.2">
      <c r="A2630" s="1" t="s">
        <v>805</v>
      </c>
      <c r="B2630" s="1" t="s">
        <v>69</v>
      </c>
      <c r="C2630" s="5">
        <f>DATE(2025, 8, 28) + TIME(14, 40, 38)</f>
        <v>45897.611550925925</v>
      </c>
      <c r="D2630" s="1" t="s">
        <v>148</v>
      </c>
      <c r="E2630" s="1" t="s">
        <v>469</v>
      </c>
    </row>
    <row r="2631" spans="1:5" x14ac:dyDescent="0.2">
      <c r="A2631" s="1" t="s">
        <v>805</v>
      </c>
      <c r="B2631" s="1" t="s">
        <v>60</v>
      </c>
      <c r="C2631" s="5">
        <f>DATE(2025, 8, 18) + TIME(12, 33, 17)</f>
        <v>45887.523113425923</v>
      </c>
      <c r="D2631" s="1" t="s">
        <v>563</v>
      </c>
      <c r="E2631" s="1" t="s">
        <v>965</v>
      </c>
    </row>
    <row r="2632" spans="1:5" x14ac:dyDescent="0.2">
      <c r="A2632" s="1" t="s">
        <v>805</v>
      </c>
      <c r="B2632" s="1" t="s">
        <v>60</v>
      </c>
      <c r="C2632" s="5">
        <f>DATE(2025, 8, 12) + TIME(14, 58, 49)</f>
        <v>45881.624178240738</v>
      </c>
      <c r="D2632" s="1" t="s">
        <v>65</v>
      </c>
      <c r="E2632" s="1" t="s">
        <v>379</v>
      </c>
    </row>
    <row r="2633" spans="1:5" x14ac:dyDescent="0.2">
      <c r="A2633" s="1" t="s">
        <v>805</v>
      </c>
      <c r="B2633" s="1" t="s">
        <v>60</v>
      </c>
      <c r="C2633" s="5">
        <f>DATE(2025, 8, 7) + TIME(16, 0, 4)</f>
        <v>45876.666712962964</v>
      </c>
      <c r="D2633" s="1" t="s">
        <v>563</v>
      </c>
      <c r="E2633" s="1" t="s">
        <v>935</v>
      </c>
    </row>
    <row r="2634" spans="1:5" x14ac:dyDescent="0.2">
      <c r="A2634" s="1" t="s">
        <v>805</v>
      </c>
      <c r="B2634" s="1" t="s">
        <v>69</v>
      </c>
      <c r="C2634" s="5">
        <f>DATE(2025, 7, 21) + TIME(13, 19, 7)</f>
        <v>45859.554942129631</v>
      </c>
      <c r="D2634" s="1" t="s">
        <v>216</v>
      </c>
      <c r="E2634" s="1" t="s">
        <v>665</v>
      </c>
    </row>
    <row r="2635" spans="1:5" x14ac:dyDescent="0.2">
      <c r="A2635" s="1" t="s">
        <v>805</v>
      </c>
      <c r="B2635" s="1" t="s">
        <v>139</v>
      </c>
      <c r="C2635" s="5">
        <f>DATE(2025, 6, 26) + TIME(15, 13, 8)</f>
        <v>45834.634120370371</v>
      </c>
      <c r="D2635" s="1" t="s">
        <v>563</v>
      </c>
      <c r="E2635" s="1" t="s">
        <v>935</v>
      </c>
    </row>
    <row r="2636" spans="1:5" x14ac:dyDescent="0.2">
      <c r="A2636" s="1" t="s">
        <v>805</v>
      </c>
      <c r="B2636" s="1" t="s">
        <v>69</v>
      </c>
      <c r="C2636" s="5">
        <f>DATE(2025, 6, 25) + TIME(14, 13, 37)</f>
        <v>45833.592789351853</v>
      </c>
      <c r="D2636" s="1" t="s">
        <v>216</v>
      </c>
      <c r="E2636" s="1" t="s">
        <v>851</v>
      </c>
    </row>
    <row r="2637" spans="1:5" x14ac:dyDescent="0.2">
      <c r="A2637" s="1" t="s">
        <v>805</v>
      </c>
      <c r="B2637" s="1" t="s">
        <v>69</v>
      </c>
      <c r="C2637" s="5">
        <f>DATE(2025, 6, 25) + TIME(12, 19, 5)</f>
        <v>45833.513252314813</v>
      </c>
      <c r="D2637" s="1" t="s">
        <v>216</v>
      </c>
      <c r="E2637" s="1" t="s">
        <v>741</v>
      </c>
    </row>
    <row r="2638" spans="1:5" x14ac:dyDescent="0.2">
      <c r="A2638" s="1" t="s">
        <v>805</v>
      </c>
      <c r="B2638" s="1" t="s">
        <v>323</v>
      </c>
      <c r="C2638" s="5">
        <f>DATE(2025, 6, 9) + TIME(13, 46, 15)</f>
        <v>45817.573784722219</v>
      </c>
      <c r="D2638" s="1" t="s">
        <v>216</v>
      </c>
      <c r="E2638" s="1" t="s">
        <v>607</v>
      </c>
    </row>
    <row r="2639" spans="1:5" x14ac:dyDescent="0.2">
      <c r="A2639" s="1" t="s">
        <v>805</v>
      </c>
      <c r="B2639" s="1" t="s">
        <v>564</v>
      </c>
      <c r="C2639" s="5">
        <f>DATE(2025, 5, 14) + TIME(14, 51, 37)</f>
        <v>45791.61917824074</v>
      </c>
      <c r="D2639" s="1" t="s">
        <v>398</v>
      </c>
      <c r="E2639" s="1" t="s">
        <v>142</v>
      </c>
    </row>
    <row r="2640" spans="1:5" x14ac:dyDescent="0.2">
      <c r="A2640" s="1" t="s">
        <v>805</v>
      </c>
      <c r="B2640" s="1" t="s">
        <v>927</v>
      </c>
      <c r="C2640" s="5">
        <f>DATE(2025, 5, 13) + TIME(13, 31, 52)</f>
        <v>45790.563796296294</v>
      </c>
      <c r="D2640" s="1" t="s">
        <v>65</v>
      </c>
      <c r="E2640" s="1" t="s">
        <v>694</v>
      </c>
    </row>
    <row r="2641" spans="1:5" x14ac:dyDescent="0.2">
      <c r="A2641" s="1" t="s">
        <v>805</v>
      </c>
      <c r="B2641" s="1" t="s">
        <v>927</v>
      </c>
      <c r="C2641" s="5">
        <f>DATE(2025, 5, 13) + TIME(11, 21, 14)</f>
        <v>45790.473078703704</v>
      </c>
      <c r="D2641" s="1" t="s">
        <v>65</v>
      </c>
      <c r="E2641" s="1" t="s">
        <v>758</v>
      </c>
    </row>
    <row r="2642" spans="1:5" x14ac:dyDescent="0.2">
      <c r="A2642" s="1" t="s">
        <v>805</v>
      </c>
      <c r="B2642" s="1" t="s">
        <v>866</v>
      </c>
      <c r="C2642" s="5">
        <f>DATE(2025, 5, 7) + TIME(11, 29, 46)</f>
        <v>45784.479004629633</v>
      </c>
      <c r="D2642" s="1" t="s">
        <v>216</v>
      </c>
      <c r="E2642" s="1" t="s">
        <v>741</v>
      </c>
    </row>
    <row r="2643" spans="1:5" x14ac:dyDescent="0.2">
      <c r="A2643" s="1" t="s">
        <v>805</v>
      </c>
      <c r="B2643" s="1" t="s">
        <v>69</v>
      </c>
      <c r="C2643" s="5">
        <f>DATE(2025, 5, 1) + TIME(14, 6, 5)</f>
        <v>45778.587557870371</v>
      </c>
      <c r="D2643" s="1" t="s">
        <v>640</v>
      </c>
      <c r="E2643" s="1" t="s">
        <v>838</v>
      </c>
    </row>
    <row r="2644" spans="1:5" x14ac:dyDescent="0.2">
      <c r="A2644" s="1" t="s">
        <v>805</v>
      </c>
      <c r="B2644" s="1" t="s">
        <v>560</v>
      </c>
      <c r="C2644" s="5">
        <f>DATE(2025, 4, 22) + TIME(4, 55, 37)</f>
        <v>45769.205289351848</v>
      </c>
      <c r="D2644" s="1" t="s">
        <v>3</v>
      </c>
      <c r="E2644" s="1" t="s">
        <v>646</v>
      </c>
    </row>
    <row r="2645" spans="1:5" x14ac:dyDescent="0.2">
      <c r="A2645" s="1" t="s">
        <v>805</v>
      </c>
      <c r="B2645" s="1" t="s">
        <v>927</v>
      </c>
      <c r="C2645" s="5">
        <f>DATE(2025, 4, 22) + TIME(4, 55, 37)</f>
        <v>45769.205289351848</v>
      </c>
      <c r="D2645" s="1" t="s">
        <v>3</v>
      </c>
      <c r="E2645" s="1" t="s">
        <v>646</v>
      </c>
    </row>
    <row r="2646" spans="1:5" x14ac:dyDescent="0.2">
      <c r="A2646" s="1" t="s">
        <v>805</v>
      </c>
      <c r="B2646" s="1" t="s">
        <v>866</v>
      </c>
      <c r="C2646" s="5">
        <f>DATE(2025, 4, 16) + TIME(13, 23, 0)</f>
        <v>45763.557638888888</v>
      </c>
      <c r="D2646" s="1" t="s">
        <v>3</v>
      </c>
      <c r="E2646" s="1" t="s">
        <v>646</v>
      </c>
    </row>
    <row r="2647" spans="1:5" x14ac:dyDescent="0.2">
      <c r="A2647" s="1" t="s">
        <v>805</v>
      </c>
      <c r="B2647" s="1" t="s">
        <v>564</v>
      </c>
      <c r="C2647" s="5">
        <f>DATE(2025, 4, 16) + TIME(13, 23, 0)</f>
        <v>45763.557638888888</v>
      </c>
      <c r="D2647" s="1" t="s">
        <v>3</v>
      </c>
      <c r="E2647" s="1" t="s">
        <v>646</v>
      </c>
    </row>
    <row r="2648" spans="1:5" x14ac:dyDescent="0.2">
      <c r="A2648" s="1" t="s">
        <v>805</v>
      </c>
      <c r="B2648" s="1" t="s">
        <v>272</v>
      </c>
      <c r="C2648" s="5">
        <f>DATE(2025, 4, 16) + TIME(13, 23, 0)</f>
        <v>45763.557638888888</v>
      </c>
      <c r="D2648" s="1" t="s">
        <v>3</v>
      </c>
      <c r="E2648" s="1" t="s">
        <v>646</v>
      </c>
    </row>
    <row r="2649" spans="1:5" x14ac:dyDescent="0.2">
      <c r="A2649" s="1" t="s">
        <v>805</v>
      </c>
      <c r="B2649" s="1" t="s">
        <v>323</v>
      </c>
      <c r="C2649" s="5">
        <f>DATE(2025, 4, 16) + TIME(13, 23, 0)</f>
        <v>45763.557638888888</v>
      </c>
      <c r="D2649" s="1" t="s">
        <v>3</v>
      </c>
      <c r="E2649" s="1" t="s">
        <v>646</v>
      </c>
    </row>
    <row r="2650" spans="1:5" x14ac:dyDescent="0.2">
      <c r="A2650" s="1" t="s">
        <v>805</v>
      </c>
      <c r="B2650" s="1" t="s">
        <v>69</v>
      </c>
      <c r="C2650" s="5">
        <f>DATE(2025, 4, 16) + TIME(10, 32, 57)</f>
        <v>45763.43954861111</v>
      </c>
      <c r="D2650" s="1" t="s">
        <v>640</v>
      </c>
      <c r="E2650" s="1" t="s">
        <v>838</v>
      </c>
    </row>
    <row r="2651" spans="1:5" x14ac:dyDescent="0.2">
      <c r="A2651" s="1" t="s">
        <v>805</v>
      </c>
      <c r="B2651" s="1" t="s">
        <v>866</v>
      </c>
      <c r="C2651" s="5">
        <f>DATE(2025, 4, 16) + TIME(10, 32, 57)</f>
        <v>45763.43954861111</v>
      </c>
      <c r="D2651" s="1" t="s">
        <v>640</v>
      </c>
      <c r="E2651" s="1" t="s">
        <v>838</v>
      </c>
    </row>
    <row r="2652" spans="1:5" x14ac:dyDescent="0.2">
      <c r="A2652" s="1" t="s">
        <v>805</v>
      </c>
      <c r="B2652" s="1" t="s">
        <v>323</v>
      </c>
      <c r="C2652" s="5">
        <f>DATE(2025, 4, 7) + TIME(12, 32, 40)</f>
        <v>45754.522685185184</v>
      </c>
      <c r="D2652" s="1" t="s">
        <v>320</v>
      </c>
      <c r="E2652" s="1" t="s">
        <v>683</v>
      </c>
    </row>
    <row r="2653" spans="1:5" x14ac:dyDescent="0.2">
      <c r="A2653" s="1" t="s">
        <v>805</v>
      </c>
      <c r="B2653" s="1" t="s">
        <v>866</v>
      </c>
      <c r="C2653" s="5">
        <f>DATE(2025, 3, 10) + TIME(11, 42, 37)</f>
        <v>45726.487928240742</v>
      </c>
      <c r="D2653" s="1" t="s">
        <v>65</v>
      </c>
      <c r="E2653" s="1" t="s">
        <v>916</v>
      </c>
    </row>
    <row r="2654" spans="1:5" x14ac:dyDescent="0.2">
      <c r="A2654" s="1" t="s">
        <v>805</v>
      </c>
      <c r="B2654" s="1" t="s">
        <v>60</v>
      </c>
      <c r="C2654" s="5">
        <f>DATE(2025, 3, 7) + TIME(12, 44, 7)</f>
        <v>45723.530636574076</v>
      </c>
      <c r="D2654" s="1" t="s">
        <v>65</v>
      </c>
      <c r="E2654" s="1" t="s">
        <v>1018</v>
      </c>
    </row>
    <row r="2655" spans="1:5" x14ac:dyDescent="0.2">
      <c r="A2655" s="1" t="s">
        <v>805</v>
      </c>
      <c r="B2655" s="1" t="s">
        <v>927</v>
      </c>
      <c r="C2655" s="5">
        <f>DATE(2025, 3, 4) + TIME(12, 52, 12)</f>
        <v>45720.536249999997</v>
      </c>
      <c r="D2655" s="1" t="s">
        <v>65</v>
      </c>
      <c r="E2655" s="1" t="s">
        <v>694</v>
      </c>
    </row>
    <row r="2656" spans="1:5" x14ac:dyDescent="0.2">
      <c r="A2656" s="1" t="s">
        <v>805</v>
      </c>
      <c r="B2656" s="1" t="s">
        <v>60</v>
      </c>
      <c r="C2656" s="5">
        <f>DATE(2025, 3, 4) + TIME(12, 52, 12)</f>
        <v>45720.536249999997</v>
      </c>
      <c r="D2656" s="1" t="s">
        <v>65</v>
      </c>
      <c r="E2656" s="1" t="s">
        <v>694</v>
      </c>
    </row>
    <row r="2657" spans="1:5" x14ac:dyDescent="0.2">
      <c r="A2657" s="1" t="s">
        <v>805</v>
      </c>
      <c r="B2657" s="1" t="s">
        <v>866</v>
      </c>
      <c r="C2657" s="5">
        <f>DATE(2025, 2, 27) + TIME(14, 6, 56)</f>
        <v>45715.588148148148</v>
      </c>
      <c r="D2657" s="1" t="s">
        <v>320</v>
      </c>
      <c r="E2657" s="1" t="s">
        <v>565</v>
      </c>
    </row>
    <row r="2658" spans="1:5" x14ac:dyDescent="0.2">
      <c r="A2658" s="1" t="s">
        <v>805</v>
      </c>
      <c r="B2658" s="1" t="s">
        <v>866</v>
      </c>
      <c r="C2658" s="5">
        <f>DATE(2025, 2, 19) + TIME(8, 35, 27)</f>
        <v>45707.357951388891</v>
      </c>
      <c r="D2658" s="1" t="s">
        <v>65</v>
      </c>
      <c r="E2658" s="1" t="s">
        <v>204</v>
      </c>
    </row>
    <row r="2659" spans="1:5" x14ac:dyDescent="0.2">
      <c r="A2659" s="1" t="s">
        <v>805</v>
      </c>
      <c r="B2659" s="1" t="s">
        <v>60</v>
      </c>
      <c r="C2659" s="5">
        <f>DATE(2025, 2, 4) + TIME(13, 15, 30)</f>
        <v>45692.552430555559</v>
      </c>
      <c r="D2659" s="1" t="s">
        <v>65</v>
      </c>
      <c r="E2659" s="1" t="s">
        <v>694</v>
      </c>
    </row>
    <row r="2660" spans="1:5" x14ac:dyDescent="0.2">
      <c r="A2660" s="1" t="s">
        <v>805</v>
      </c>
      <c r="B2660" s="1" t="s">
        <v>60</v>
      </c>
      <c r="C2660" s="5">
        <f>DATE(2025, 1, 20) + TIME(15, 58, 21)</f>
        <v>45677.665520833332</v>
      </c>
      <c r="D2660" s="1" t="s">
        <v>863</v>
      </c>
      <c r="E2660" s="1" t="s">
        <v>1058</v>
      </c>
    </row>
    <row r="2661" spans="1:5" x14ac:dyDescent="0.2">
      <c r="A2661" s="1" t="s">
        <v>805</v>
      </c>
      <c r="B2661" s="1" t="s">
        <v>69</v>
      </c>
      <c r="C2661" s="5">
        <f>DATE(2025, 1, 2) + TIME(12, 41, 4)</f>
        <v>45659.52851851852</v>
      </c>
      <c r="D2661" s="1" t="s">
        <v>640</v>
      </c>
      <c r="E2661" s="1" t="s">
        <v>520</v>
      </c>
    </row>
    <row r="2662" spans="1:5" x14ac:dyDescent="0.2">
      <c r="A2662" s="1" t="s">
        <v>805</v>
      </c>
      <c r="B2662" s="1" t="s">
        <v>323</v>
      </c>
      <c r="C2662" s="5">
        <f>DATE(2024, 12, 5) + TIME(16, 11, 33)</f>
        <v>45631.674687500003</v>
      </c>
      <c r="D2662" s="1" t="s">
        <v>398</v>
      </c>
      <c r="E2662" s="1" t="s">
        <v>142</v>
      </c>
    </row>
    <row r="2663" spans="1:5" x14ac:dyDescent="0.2">
      <c r="A2663" s="1" t="s">
        <v>805</v>
      </c>
      <c r="B2663" s="1" t="s">
        <v>60</v>
      </c>
      <c r="C2663" s="5">
        <f>DATE(2024, 12, 5) + TIME(13, 53, 45)</f>
        <v>45631.578993055555</v>
      </c>
      <c r="D2663" s="1" t="s">
        <v>398</v>
      </c>
      <c r="E2663" s="1" t="s">
        <v>675</v>
      </c>
    </row>
    <row r="2664" spans="1:5" x14ac:dyDescent="0.2">
      <c r="A2664" s="1" t="s">
        <v>805</v>
      </c>
      <c r="B2664" s="1" t="s">
        <v>866</v>
      </c>
      <c r="C2664" s="5">
        <f>DATE(2024, 11, 27) + TIME(11, 23, 27)</f>
        <v>45623.474618055552</v>
      </c>
      <c r="D2664" s="1" t="s">
        <v>459</v>
      </c>
      <c r="E2664" s="1" t="s">
        <v>164</v>
      </c>
    </row>
    <row r="2665" spans="1:5" x14ac:dyDescent="0.2">
      <c r="A2665" s="1" t="s">
        <v>805</v>
      </c>
      <c r="B2665" s="1" t="s">
        <v>60</v>
      </c>
      <c r="C2665" s="5">
        <f>DATE(2024, 10, 31) + TIME(15, 41, 23)</f>
        <v>45596.653738425928</v>
      </c>
      <c r="D2665" s="1" t="s">
        <v>506</v>
      </c>
      <c r="E2665" s="1" t="s">
        <v>709</v>
      </c>
    </row>
    <row r="2666" spans="1:5" x14ac:dyDescent="0.2">
      <c r="A2666" s="1" t="s">
        <v>805</v>
      </c>
      <c r="B2666" s="1" t="s">
        <v>564</v>
      </c>
      <c r="C2666" s="5">
        <f>DATE(2024, 10, 22) + TIME(14, 56, 30)</f>
        <v>45587.622569444444</v>
      </c>
      <c r="D2666" s="1" t="s">
        <v>65</v>
      </c>
      <c r="E2666" s="1" t="s">
        <v>379</v>
      </c>
    </row>
    <row r="2667" spans="1:5" x14ac:dyDescent="0.2">
      <c r="A2667" s="1" t="s">
        <v>805</v>
      </c>
      <c r="B2667" s="1" t="s">
        <v>69</v>
      </c>
      <c r="C2667" s="5">
        <f>DATE(2024, 10, 17) + TIME(13, 43, 44)</f>
        <v>45582.57203703704</v>
      </c>
      <c r="D2667" s="1" t="s">
        <v>459</v>
      </c>
      <c r="E2667" s="1" t="s">
        <v>881</v>
      </c>
    </row>
    <row r="2668" spans="1:5" x14ac:dyDescent="0.2">
      <c r="A2668" s="1" t="s">
        <v>805</v>
      </c>
      <c r="B2668" s="1" t="s">
        <v>323</v>
      </c>
      <c r="C2668" s="5">
        <f>DATE(2024, 10, 15) + TIME(13, 59, 49)</f>
        <v>45580.58320601852</v>
      </c>
      <c r="D2668" s="1" t="s">
        <v>65</v>
      </c>
      <c r="E2668" s="1" t="s">
        <v>555</v>
      </c>
    </row>
    <row r="2669" spans="1:5" x14ac:dyDescent="0.2">
      <c r="A2669" s="1" t="s">
        <v>805</v>
      </c>
      <c r="B2669" s="1" t="s">
        <v>323</v>
      </c>
      <c r="C2669" s="5">
        <f>DATE(2024, 10, 3) + TIME(12, 55, 9)</f>
        <v>45568.538298611114</v>
      </c>
      <c r="D2669" s="1" t="s">
        <v>320</v>
      </c>
      <c r="E2669" s="1" t="s">
        <v>2</v>
      </c>
    </row>
    <row r="2670" spans="1:5" x14ac:dyDescent="0.2">
      <c r="A2670" s="1" t="s">
        <v>805</v>
      </c>
      <c r="B2670" s="1" t="s">
        <v>60</v>
      </c>
      <c r="C2670" s="5">
        <f>DATE(2024, 10, 2) + TIME(8, 39, 20)</f>
        <v>45567.360648148147</v>
      </c>
      <c r="D2670" s="1" t="s">
        <v>638</v>
      </c>
      <c r="E2670" s="1" t="s">
        <v>1136</v>
      </c>
    </row>
    <row r="2671" spans="1:5" x14ac:dyDescent="0.2">
      <c r="A2671" s="1" t="s">
        <v>805</v>
      </c>
      <c r="B2671" s="1" t="s">
        <v>60</v>
      </c>
      <c r="C2671" s="5">
        <f>DATE(2024, 10, 1) + TIME(14, 45, 2)</f>
        <v>45566.614606481482</v>
      </c>
      <c r="D2671" s="1" t="s">
        <v>869</v>
      </c>
      <c r="E2671" s="1" t="s">
        <v>327</v>
      </c>
    </row>
    <row r="2672" spans="1:5" x14ac:dyDescent="0.2">
      <c r="A2672" s="1" t="s">
        <v>805</v>
      </c>
      <c r="B2672" s="1" t="s">
        <v>644</v>
      </c>
      <c r="C2672" s="5">
        <f>DATE(2024, 9, 3) + TIME(15, 51, 21)</f>
        <v>45538.66065972222</v>
      </c>
      <c r="D2672" s="1" t="s">
        <v>398</v>
      </c>
      <c r="E2672" s="1" t="s">
        <v>675</v>
      </c>
    </row>
    <row r="2673" spans="1:5" x14ac:dyDescent="0.2">
      <c r="A2673" s="1" t="s">
        <v>805</v>
      </c>
      <c r="B2673" s="1" t="s">
        <v>60</v>
      </c>
      <c r="C2673" s="5">
        <f>DATE(2024, 9, 3) + TIME(12, 56, 27)</f>
        <v>45538.539201388892</v>
      </c>
      <c r="D2673" s="1" t="s">
        <v>320</v>
      </c>
      <c r="E2673" s="1" t="s">
        <v>214</v>
      </c>
    </row>
    <row r="2674" spans="1:5" x14ac:dyDescent="0.2">
      <c r="A2674" s="1" t="s">
        <v>805</v>
      </c>
      <c r="B2674" s="1" t="s">
        <v>323</v>
      </c>
      <c r="C2674" s="5">
        <f>DATE(2024, 9, 3) + TIME(12, 56, 27)</f>
        <v>45538.539201388892</v>
      </c>
      <c r="D2674" s="1" t="s">
        <v>320</v>
      </c>
      <c r="E2674" s="1" t="s">
        <v>214</v>
      </c>
    </row>
    <row r="2675" spans="1:5" x14ac:dyDescent="0.2">
      <c r="A2675" s="1" t="s">
        <v>805</v>
      </c>
      <c r="B2675" s="1" t="s">
        <v>60</v>
      </c>
      <c r="C2675" s="5">
        <f>DATE(2024, 8, 27) + TIME(14, 24, 45)</f>
        <v>45531.60052083333</v>
      </c>
      <c r="D2675" s="1" t="s">
        <v>65</v>
      </c>
      <c r="E2675" s="1" t="s">
        <v>555</v>
      </c>
    </row>
    <row r="2676" spans="1:5" x14ac:dyDescent="0.2">
      <c r="A2676" s="1" t="s">
        <v>805</v>
      </c>
      <c r="B2676" s="1" t="s">
        <v>323</v>
      </c>
      <c r="C2676" s="5">
        <f>DATE(2024, 8, 27) + TIME(14, 24, 45)</f>
        <v>45531.60052083333</v>
      </c>
      <c r="D2676" s="1" t="s">
        <v>65</v>
      </c>
      <c r="E2676" s="1" t="s">
        <v>555</v>
      </c>
    </row>
    <row r="2677" spans="1:5" x14ac:dyDescent="0.2">
      <c r="A2677" s="1" t="s">
        <v>805</v>
      </c>
      <c r="B2677" s="1" t="s">
        <v>323</v>
      </c>
      <c r="C2677" s="5">
        <f>DATE(2024, 8, 20) + TIME(14, 42, 2)</f>
        <v>45524.612523148149</v>
      </c>
      <c r="D2677" s="1" t="s">
        <v>65</v>
      </c>
      <c r="E2677" s="1" t="s">
        <v>555</v>
      </c>
    </row>
    <row r="2678" spans="1:5" x14ac:dyDescent="0.2">
      <c r="A2678" s="1" t="s">
        <v>805</v>
      </c>
      <c r="B2678" s="1" t="s">
        <v>60</v>
      </c>
      <c r="C2678" s="5">
        <f>DATE(2024, 8, 20) + TIME(14, 42, 2)</f>
        <v>45524.612523148149</v>
      </c>
      <c r="D2678" s="1" t="s">
        <v>65</v>
      </c>
      <c r="E2678" s="1" t="s">
        <v>555</v>
      </c>
    </row>
    <row r="2679" spans="1:5" x14ac:dyDescent="0.2">
      <c r="A2679" s="1" t="s">
        <v>805</v>
      </c>
      <c r="B2679" s="1" t="s">
        <v>69</v>
      </c>
      <c r="C2679" s="5">
        <f>DATE(2024, 8, 13) + TIME(14, 19, 15)</f>
        <v>45517.596701388888</v>
      </c>
      <c r="D2679" s="1" t="s">
        <v>65</v>
      </c>
      <c r="E2679" s="1" t="s">
        <v>379</v>
      </c>
    </row>
    <row r="2680" spans="1:5" x14ac:dyDescent="0.2">
      <c r="A2680" s="1" t="s">
        <v>805</v>
      </c>
      <c r="B2680" s="1" t="s">
        <v>323</v>
      </c>
      <c r="C2680" s="5">
        <f>DATE(2024, 8, 13) + TIME(9, 53, 24)</f>
        <v>45517.412083333336</v>
      </c>
      <c r="D2680" s="1" t="s">
        <v>396</v>
      </c>
      <c r="E2680" s="1" t="s">
        <v>276</v>
      </c>
    </row>
    <row r="2681" spans="1:5" x14ac:dyDescent="0.2">
      <c r="A2681" s="1" t="s">
        <v>805</v>
      </c>
      <c r="B2681" s="1" t="s">
        <v>272</v>
      </c>
      <c r="C2681" s="5">
        <f>DATE(2024, 7, 24) + TIME(14, 27, 32)</f>
        <v>45497.602453703701</v>
      </c>
      <c r="D2681" s="1" t="s">
        <v>450</v>
      </c>
      <c r="E2681" s="1" t="s">
        <v>1233</v>
      </c>
    </row>
    <row r="2682" spans="1:5" x14ac:dyDescent="0.2">
      <c r="A2682" s="1" t="s">
        <v>805</v>
      </c>
      <c r="B2682" s="1" t="s">
        <v>866</v>
      </c>
      <c r="C2682" s="5">
        <f>DATE(2024, 7, 24) + TIME(14, 27, 32)</f>
        <v>45497.602453703701</v>
      </c>
      <c r="D2682" s="1" t="s">
        <v>450</v>
      </c>
      <c r="E2682" s="1" t="s">
        <v>1233</v>
      </c>
    </row>
    <row r="2683" spans="1:5" x14ac:dyDescent="0.2">
      <c r="A2683" s="1" t="s">
        <v>805</v>
      </c>
      <c r="B2683" s="1" t="s">
        <v>1234</v>
      </c>
      <c r="C2683" s="5">
        <f>DATE(2024, 7, 24) + TIME(14, 27, 32)</f>
        <v>45497.602453703701</v>
      </c>
      <c r="D2683" s="1" t="s">
        <v>450</v>
      </c>
      <c r="E2683" s="1" t="s">
        <v>1233</v>
      </c>
    </row>
    <row r="2684" spans="1:5" x14ac:dyDescent="0.2">
      <c r="A2684" s="1" t="s">
        <v>805</v>
      </c>
      <c r="B2684" s="1" t="s">
        <v>927</v>
      </c>
      <c r="C2684" s="5">
        <f>DATE(2024, 7, 24) + TIME(14, 27, 31)</f>
        <v>45497.602442129632</v>
      </c>
      <c r="D2684" s="1" t="s">
        <v>450</v>
      </c>
      <c r="E2684" s="1" t="s">
        <v>1233</v>
      </c>
    </row>
    <row r="2685" spans="1:5" x14ac:dyDescent="0.2">
      <c r="A2685" s="1" t="s">
        <v>805</v>
      </c>
      <c r="B2685" s="1" t="s">
        <v>22</v>
      </c>
      <c r="C2685" s="5">
        <f>DATE(2024, 7, 24) + TIME(14, 27, 31)</f>
        <v>45497.602442129632</v>
      </c>
      <c r="D2685" s="1" t="s">
        <v>450</v>
      </c>
      <c r="E2685" s="1" t="s">
        <v>1233</v>
      </c>
    </row>
    <row r="2686" spans="1:5" x14ac:dyDescent="0.2">
      <c r="A2686" s="1" t="s">
        <v>805</v>
      </c>
      <c r="B2686" s="1" t="s">
        <v>323</v>
      </c>
      <c r="C2686" s="5">
        <f>DATE(2024, 7, 16) + TIME(15, 55, 17)</f>
        <v>45489.663391203707</v>
      </c>
      <c r="D2686" s="1" t="s">
        <v>506</v>
      </c>
      <c r="E2686" s="1" t="s">
        <v>83</v>
      </c>
    </row>
    <row r="2687" spans="1:5" x14ac:dyDescent="0.2">
      <c r="A2687" s="1" t="s">
        <v>805</v>
      </c>
      <c r="B2687" s="1" t="s">
        <v>60</v>
      </c>
      <c r="C2687" s="5">
        <f>DATE(2024, 7, 2) + TIME(15, 19, 34)</f>
        <v>45475.63858796296</v>
      </c>
      <c r="D2687" s="1" t="s">
        <v>731</v>
      </c>
      <c r="E2687" s="1" t="s">
        <v>111</v>
      </c>
    </row>
    <row r="2688" spans="1:5" x14ac:dyDescent="0.2">
      <c r="A2688" s="1" t="s">
        <v>1276</v>
      </c>
      <c r="B2688" s="1" t="s">
        <v>682</v>
      </c>
      <c r="C2688" s="5">
        <f>DATE(2026, 3, 12) + TIME(14, 44, 5)</f>
        <v>46093.613946759258</v>
      </c>
      <c r="D2688" s="1" t="s">
        <v>269</v>
      </c>
      <c r="E2688" s="1" t="s">
        <v>270</v>
      </c>
    </row>
    <row r="2689" spans="1:5" x14ac:dyDescent="0.2">
      <c r="A2689" s="1" t="s">
        <v>1276</v>
      </c>
      <c r="B2689" s="1" t="s">
        <v>562</v>
      </c>
      <c r="C2689" s="5">
        <f>DATE(2026, 3, 12) + TIME(12, 56, 44)</f>
        <v>46093.539398148147</v>
      </c>
      <c r="D2689" s="1" t="s">
        <v>563</v>
      </c>
      <c r="E2689" s="1" t="s">
        <v>210</v>
      </c>
    </row>
    <row r="2690" spans="1:5" x14ac:dyDescent="0.2">
      <c r="A2690" s="1" t="s">
        <v>1276</v>
      </c>
      <c r="B2690" s="1" t="s">
        <v>61</v>
      </c>
      <c r="C2690" s="5">
        <f>DATE(2026, 3, 12) + TIME(11, 23, 24)</f>
        <v>46093.474583333336</v>
      </c>
      <c r="D2690" s="1" t="s">
        <v>3</v>
      </c>
      <c r="E2690" s="1" t="s">
        <v>684</v>
      </c>
    </row>
    <row r="2691" spans="1:5" x14ac:dyDescent="0.2">
      <c r="A2691" s="1" t="s">
        <v>1276</v>
      </c>
      <c r="B2691" s="1" t="s">
        <v>4</v>
      </c>
      <c r="C2691" s="5">
        <f>DATE(2026, 3, 12) + TIME(10, 26, 0)</f>
        <v>46093.43472222222</v>
      </c>
      <c r="D2691" s="1" t="s">
        <v>269</v>
      </c>
      <c r="E2691" s="1" t="s">
        <v>748</v>
      </c>
    </row>
    <row r="2692" spans="1:5" x14ac:dyDescent="0.2">
      <c r="A2692" s="1" t="s">
        <v>1276</v>
      </c>
      <c r="B2692" s="1" t="s">
        <v>61</v>
      </c>
      <c r="C2692" s="5">
        <f>DATE(2026, 3, 12) + TIME(9, 56, 14)</f>
        <v>46093.414050925923</v>
      </c>
      <c r="D2692" s="1" t="s">
        <v>3</v>
      </c>
      <c r="E2692" s="1" t="s">
        <v>211</v>
      </c>
    </row>
    <row r="2693" spans="1:5" x14ac:dyDescent="0.2">
      <c r="A2693" s="1" t="s">
        <v>1276</v>
      </c>
      <c r="B2693" s="1" t="s">
        <v>271</v>
      </c>
      <c r="C2693" s="5">
        <f>DATE(2026, 3, 11) + TIME(13, 52, 48)</f>
        <v>46092.578333333331</v>
      </c>
      <c r="D2693" s="1" t="s">
        <v>396</v>
      </c>
      <c r="E2693" s="1" t="s">
        <v>507</v>
      </c>
    </row>
    <row r="2694" spans="1:5" x14ac:dyDescent="0.2">
      <c r="A2694" s="1" t="s">
        <v>1276</v>
      </c>
      <c r="B2694" s="1" t="s">
        <v>562</v>
      </c>
      <c r="C2694" s="5">
        <f>DATE(2026, 3, 11) + TIME(12, 55, 7)</f>
        <v>46092.538275462961</v>
      </c>
      <c r="D2694" s="1" t="s">
        <v>5</v>
      </c>
      <c r="E2694" s="1" t="s">
        <v>568</v>
      </c>
    </row>
    <row r="2695" spans="1:5" x14ac:dyDescent="0.2">
      <c r="A2695" s="1" t="s">
        <v>1276</v>
      </c>
      <c r="B2695" s="1" t="s">
        <v>686</v>
      </c>
      <c r="C2695" s="5">
        <f>DATE(2026, 3, 11) + TIME(12, 48, 51)</f>
        <v>46092.53392361111</v>
      </c>
      <c r="D2695" s="1" t="s">
        <v>506</v>
      </c>
      <c r="E2695" s="1" t="s">
        <v>867</v>
      </c>
    </row>
    <row r="2696" spans="1:5" x14ac:dyDescent="0.2">
      <c r="A2696" s="1" t="s">
        <v>1276</v>
      </c>
      <c r="B2696" s="1" t="s">
        <v>562</v>
      </c>
      <c r="C2696" s="5">
        <f>DATE(2026, 3, 11) + TIME(12, 27, 20)</f>
        <v>46092.51898148148</v>
      </c>
      <c r="D2696" s="1" t="s">
        <v>320</v>
      </c>
      <c r="E2696" s="1" t="s">
        <v>917</v>
      </c>
    </row>
    <row r="2697" spans="1:5" x14ac:dyDescent="0.2">
      <c r="A2697" s="1" t="s">
        <v>1276</v>
      </c>
      <c r="B2697" s="1" t="s">
        <v>63</v>
      </c>
      <c r="C2697" s="5">
        <f>DATE(2026, 3, 11) + TIME(11, 51, 8)</f>
        <v>46092.493842592594</v>
      </c>
      <c r="D2697" s="1" t="s">
        <v>64</v>
      </c>
      <c r="E2697" s="1" t="s">
        <v>639</v>
      </c>
    </row>
    <row r="2698" spans="1:5" x14ac:dyDescent="0.2">
      <c r="A2698" s="1" t="s">
        <v>1276</v>
      </c>
      <c r="B2698" s="1" t="s">
        <v>61</v>
      </c>
      <c r="C2698" s="5">
        <f>DATE(2026, 3, 11) + TIME(11, 23, 57)</f>
        <v>46092.474965277775</v>
      </c>
      <c r="D2698" s="1" t="s">
        <v>65</v>
      </c>
      <c r="E2698" s="1" t="s">
        <v>918</v>
      </c>
    </row>
    <row r="2699" spans="1:5" x14ac:dyDescent="0.2">
      <c r="A2699" s="1" t="s">
        <v>1276</v>
      </c>
      <c r="B2699" s="1" t="s">
        <v>9</v>
      </c>
      <c r="C2699" s="5">
        <f>DATE(2026, 3, 11) + TIME(9, 50, 37)</f>
        <v>46092.410150462965</v>
      </c>
      <c r="D2699" s="1" t="s">
        <v>750</v>
      </c>
      <c r="E2699" s="1" t="s">
        <v>274</v>
      </c>
    </row>
    <row r="2700" spans="1:5" x14ac:dyDescent="0.2">
      <c r="A2700" s="1" t="s">
        <v>1276</v>
      </c>
      <c r="B2700" s="1" t="s">
        <v>66</v>
      </c>
      <c r="C2700" s="5">
        <f>DATE(2026, 3, 11) + TIME(9, 8, 23)</f>
        <v>46092.38082175926</v>
      </c>
      <c r="D2700" s="1" t="s">
        <v>750</v>
      </c>
      <c r="E2700" s="1" t="s">
        <v>321</v>
      </c>
    </row>
    <row r="2701" spans="1:5" x14ac:dyDescent="0.2">
      <c r="A2701" s="1" t="s">
        <v>1276</v>
      </c>
      <c r="B2701" s="1" t="s">
        <v>322</v>
      </c>
      <c r="C2701" s="5">
        <f>DATE(2026, 3, 11) + TIME(9, 8, 23)</f>
        <v>46092.38082175926</v>
      </c>
      <c r="D2701" s="1" t="s">
        <v>750</v>
      </c>
      <c r="E2701" s="1" t="s">
        <v>321</v>
      </c>
    </row>
    <row r="2702" spans="1:5" x14ac:dyDescent="0.2">
      <c r="A2702" s="1" t="s">
        <v>1276</v>
      </c>
      <c r="B2702" s="1" t="s">
        <v>508</v>
      </c>
      <c r="C2702" s="5">
        <f>DATE(2026, 3, 10) + TIME(16, 26, 51)</f>
        <v>46091.685312499998</v>
      </c>
      <c r="D2702" s="1" t="s">
        <v>750</v>
      </c>
      <c r="E2702" s="1" t="s">
        <v>11</v>
      </c>
    </row>
    <row r="2703" spans="1:5" x14ac:dyDescent="0.2">
      <c r="A2703" s="1" t="s">
        <v>1276</v>
      </c>
      <c r="B2703" s="1" t="s">
        <v>271</v>
      </c>
      <c r="C2703" s="5">
        <f>DATE(2026, 3, 10) + TIME(13, 41, 35)</f>
        <v>46091.570543981485</v>
      </c>
      <c r="D2703" s="1" t="s">
        <v>750</v>
      </c>
      <c r="E2703" s="1" t="s">
        <v>213</v>
      </c>
    </row>
    <row r="2704" spans="1:5" x14ac:dyDescent="0.2">
      <c r="A2704" s="1" t="s">
        <v>1276</v>
      </c>
      <c r="B2704" s="1" t="s">
        <v>61</v>
      </c>
      <c r="C2704" s="5">
        <f>DATE(2026, 3, 10) + TIME(13, 39, 17)</f>
        <v>46091.56894675926</v>
      </c>
      <c r="D2704" s="1" t="s">
        <v>3</v>
      </c>
      <c r="E2704" s="1" t="s">
        <v>13</v>
      </c>
    </row>
    <row r="2705" spans="1:5" x14ac:dyDescent="0.2">
      <c r="A2705" s="1" t="s">
        <v>1276</v>
      </c>
      <c r="B2705" s="1" t="s">
        <v>66</v>
      </c>
      <c r="C2705" s="5">
        <f>DATE(2026, 3, 10) + TIME(12, 2, 47)</f>
        <v>46091.501932870371</v>
      </c>
      <c r="D2705" s="1" t="s">
        <v>398</v>
      </c>
      <c r="E2705" s="1" t="s">
        <v>143</v>
      </c>
    </row>
    <row r="2706" spans="1:5" x14ac:dyDescent="0.2">
      <c r="A2706" s="1" t="s">
        <v>1276</v>
      </c>
      <c r="B2706" s="1" t="s">
        <v>569</v>
      </c>
      <c r="C2706" s="5">
        <f>DATE(2026, 3, 10) + TIME(11, 16, 51)</f>
        <v>46091.470034722224</v>
      </c>
      <c r="D2706" s="1" t="s">
        <v>269</v>
      </c>
      <c r="E2706" s="1" t="s">
        <v>12</v>
      </c>
    </row>
    <row r="2707" spans="1:5" x14ac:dyDescent="0.2">
      <c r="A2707" s="1" t="s">
        <v>1276</v>
      </c>
      <c r="B2707" s="1" t="s">
        <v>399</v>
      </c>
      <c r="C2707" s="5">
        <f>DATE(2026, 3, 10) + TIME(7, 36, 7)</f>
        <v>46091.316747685189</v>
      </c>
      <c r="D2707" s="1" t="s">
        <v>398</v>
      </c>
      <c r="E2707" s="1" t="s">
        <v>143</v>
      </c>
    </row>
    <row r="2708" spans="1:5" x14ac:dyDescent="0.2">
      <c r="A2708" s="1" t="s">
        <v>1276</v>
      </c>
      <c r="B2708" s="1" t="s">
        <v>919</v>
      </c>
      <c r="C2708" s="5">
        <f>DATE(2026, 3, 10) + TIME(7, 36, 6)</f>
        <v>46091.316736111112</v>
      </c>
      <c r="D2708" s="1" t="s">
        <v>398</v>
      </c>
      <c r="E2708" s="1" t="s">
        <v>143</v>
      </c>
    </row>
    <row r="2709" spans="1:5" x14ac:dyDescent="0.2">
      <c r="A2709" s="1" t="s">
        <v>1276</v>
      </c>
      <c r="B2709" s="1" t="s">
        <v>271</v>
      </c>
      <c r="C2709" s="5">
        <f>DATE(2026, 3, 10) + TIME(7, 22, 49)</f>
        <v>46091.307511574072</v>
      </c>
      <c r="D2709" s="1" t="s">
        <v>65</v>
      </c>
      <c r="E2709" s="1" t="s">
        <v>400</v>
      </c>
    </row>
    <row r="2710" spans="1:5" x14ac:dyDescent="0.2">
      <c r="A2710" s="1" t="s">
        <v>1276</v>
      </c>
      <c r="B2710" s="1" t="s">
        <v>14</v>
      </c>
      <c r="C2710" s="5">
        <f>DATE(2026, 3, 9) + TIME(16, 44, 31)</f>
        <v>46090.697581018518</v>
      </c>
      <c r="D2710" s="1" t="s">
        <v>64</v>
      </c>
      <c r="E2710" s="1" t="s">
        <v>641</v>
      </c>
    </row>
    <row r="2711" spans="1:5" x14ac:dyDescent="0.2">
      <c r="A2711" s="1" t="s">
        <v>1276</v>
      </c>
      <c r="B2711" s="1" t="s">
        <v>752</v>
      </c>
      <c r="C2711" s="5">
        <f>DATE(2026, 3, 9) + TIME(15, 30, 7)</f>
        <v>46090.645914351851</v>
      </c>
      <c r="D2711" s="1" t="s">
        <v>640</v>
      </c>
      <c r="E2711" s="1" t="s">
        <v>870</v>
      </c>
    </row>
    <row r="2712" spans="1:5" x14ac:dyDescent="0.2">
      <c r="A2712" s="1" t="s">
        <v>1276</v>
      </c>
      <c r="B2712" s="1" t="s">
        <v>271</v>
      </c>
      <c r="C2712" s="5">
        <f>DATE(2026, 3, 9) + TIME(14, 43, 14)</f>
        <v>46090.613356481481</v>
      </c>
      <c r="D2712" s="1" t="s">
        <v>640</v>
      </c>
      <c r="E2712" s="1" t="s">
        <v>753</v>
      </c>
    </row>
    <row r="2713" spans="1:5" x14ac:dyDescent="0.2">
      <c r="A2713" s="1" t="s">
        <v>1276</v>
      </c>
      <c r="B2713" s="1" t="s">
        <v>271</v>
      </c>
      <c r="C2713" s="5">
        <f>DATE(2026, 3, 9) + TIME(14, 22, 28)</f>
        <v>46090.598935185182</v>
      </c>
      <c r="D2713" s="1" t="s">
        <v>5</v>
      </c>
      <c r="E2713" s="1" t="s">
        <v>567</v>
      </c>
    </row>
    <row r="2714" spans="1:5" x14ac:dyDescent="0.2">
      <c r="A2714" s="1" t="s">
        <v>1276</v>
      </c>
      <c r="B2714" s="1" t="s">
        <v>277</v>
      </c>
      <c r="C2714" s="5">
        <f>DATE(2026, 3, 9) + TIME(14, 14, 48)</f>
        <v>46090.593611111108</v>
      </c>
      <c r="D2714" s="1" t="s">
        <v>754</v>
      </c>
      <c r="E2714" s="1" t="s">
        <v>755</v>
      </c>
    </row>
    <row r="2715" spans="1:5" x14ac:dyDescent="0.2">
      <c r="A2715" s="1" t="s">
        <v>1276</v>
      </c>
      <c r="B2715" s="1" t="s">
        <v>271</v>
      </c>
      <c r="C2715" s="5">
        <f>DATE(2026, 3, 9) + TIME(9, 18, 15)</f>
        <v>46090.387673611112</v>
      </c>
      <c r="D2715" s="1" t="s">
        <v>563</v>
      </c>
      <c r="E2715" s="1" t="s">
        <v>145</v>
      </c>
    </row>
    <row r="2716" spans="1:5" x14ac:dyDescent="0.2">
      <c r="A2716" s="1" t="s">
        <v>1276</v>
      </c>
      <c r="B2716" s="1" t="s">
        <v>15</v>
      </c>
      <c r="C2716" s="5">
        <f>DATE(2026, 3, 5) + TIME(16, 33, 48)</f>
        <v>46086.690138888887</v>
      </c>
      <c r="D2716" s="1" t="s">
        <v>398</v>
      </c>
      <c r="E2716" s="1" t="s">
        <v>324</v>
      </c>
    </row>
    <row r="2717" spans="1:5" x14ac:dyDescent="0.2">
      <c r="A2717" s="1" t="s">
        <v>1276</v>
      </c>
      <c r="B2717" s="1" t="s">
        <v>146</v>
      </c>
      <c r="C2717" s="5">
        <f>DATE(2026, 3, 5) + TIME(16, 33, 48)</f>
        <v>46086.690138888887</v>
      </c>
      <c r="D2717" s="1" t="s">
        <v>398</v>
      </c>
      <c r="E2717" s="1" t="s">
        <v>324</v>
      </c>
    </row>
    <row r="2718" spans="1:5" x14ac:dyDescent="0.2">
      <c r="A2718" s="1" t="s">
        <v>1276</v>
      </c>
      <c r="B2718" s="1" t="s">
        <v>402</v>
      </c>
      <c r="C2718" s="5">
        <f>DATE(2026, 3, 5) + TIME(16, 33, 48)</f>
        <v>46086.690138888887</v>
      </c>
      <c r="D2718" s="1" t="s">
        <v>398</v>
      </c>
      <c r="E2718" s="1" t="s">
        <v>324</v>
      </c>
    </row>
    <row r="2719" spans="1:5" x14ac:dyDescent="0.2">
      <c r="A2719" s="1" t="s">
        <v>1276</v>
      </c>
      <c r="B2719" s="1" t="s">
        <v>688</v>
      </c>
      <c r="C2719" s="5">
        <f>DATE(2026, 3, 5) + TIME(16, 17, 41)</f>
        <v>46086.678946759261</v>
      </c>
      <c r="D2719" s="1" t="s">
        <v>398</v>
      </c>
      <c r="E2719" s="1" t="s">
        <v>325</v>
      </c>
    </row>
    <row r="2720" spans="1:5" x14ac:dyDescent="0.2">
      <c r="A2720" s="1" t="s">
        <v>1276</v>
      </c>
      <c r="B2720" s="1" t="s">
        <v>15</v>
      </c>
      <c r="C2720" s="5">
        <f>DATE(2026, 3, 5) + TIME(15, 51, 38)</f>
        <v>46086.660856481481</v>
      </c>
      <c r="D2720" s="1" t="s">
        <v>506</v>
      </c>
      <c r="E2720" s="1" t="s">
        <v>510</v>
      </c>
    </row>
    <row r="2721" spans="1:5" x14ac:dyDescent="0.2">
      <c r="A2721" s="1" t="s">
        <v>1276</v>
      </c>
      <c r="B2721" s="1" t="s">
        <v>215</v>
      </c>
      <c r="C2721" s="5">
        <f>DATE(2026, 3, 5) + TIME(15, 51, 38)</f>
        <v>46086.660856481481</v>
      </c>
      <c r="D2721" s="1" t="s">
        <v>506</v>
      </c>
      <c r="E2721" s="1" t="s">
        <v>867</v>
      </c>
    </row>
    <row r="2722" spans="1:5" x14ac:dyDescent="0.2">
      <c r="A2722" s="1" t="s">
        <v>1276</v>
      </c>
      <c r="B2722" s="1" t="s">
        <v>807</v>
      </c>
      <c r="C2722" s="5">
        <f>DATE(2026, 3, 5) + TIME(15, 35, 53)</f>
        <v>46086.649918981479</v>
      </c>
      <c r="D2722" s="1" t="s">
        <v>506</v>
      </c>
      <c r="E2722" s="1" t="s">
        <v>808</v>
      </c>
    </row>
    <row r="2723" spans="1:5" x14ac:dyDescent="0.2">
      <c r="A2723" s="1" t="s">
        <v>1276</v>
      </c>
      <c r="B2723" s="1" t="s">
        <v>562</v>
      </c>
      <c r="C2723" s="5">
        <f>DATE(2026, 3, 5) + TIME(15, 9, 51)</f>
        <v>46086.631840277776</v>
      </c>
      <c r="D2723" s="1" t="s">
        <v>638</v>
      </c>
      <c r="E2723" s="1" t="s">
        <v>147</v>
      </c>
    </row>
    <row r="2724" spans="1:5" x14ac:dyDescent="0.2">
      <c r="A2724" s="1" t="s">
        <v>1276</v>
      </c>
      <c r="B2724" s="1" t="s">
        <v>69</v>
      </c>
      <c r="C2724" s="5">
        <f>DATE(2026, 3, 5) + TIME(14, 53, 37)</f>
        <v>46086.620567129627</v>
      </c>
      <c r="D2724" s="1" t="s">
        <v>506</v>
      </c>
      <c r="E2724" s="1" t="s">
        <v>920</v>
      </c>
    </row>
    <row r="2725" spans="1:5" x14ac:dyDescent="0.2">
      <c r="A2725" s="1" t="s">
        <v>1276</v>
      </c>
      <c r="B2725" s="1" t="s">
        <v>460</v>
      </c>
      <c r="C2725" s="5">
        <f>DATE(2026, 3, 5) + TIME(14, 5, 51)</f>
        <v>46086.587395833332</v>
      </c>
      <c r="D2725" s="1" t="s">
        <v>640</v>
      </c>
      <c r="E2725" s="1" t="s">
        <v>870</v>
      </c>
    </row>
    <row r="2726" spans="1:5" x14ac:dyDescent="0.2">
      <c r="A2726" s="1" t="s">
        <v>1276</v>
      </c>
      <c r="B2726" s="1" t="s">
        <v>690</v>
      </c>
      <c r="C2726" s="5">
        <f>DATE(2026, 3, 5) + TIME(13, 57, 26)</f>
        <v>46086.581550925926</v>
      </c>
      <c r="D2726" s="1" t="s">
        <v>563</v>
      </c>
      <c r="E2726" s="1" t="s">
        <v>210</v>
      </c>
    </row>
    <row r="2727" spans="1:5" x14ac:dyDescent="0.2">
      <c r="A2727" s="1" t="s">
        <v>1276</v>
      </c>
      <c r="B2727" s="1" t="s">
        <v>271</v>
      </c>
      <c r="C2727" s="5">
        <f>DATE(2026, 3, 5) + TIME(13, 57, 26)</f>
        <v>46086.581550925926</v>
      </c>
      <c r="D2727" s="1" t="s">
        <v>563</v>
      </c>
      <c r="E2727" s="1" t="s">
        <v>210</v>
      </c>
    </row>
    <row r="2728" spans="1:5" x14ac:dyDescent="0.2">
      <c r="A2728" s="1" t="s">
        <v>1276</v>
      </c>
      <c r="B2728" s="1" t="s">
        <v>271</v>
      </c>
      <c r="C2728" s="5">
        <f>DATE(2026, 3, 5) + TIME(12, 38, 1)</f>
        <v>46086.526400462964</v>
      </c>
      <c r="D2728" s="1" t="s">
        <v>563</v>
      </c>
      <c r="E2728" s="1" t="s">
        <v>809</v>
      </c>
    </row>
    <row r="2729" spans="1:5" x14ac:dyDescent="0.2">
      <c r="A2729" s="1" t="s">
        <v>1276</v>
      </c>
      <c r="B2729" s="1" t="s">
        <v>643</v>
      </c>
      <c r="C2729" s="5">
        <f>DATE(2026, 3, 5) + TIME(12, 5, 38)</f>
        <v>46086.503912037035</v>
      </c>
      <c r="D2729" s="1" t="s">
        <v>640</v>
      </c>
      <c r="E2729" s="1" t="s">
        <v>70</v>
      </c>
    </row>
    <row r="2730" spans="1:5" x14ac:dyDescent="0.2">
      <c r="A2730" s="1" t="s">
        <v>1276</v>
      </c>
      <c r="B2730" s="1" t="s">
        <v>692</v>
      </c>
      <c r="C2730" s="5">
        <f>DATE(2026, 3, 5) + TIME(10, 14, 25)</f>
        <v>46086.426678240743</v>
      </c>
      <c r="D2730" s="1" t="s">
        <v>869</v>
      </c>
      <c r="E2730" s="1" t="s">
        <v>16</v>
      </c>
    </row>
    <row r="2731" spans="1:5" x14ac:dyDescent="0.2">
      <c r="A2731" s="1" t="s">
        <v>1276</v>
      </c>
      <c r="B2731" s="1" t="s">
        <v>271</v>
      </c>
      <c r="C2731" s="5">
        <f>DATE(2026, 3, 5) + TIME(3, 33, 12)</f>
        <v>46086.148055555554</v>
      </c>
      <c r="D2731" s="1" t="s">
        <v>65</v>
      </c>
      <c r="E2731" s="1" t="s">
        <v>400</v>
      </c>
    </row>
    <row r="2732" spans="1:5" x14ac:dyDescent="0.2">
      <c r="A2732" s="1" t="s">
        <v>1276</v>
      </c>
      <c r="B2732" s="1" t="s">
        <v>278</v>
      </c>
      <c r="C2732" s="5">
        <f>DATE(2026, 3, 4) + TIME(16, 20, 10)</f>
        <v>46085.680671296293</v>
      </c>
      <c r="D2732" s="1" t="s">
        <v>566</v>
      </c>
      <c r="E2732" s="1" t="s">
        <v>71</v>
      </c>
    </row>
    <row r="2733" spans="1:5" x14ac:dyDescent="0.2">
      <c r="A2733" s="1" t="s">
        <v>1276</v>
      </c>
      <c r="B2733" s="1" t="s">
        <v>810</v>
      </c>
      <c r="C2733" s="5">
        <f>DATE(2026, 3, 4) + TIME(16, 17, 55)</f>
        <v>46085.679108796299</v>
      </c>
      <c r="D2733" s="1" t="s">
        <v>871</v>
      </c>
      <c r="E2733" s="1" t="s">
        <v>149</v>
      </c>
    </row>
    <row r="2734" spans="1:5" x14ac:dyDescent="0.2">
      <c r="A2734" s="1" t="s">
        <v>1276</v>
      </c>
      <c r="B2734" s="1" t="s">
        <v>866</v>
      </c>
      <c r="C2734" s="5">
        <f>DATE(2026, 3, 4) + TIME(15, 50, 29)</f>
        <v>46085.660057870373</v>
      </c>
      <c r="D2734" s="1" t="s">
        <v>869</v>
      </c>
      <c r="E2734" s="1" t="s">
        <v>327</v>
      </c>
    </row>
    <row r="2735" spans="1:5" x14ac:dyDescent="0.2">
      <c r="A2735" s="1" t="s">
        <v>1276</v>
      </c>
      <c r="B2735" s="1" t="s">
        <v>72</v>
      </c>
      <c r="C2735" s="5">
        <f>DATE(2026, 3, 4) + TIME(15, 12, 45)</f>
        <v>46085.63385416667</v>
      </c>
      <c r="D2735" s="1" t="s">
        <v>3</v>
      </c>
      <c r="E2735" s="1" t="s">
        <v>73</v>
      </c>
    </row>
    <row r="2736" spans="1:5" x14ac:dyDescent="0.2">
      <c r="A2736" s="1" t="s">
        <v>1276</v>
      </c>
      <c r="B2736" s="1" t="s">
        <v>146</v>
      </c>
      <c r="C2736" s="5">
        <f>DATE(2026, 3, 4) + TIME(14, 56, 1)</f>
        <v>46085.622233796297</v>
      </c>
      <c r="D2736" s="1" t="s">
        <v>3</v>
      </c>
      <c r="E2736" s="1" t="s">
        <v>73</v>
      </c>
    </row>
    <row r="2737" spans="1:5" x14ac:dyDescent="0.2">
      <c r="A2737" s="1" t="s">
        <v>1276</v>
      </c>
      <c r="B2737" s="1" t="s">
        <v>686</v>
      </c>
      <c r="C2737" s="5">
        <f>DATE(2026, 3, 4) + TIME(13, 26, 47)</f>
        <v>46085.560266203705</v>
      </c>
      <c r="D2737" s="1" t="s">
        <v>398</v>
      </c>
      <c r="E2737" s="1" t="s">
        <v>922</v>
      </c>
    </row>
    <row r="2738" spans="1:5" x14ac:dyDescent="0.2">
      <c r="A2738" s="1" t="s">
        <v>1276</v>
      </c>
      <c r="B2738" s="1" t="s">
        <v>150</v>
      </c>
      <c r="C2738" s="5">
        <f>DATE(2026, 3, 4) + TIME(12, 37, 5)</f>
        <v>46085.525752314818</v>
      </c>
      <c r="D2738" s="1" t="s">
        <v>923</v>
      </c>
      <c r="E2738" s="1" t="s">
        <v>462</v>
      </c>
    </row>
    <row r="2739" spans="1:5" x14ac:dyDescent="0.2">
      <c r="A2739" s="1" t="s">
        <v>1276</v>
      </c>
      <c r="B2739" s="1" t="s">
        <v>866</v>
      </c>
      <c r="C2739" s="5">
        <f>DATE(2026, 3, 4) + TIME(12, 21, 23)</f>
        <v>46085.514849537038</v>
      </c>
      <c r="D2739" s="1" t="s">
        <v>269</v>
      </c>
      <c r="E2739" s="1" t="s">
        <v>511</v>
      </c>
    </row>
    <row r="2740" spans="1:5" x14ac:dyDescent="0.2">
      <c r="A2740" s="1" t="s">
        <v>1276</v>
      </c>
      <c r="B2740" s="1" t="s">
        <v>562</v>
      </c>
      <c r="C2740" s="5">
        <f>DATE(2026, 3, 4) + TIME(12, 1, 40)</f>
        <v>46085.501157407409</v>
      </c>
      <c r="D2740" s="1" t="s">
        <v>320</v>
      </c>
      <c r="E2740" s="1" t="s">
        <v>872</v>
      </c>
    </row>
    <row r="2741" spans="1:5" x14ac:dyDescent="0.2">
      <c r="A2741" s="1" t="s">
        <v>1276</v>
      </c>
      <c r="B2741" s="1" t="s">
        <v>271</v>
      </c>
      <c r="C2741" s="5">
        <f>DATE(2026, 3, 4) + TIME(11, 32, 50)</f>
        <v>46085.481134259258</v>
      </c>
      <c r="D2741" s="1" t="s">
        <v>65</v>
      </c>
      <c r="E2741" s="1" t="s">
        <v>918</v>
      </c>
    </row>
    <row r="2742" spans="1:5" x14ac:dyDescent="0.2">
      <c r="A2742" s="1" t="s">
        <v>1276</v>
      </c>
      <c r="B2742" s="1" t="s">
        <v>271</v>
      </c>
      <c r="C2742" s="5">
        <f>DATE(2026, 3, 4) + TIME(11, 27, 33)</f>
        <v>46085.477465277778</v>
      </c>
      <c r="D2742" s="1" t="s">
        <v>5</v>
      </c>
      <c r="E2742" s="1" t="s">
        <v>74</v>
      </c>
    </row>
    <row r="2743" spans="1:5" x14ac:dyDescent="0.2">
      <c r="A2743" s="1" t="s">
        <v>1276</v>
      </c>
      <c r="B2743" s="1" t="s">
        <v>569</v>
      </c>
      <c r="C2743" s="5">
        <f>DATE(2026, 3, 4) + TIME(10, 10, 24)</f>
        <v>46085.423888888887</v>
      </c>
      <c r="D2743" s="1" t="s">
        <v>269</v>
      </c>
      <c r="E2743" s="1" t="s">
        <v>12</v>
      </c>
    </row>
    <row r="2744" spans="1:5" x14ac:dyDescent="0.2">
      <c r="A2744" s="1" t="s">
        <v>1276</v>
      </c>
      <c r="B2744" s="1" t="s">
        <v>271</v>
      </c>
      <c r="C2744" s="5">
        <f>DATE(2026, 3, 4) + TIME(9, 41, 5)</f>
        <v>46085.40353009259</v>
      </c>
      <c r="D2744" s="1" t="s">
        <v>64</v>
      </c>
      <c r="E2744" s="1" t="s">
        <v>639</v>
      </c>
    </row>
    <row r="2745" spans="1:5" x14ac:dyDescent="0.2">
      <c r="A2745" s="1" t="s">
        <v>1276</v>
      </c>
      <c r="B2745" s="1" t="s">
        <v>328</v>
      </c>
      <c r="C2745" s="5">
        <f>DATE(2026, 3, 3) + TIME(15, 30, 34)</f>
        <v>46084.646226851852</v>
      </c>
      <c r="D2745" s="1" t="s">
        <v>750</v>
      </c>
      <c r="E2745" s="1" t="s">
        <v>279</v>
      </c>
    </row>
    <row r="2746" spans="1:5" x14ac:dyDescent="0.2">
      <c r="A2746" s="1" t="s">
        <v>1276</v>
      </c>
      <c r="B2746" s="1" t="s">
        <v>69</v>
      </c>
      <c r="C2746" s="5">
        <f>DATE(2026, 3, 3) + TIME(15, 29, 17)</f>
        <v>46084.645335648151</v>
      </c>
      <c r="D2746" s="1" t="s">
        <v>750</v>
      </c>
      <c r="E2746" s="1" t="s">
        <v>279</v>
      </c>
    </row>
    <row r="2747" spans="1:5" x14ac:dyDescent="0.2">
      <c r="A2747" s="1" t="s">
        <v>1276</v>
      </c>
      <c r="B2747" s="1" t="s">
        <v>60</v>
      </c>
      <c r="C2747" s="5">
        <f>DATE(2026, 3, 3) + TIME(13, 30, 8)</f>
        <v>46084.562592592592</v>
      </c>
      <c r="D2747" s="1" t="s">
        <v>65</v>
      </c>
      <c r="E2747" s="1" t="s">
        <v>758</v>
      </c>
    </row>
    <row r="2748" spans="1:5" x14ac:dyDescent="0.2">
      <c r="A2748" s="1" t="s">
        <v>1276</v>
      </c>
      <c r="B2748" s="1" t="s">
        <v>271</v>
      </c>
      <c r="C2748" s="5">
        <f>DATE(2026, 3, 3) + TIME(13, 28, 25)</f>
        <v>46084.561400462961</v>
      </c>
      <c r="D2748" s="1" t="s">
        <v>65</v>
      </c>
      <c r="E2748" s="1" t="s">
        <v>152</v>
      </c>
    </row>
    <row r="2749" spans="1:5" x14ac:dyDescent="0.2">
      <c r="A2749" s="1" t="s">
        <v>1276</v>
      </c>
      <c r="B2749" s="1" t="s">
        <v>60</v>
      </c>
      <c r="C2749" s="5">
        <f>DATE(2026, 3, 3) + TIME(13, 18, 4)</f>
        <v>46084.554212962961</v>
      </c>
      <c r="D2749" s="1" t="s">
        <v>65</v>
      </c>
      <c r="E2749" s="1" t="s">
        <v>694</v>
      </c>
    </row>
    <row r="2750" spans="1:5" x14ac:dyDescent="0.2">
      <c r="A2750" s="1" t="s">
        <v>1276</v>
      </c>
      <c r="B2750" s="1" t="s">
        <v>153</v>
      </c>
      <c r="C2750" s="5">
        <f>DATE(2026, 3, 3) + TIME(12, 46, 59)</f>
        <v>46084.532627314817</v>
      </c>
      <c r="D2750" s="1" t="s">
        <v>869</v>
      </c>
      <c r="E2750" s="1" t="s">
        <v>275</v>
      </c>
    </row>
    <row r="2751" spans="1:5" x14ac:dyDescent="0.2">
      <c r="A2751" s="1" t="s">
        <v>1276</v>
      </c>
      <c r="B2751" s="1" t="s">
        <v>759</v>
      </c>
      <c r="C2751" s="5">
        <f>DATE(2026, 3, 3) + TIME(12, 32, 56)</f>
        <v>46084.522870370369</v>
      </c>
      <c r="D2751" s="1" t="s">
        <v>921</v>
      </c>
      <c r="E2751" s="1" t="s">
        <v>572</v>
      </c>
    </row>
    <row r="2752" spans="1:5" x14ac:dyDescent="0.2">
      <c r="A2752" s="1" t="s">
        <v>1276</v>
      </c>
      <c r="B2752" s="1" t="s">
        <v>271</v>
      </c>
      <c r="C2752" s="5">
        <f>DATE(2026, 3, 3) + TIME(11, 9, 8)</f>
        <v>46084.464675925927</v>
      </c>
      <c r="D2752" s="1" t="s">
        <v>3</v>
      </c>
      <c r="E2752" s="1" t="s">
        <v>925</v>
      </c>
    </row>
    <row r="2753" spans="1:5" x14ac:dyDescent="0.2">
      <c r="A2753" s="1" t="s">
        <v>1276</v>
      </c>
      <c r="B2753" s="1" t="s">
        <v>14</v>
      </c>
      <c r="C2753" s="5">
        <f>DATE(2026, 3, 3) + TIME(9, 28, 57)</f>
        <v>46084.395104166666</v>
      </c>
      <c r="D2753" s="1" t="s">
        <v>750</v>
      </c>
      <c r="E2753" s="1" t="s">
        <v>873</v>
      </c>
    </row>
    <row r="2754" spans="1:5" x14ac:dyDescent="0.2">
      <c r="A2754" s="1" t="s">
        <v>1276</v>
      </c>
      <c r="B2754" s="1" t="s">
        <v>271</v>
      </c>
      <c r="C2754" s="5">
        <f>DATE(2026, 3, 3) + TIME(9, 10, 31)</f>
        <v>46084.382303240738</v>
      </c>
      <c r="D2754" s="1" t="s">
        <v>65</v>
      </c>
      <c r="E2754" s="1" t="s">
        <v>404</v>
      </c>
    </row>
    <row r="2755" spans="1:5" x14ac:dyDescent="0.2">
      <c r="A2755" s="1" t="s">
        <v>1276</v>
      </c>
      <c r="B2755" s="1" t="s">
        <v>271</v>
      </c>
      <c r="C2755" s="5">
        <f>DATE(2026, 3, 3) + TIME(8, 37, 43)</f>
        <v>46084.359525462962</v>
      </c>
      <c r="D2755" s="1" t="s">
        <v>65</v>
      </c>
      <c r="E2755" s="1" t="s">
        <v>329</v>
      </c>
    </row>
    <row r="2756" spans="1:5" x14ac:dyDescent="0.2">
      <c r="A2756" s="1" t="s">
        <v>1276</v>
      </c>
      <c r="B2756" s="1" t="s">
        <v>402</v>
      </c>
      <c r="C2756" s="5">
        <f>DATE(2026, 3, 3) + TIME(8, 8, 35)</f>
        <v>46084.33929398148</v>
      </c>
      <c r="D2756" s="1" t="s">
        <v>398</v>
      </c>
      <c r="E2756" s="1" t="s">
        <v>143</v>
      </c>
    </row>
    <row r="2757" spans="1:5" x14ac:dyDescent="0.2">
      <c r="A2757" s="1" t="s">
        <v>1276</v>
      </c>
      <c r="B2757" s="1" t="s">
        <v>139</v>
      </c>
      <c r="C2757" s="5">
        <f>DATE(2026, 3, 2) + TIME(16, 9, 49)</f>
        <v>46083.673483796294</v>
      </c>
      <c r="D2757" s="1" t="s">
        <v>871</v>
      </c>
      <c r="E2757" s="1" t="s">
        <v>874</v>
      </c>
    </row>
    <row r="2758" spans="1:5" x14ac:dyDescent="0.2">
      <c r="A2758" s="1" t="s">
        <v>1276</v>
      </c>
      <c r="B2758" s="1" t="s">
        <v>508</v>
      </c>
      <c r="C2758" s="5">
        <f>DATE(2026, 3, 2) + TIME(14, 13, 38)</f>
        <v>46083.592800925922</v>
      </c>
      <c r="D2758" s="1" t="s">
        <v>754</v>
      </c>
      <c r="E2758" s="1" t="s">
        <v>755</v>
      </c>
    </row>
    <row r="2759" spans="1:5" x14ac:dyDescent="0.2">
      <c r="A2759" s="1" t="s">
        <v>1276</v>
      </c>
      <c r="B2759" s="1" t="s">
        <v>331</v>
      </c>
      <c r="C2759" s="5">
        <f>DATE(2026, 3, 2) + TIME(13, 56, 18)</f>
        <v>46083.580763888887</v>
      </c>
      <c r="D2759" s="1" t="s">
        <v>754</v>
      </c>
      <c r="E2759" s="1" t="s">
        <v>75</v>
      </c>
    </row>
    <row r="2760" spans="1:5" x14ac:dyDescent="0.2">
      <c r="A2760" s="1" t="s">
        <v>1276</v>
      </c>
      <c r="B2760" s="1" t="s">
        <v>562</v>
      </c>
      <c r="C2760" s="5">
        <f>DATE(2026, 3, 2) + TIME(13, 0, 8)</f>
        <v>46083.541759259257</v>
      </c>
      <c r="D2760" s="1" t="s">
        <v>269</v>
      </c>
      <c r="E2760" s="1" t="s">
        <v>280</v>
      </c>
    </row>
    <row r="2761" spans="1:5" x14ac:dyDescent="0.2">
      <c r="A2761" s="1" t="s">
        <v>1276</v>
      </c>
      <c r="B2761" s="1" t="s">
        <v>69</v>
      </c>
      <c r="C2761" s="5">
        <f>DATE(2026, 3, 2) + TIME(12, 16, 1)</f>
        <v>46083.511122685188</v>
      </c>
      <c r="D2761" s="1" t="s">
        <v>3</v>
      </c>
      <c r="E2761" s="1" t="s">
        <v>926</v>
      </c>
    </row>
    <row r="2762" spans="1:5" x14ac:dyDescent="0.2">
      <c r="A2762" s="1" t="s">
        <v>1276</v>
      </c>
      <c r="B2762" s="1" t="s">
        <v>271</v>
      </c>
      <c r="C2762" s="5">
        <f>DATE(2026, 3, 2) + TIME(10, 31, 57)</f>
        <v>46083.438854166663</v>
      </c>
      <c r="D2762" s="1" t="s">
        <v>640</v>
      </c>
      <c r="E2762" s="1" t="s">
        <v>333</v>
      </c>
    </row>
    <row r="2763" spans="1:5" x14ac:dyDescent="0.2">
      <c r="A2763" s="1" t="s">
        <v>1276</v>
      </c>
      <c r="B2763" s="1" t="s">
        <v>334</v>
      </c>
      <c r="C2763" s="5">
        <f>DATE(2026, 3, 1) + TIME(12, 47, 27)</f>
        <v>46082.532951388886</v>
      </c>
      <c r="D2763" s="1" t="s">
        <v>869</v>
      </c>
      <c r="E2763" s="1" t="s">
        <v>220</v>
      </c>
    </row>
    <row r="2764" spans="1:5" x14ac:dyDescent="0.2">
      <c r="A2764" s="1" t="s">
        <v>1276</v>
      </c>
      <c r="B2764" s="1" t="s">
        <v>60</v>
      </c>
      <c r="C2764" s="5">
        <f>DATE(2026, 2, 26) + TIME(16, 17, 2)</f>
        <v>46079.678495370368</v>
      </c>
      <c r="D2764" s="1" t="s">
        <v>320</v>
      </c>
      <c r="E2764" s="1" t="s">
        <v>565</v>
      </c>
    </row>
    <row r="2765" spans="1:5" x14ac:dyDescent="0.2">
      <c r="A2765" s="1" t="s">
        <v>1276</v>
      </c>
      <c r="B2765" s="1" t="s">
        <v>323</v>
      </c>
      <c r="C2765" s="5">
        <f>DATE(2026, 2, 26) + TIME(14, 27, 36)</f>
        <v>46079.602500000001</v>
      </c>
      <c r="D2765" s="1" t="s">
        <v>320</v>
      </c>
      <c r="E2765" s="1" t="s">
        <v>698</v>
      </c>
    </row>
    <row r="2766" spans="1:5" x14ac:dyDescent="0.2">
      <c r="A2766" s="1" t="s">
        <v>1276</v>
      </c>
      <c r="B2766" s="1" t="s">
        <v>7</v>
      </c>
      <c r="C2766" s="5">
        <f>DATE(2026, 2, 26) + TIME(12, 48, 45)</f>
        <v>46079.533854166664</v>
      </c>
      <c r="D2766" s="1" t="s">
        <v>750</v>
      </c>
      <c r="E2766" s="1" t="s">
        <v>875</v>
      </c>
    </row>
    <row r="2767" spans="1:5" x14ac:dyDescent="0.2">
      <c r="A2767" s="1" t="s">
        <v>1276</v>
      </c>
      <c r="B2767" s="1" t="s">
        <v>139</v>
      </c>
      <c r="C2767" s="5">
        <f>DATE(2026, 2, 26) + TIME(12, 35, 29)</f>
        <v>46079.524641203701</v>
      </c>
      <c r="D2767" s="1" t="s">
        <v>148</v>
      </c>
      <c r="E2767" s="1" t="s">
        <v>699</v>
      </c>
    </row>
    <row r="2768" spans="1:5" x14ac:dyDescent="0.2">
      <c r="A2768" s="1" t="s">
        <v>1276</v>
      </c>
      <c r="B2768" s="1" t="s">
        <v>813</v>
      </c>
      <c r="C2768" s="5">
        <f>DATE(2026, 2, 25) + TIME(14, 30, 51)</f>
        <v>46078.604756944442</v>
      </c>
      <c r="D2768" s="1" t="s">
        <v>459</v>
      </c>
      <c r="E2768" s="1" t="s">
        <v>222</v>
      </c>
    </row>
    <row r="2769" spans="1:5" x14ac:dyDescent="0.2">
      <c r="A2769" s="1" t="s">
        <v>1276</v>
      </c>
      <c r="B2769" s="1" t="s">
        <v>575</v>
      </c>
      <c r="C2769" s="5">
        <f>DATE(2026, 2, 25) + TIME(14, 24, 40)</f>
        <v>46078.600462962961</v>
      </c>
      <c r="D2769" s="1" t="s">
        <v>640</v>
      </c>
      <c r="E2769" s="1" t="s">
        <v>700</v>
      </c>
    </row>
    <row r="2770" spans="1:5" x14ac:dyDescent="0.2">
      <c r="A2770" s="1" t="s">
        <v>1276</v>
      </c>
      <c r="B2770" s="1" t="s">
        <v>7</v>
      </c>
      <c r="C2770" s="5">
        <f>DATE(2026, 2, 25) + TIME(13, 42, 0)</f>
        <v>46078.570833333331</v>
      </c>
      <c r="D2770" s="1" t="s">
        <v>750</v>
      </c>
      <c r="E2770" s="1" t="s">
        <v>6</v>
      </c>
    </row>
    <row r="2771" spans="1:5" x14ac:dyDescent="0.2">
      <c r="A2771" s="1" t="s">
        <v>1276</v>
      </c>
      <c r="B2771" s="1" t="s">
        <v>402</v>
      </c>
      <c r="C2771" s="5">
        <f>DATE(2026, 2, 25) + TIME(13, 21, 48)</f>
        <v>46078.556805555556</v>
      </c>
      <c r="D2771" s="1" t="s">
        <v>65</v>
      </c>
      <c r="E2771" s="1" t="s">
        <v>918</v>
      </c>
    </row>
    <row r="2772" spans="1:5" x14ac:dyDescent="0.2">
      <c r="A2772" s="1" t="s">
        <v>1276</v>
      </c>
      <c r="B2772" s="1" t="s">
        <v>14</v>
      </c>
      <c r="C2772" s="5">
        <f>DATE(2026, 2, 25) + TIME(13, 17, 10)</f>
        <v>46078.553587962961</v>
      </c>
      <c r="D2772" s="1" t="s">
        <v>750</v>
      </c>
      <c r="E2772" s="1" t="s">
        <v>158</v>
      </c>
    </row>
    <row r="2773" spans="1:5" x14ac:dyDescent="0.2">
      <c r="A2773" s="1" t="s">
        <v>1276</v>
      </c>
      <c r="B2773" s="1" t="s">
        <v>575</v>
      </c>
      <c r="C2773" s="5">
        <f>DATE(2026, 2, 25) + TIME(13, 17, 10)</f>
        <v>46078.553587962961</v>
      </c>
      <c r="D2773" s="1" t="s">
        <v>750</v>
      </c>
      <c r="E2773" s="1" t="s">
        <v>158</v>
      </c>
    </row>
    <row r="2774" spans="1:5" x14ac:dyDescent="0.2">
      <c r="A2774" s="1" t="s">
        <v>1276</v>
      </c>
      <c r="B2774" s="1" t="s">
        <v>63</v>
      </c>
      <c r="C2774" s="5">
        <f>DATE(2026, 2, 25) + TIME(11, 59, 46)</f>
        <v>46078.499837962961</v>
      </c>
      <c r="D2774" s="1" t="s">
        <v>640</v>
      </c>
      <c r="E2774" s="1" t="s">
        <v>20</v>
      </c>
    </row>
    <row r="2775" spans="1:5" x14ac:dyDescent="0.2">
      <c r="A2775" s="1" t="s">
        <v>1276</v>
      </c>
      <c r="B2775" s="1" t="s">
        <v>7</v>
      </c>
      <c r="C2775" s="5">
        <f>DATE(2026, 2, 25) + TIME(11, 38, 4)</f>
        <v>46078.484768518516</v>
      </c>
      <c r="D2775" s="1" t="s">
        <v>64</v>
      </c>
      <c r="E2775" s="1" t="s">
        <v>639</v>
      </c>
    </row>
    <row r="2776" spans="1:5" x14ac:dyDescent="0.2">
      <c r="A2776" s="1" t="s">
        <v>1276</v>
      </c>
      <c r="B2776" s="1" t="s">
        <v>402</v>
      </c>
      <c r="C2776" s="5">
        <f>DATE(2026, 2, 25) + TIME(10, 13, 18)</f>
        <v>46078.425902777781</v>
      </c>
      <c r="D2776" s="1" t="s">
        <v>754</v>
      </c>
      <c r="E2776" s="1" t="s">
        <v>760</v>
      </c>
    </row>
    <row r="2777" spans="1:5" x14ac:dyDescent="0.2">
      <c r="A2777" s="1" t="s">
        <v>1276</v>
      </c>
      <c r="B2777" s="1" t="s">
        <v>464</v>
      </c>
      <c r="C2777" s="5">
        <f>DATE(2026, 2, 24) + TIME(15, 5, 34)</f>
        <v>46077.628865740742</v>
      </c>
      <c r="D2777" s="1" t="s">
        <v>396</v>
      </c>
      <c r="E2777" s="1" t="s">
        <v>76</v>
      </c>
    </row>
    <row r="2778" spans="1:5" x14ac:dyDescent="0.2">
      <c r="A2778" s="1" t="s">
        <v>1276</v>
      </c>
      <c r="B2778" s="1" t="s">
        <v>60</v>
      </c>
      <c r="C2778" s="5">
        <f>DATE(2026, 2, 24) + TIME(14, 45, 46)</f>
        <v>46077.615115740744</v>
      </c>
      <c r="D2778" s="1" t="s">
        <v>640</v>
      </c>
      <c r="E2778" s="1" t="s">
        <v>761</v>
      </c>
    </row>
    <row r="2779" spans="1:5" x14ac:dyDescent="0.2">
      <c r="A2779" s="1" t="s">
        <v>1276</v>
      </c>
      <c r="B2779" s="1" t="s">
        <v>866</v>
      </c>
      <c r="C2779" s="5">
        <f>DATE(2026, 2, 24) + TIME(14, 18, 28)</f>
        <v>46077.59615740741</v>
      </c>
      <c r="D2779" s="1" t="s">
        <v>148</v>
      </c>
      <c r="E2779" s="1" t="s">
        <v>17</v>
      </c>
    </row>
    <row r="2780" spans="1:5" x14ac:dyDescent="0.2">
      <c r="A2780" s="1" t="s">
        <v>1276</v>
      </c>
      <c r="B2780" s="1" t="s">
        <v>155</v>
      </c>
      <c r="C2780" s="5">
        <f>DATE(2026, 2, 24) + TIME(13, 30, 57)</f>
        <v>46077.563159722224</v>
      </c>
      <c r="D2780" s="1" t="s">
        <v>398</v>
      </c>
      <c r="E2780" s="1" t="s">
        <v>143</v>
      </c>
    </row>
    <row r="2781" spans="1:5" x14ac:dyDescent="0.2">
      <c r="A2781" s="1" t="s">
        <v>1276</v>
      </c>
      <c r="B2781" s="1" t="s">
        <v>402</v>
      </c>
      <c r="C2781" s="5">
        <f>DATE(2026, 2, 24) + TIME(13, 12, 26)</f>
        <v>46077.550300925926</v>
      </c>
      <c r="D2781" s="1" t="s">
        <v>65</v>
      </c>
      <c r="E2781" s="1" t="s">
        <v>400</v>
      </c>
    </row>
    <row r="2782" spans="1:5" x14ac:dyDescent="0.2">
      <c r="A2782" s="1" t="s">
        <v>1276</v>
      </c>
      <c r="B2782" s="1" t="s">
        <v>4</v>
      </c>
      <c r="C2782" s="5">
        <f>DATE(2026, 2, 24) + TIME(11, 55, 13)</f>
        <v>46077.496678240743</v>
      </c>
      <c r="D2782" s="1" t="s">
        <v>576</v>
      </c>
      <c r="E2782" s="1" t="s">
        <v>695</v>
      </c>
    </row>
    <row r="2783" spans="1:5" x14ac:dyDescent="0.2">
      <c r="A2783" s="1" t="s">
        <v>1276</v>
      </c>
      <c r="B2783" s="1" t="s">
        <v>223</v>
      </c>
      <c r="C2783" s="5">
        <f>DATE(2026, 2, 24) + TIME(11, 25, 55)</f>
        <v>46077.476331018515</v>
      </c>
      <c r="D2783" s="1" t="s">
        <v>640</v>
      </c>
      <c r="E2783" s="1" t="s">
        <v>77</v>
      </c>
    </row>
    <row r="2784" spans="1:5" x14ac:dyDescent="0.2">
      <c r="A2784" s="1" t="s">
        <v>1276</v>
      </c>
      <c r="B2784" s="1" t="s">
        <v>876</v>
      </c>
      <c r="C2784" s="5">
        <f>DATE(2026, 2, 24) + TIME(10, 44, 19)</f>
        <v>46077.447442129633</v>
      </c>
      <c r="D2784" s="1" t="s">
        <v>871</v>
      </c>
      <c r="E2784" s="1" t="s">
        <v>149</v>
      </c>
    </row>
    <row r="2785" spans="1:5" x14ac:dyDescent="0.2">
      <c r="A2785" s="1" t="s">
        <v>1276</v>
      </c>
      <c r="B2785" s="1" t="s">
        <v>161</v>
      </c>
      <c r="C2785" s="5">
        <f>DATE(2026, 2, 24) + TIME(10, 44, 19)</f>
        <v>46077.447442129633</v>
      </c>
      <c r="D2785" s="1" t="s">
        <v>871</v>
      </c>
      <c r="E2785" s="1" t="s">
        <v>149</v>
      </c>
    </row>
    <row r="2786" spans="1:5" x14ac:dyDescent="0.2">
      <c r="A2786" s="1" t="s">
        <v>1276</v>
      </c>
      <c r="B2786" s="1" t="s">
        <v>21</v>
      </c>
      <c r="C2786" s="5">
        <f>DATE(2026, 2, 24) + TIME(8, 43, 33)</f>
        <v>46077.363576388889</v>
      </c>
      <c r="D2786" s="1" t="s">
        <v>320</v>
      </c>
      <c r="E2786" s="1" t="s">
        <v>406</v>
      </c>
    </row>
    <row r="2787" spans="1:5" x14ac:dyDescent="0.2">
      <c r="A2787" s="1" t="s">
        <v>1276</v>
      </c>
      <c r="B2787" s="1" t="s">
        <v>338</v>
      </c>
      <c r="C2787" s="5">
        <f>DATE(2026, 2, 23) + TIME(16, 16, 40)</f>
        <v>46076.678240740737</v>
      </c>
      <c r="D2787" s="1" t="s">
        <v>3</v>
      </c>
      <c r="E2787" s="1" t="s">
        <v>224</v>
      </c>
    </row>
    <row r="2788" spans="1:5" x14ac:dyDescent="0.2">
      <c r="A2788" s="1" t="s">
        <v>1276</v>
      </c>
      <c r="B2788" s="1" t="s">
        <v>162</v>
      </c>
      <c r="C2788" s="5">
        <f>DATE(2026, 2, 23) + TIME(9, 51, 26)</f>
        <v>46076.410717592589</v>
      </c>
      <c r="D2788" s="1" t="s">
        <v>65</v>
      </c>
      <c r="E2788" s="1" t="s">
        <v>152</v>
      </c>
    </row>
    <row r="2789" spans="1:5" x14ac:dyDescent="0.2">
      <c r="A2789" s="1" t="s">
        <v>1276</v>
      </c>
      <c r="B2789" s="1" t="s">
        <v>407</v>
      </c>
      <c r="C2789" s="5">
        <f>DATE(2026, 2, 23) + TIME(9, 51, 26)</f>
        <v>46076.410717592589</v>
      </c>
      <c r="D2789" s="1" t="s">
        <v>65</v>
      </c>
      <c r="E2789" s="1" t="s">
        <v>152</v>
      </c>
    </row>
    <row r="2790" spans="1:5" x14ac:dyDescent="0.2">
      <c r="A2790" s="1" t="s">
        <v>1276</v>
      </c>
      <c r="B2790" s="1" t="s">
        <v>399</v>
      </c>
      <c r="C2790" s="5">
        <f>DATE(2026, 2, 23) + TIME(9, 51, 26)</f>
        <v>46076.410717592589</v>
      </c>
      <c r="D2790" s="1" t="s">
        <v>65</v>
      </c>
      <c r="E2790" s="1" t="s">
        <v>152</v>
      </c>
    </row>
    <row r="2791" spans="1:5" x14ac:dyDescent="0.2">
      <c r="A2791" s="1" t="s">
        <v>1276</v>
      </c>
      <c r="B2791" s="1" t="s">
        <v>408</v>
      </c>
      <c r="C2791" s="5">
        <f>DATE(2026, 2, 19) + TIME(15, 33, 52)</f>
        <v>46072.648518518516</v>
      </c>
      <c r="D2791" s="1" t="s">
        <v>754</v>
      </c>
      <c r="E2791" s="1" t="s">
        <v>282</v>
      </c>
    </row>
    <row r="2792" spans="1:5" x14ac:dyDescent="0.2">
      <c r="A2792" s="1" t="s">
        <v>1276</v>
      </c>
      <c r="B2792" s="1" t="s">
        <v>223</v>
      </c>
      <c r="C2792" s="5">
        <f>DATE(2026, 2, 19) + TIME(15, 16, 31)</f>
        <v>46072.636469907404</v>
      </c>
      <c r="D2792" s="1" t="s">
        <v>269</v>
      </c>
      <c r="E2792" s="1" t="s">
        <v>225</v>
      </c>
    </row>
    <row r="2793" spans="1:5" x14ac:dyDescent="0.2">
      <c r="A2793" s="1" t="s">
        <v>1276</v>
      </c>
      <c r="B2793" s="1" t="s">
        <v>688</v>
      </c>
      <c r="C2793" s="5">
        <f>DATE(2026, 2, 19) + TIME(14, 59, 6)</f>
        <v>46072.624374999999</v>
      </c>
      <c r="D2793" s="1" t="s">
        <v>754</v>
      </c>
      <c r="E2793" s="1" t="s">
        <v>282</v>
      </c>
    </row>
    <row r="2794" spans="1:5" x14ac:dyDescent="0.2">
      <c r="A2794" s="1" t="s">
        <v>1276</v>
      </c>
      <c r="B2794" s="1" t="s">
        <v>815</v>
      </c>
      <c r="C2794" s="5">
        <f>DATE(2026, 2, 19) + TIME(14, 31, 6)</f>
        <v>46072.604930555557</v>
      </c>
      <c r="D2794" s="1" t="s">
        <v>398</v>
      </c>
      <c r="E2794" s="1" t="s">
        <v>324</v>
      </c>
    </row>
    <row r="2795" spans="1:5" x14ac:dyDescent="0.2">
      <c r="A2795" s="1" t="s">
        <v>1276</v>
      </c>
      <c r="B2795" s="1" t="s">
        <v>331</v>
      </c>
      <c r="C2795" s="5">
        <f>DATE(2026, 2, 19) + TIME(13, 21, 35)</f>
        <v>46072.556655092594</v>
      </c>
      <c r="D2795" s="1" t="s">
        <v>320</v>
      </c>
      <c r="E2795" s="1" t="s">
        <v>565</v>
      </c>
    </row>
    <row r="2796" spans="1:5" x14ac:dyDescent="0.2">
      <c r="A2796" s="1" t="s">
        <v>1276</v>
      </c>
      <c r="B2796" s="1" t="s">
        <v>72</v>
      </c>
      <c r="C2796" s="5">
        <f>DATE(2026, 2, 19) + TIME(13, 17, 22)</f>
        <v>46072.553726851853</v>
      </c>
      <c r="D2796" s="1" t="s">
        <v>566</v>
      </c>
      <c r="E2796" s="1" t="s">
        <v>71</v>
      </c>
    </row>
    <row r="2797" spans="1:5" x14ac:dyDescent="0.2">
      <c r="A2797" s="1" t="s">
        <v>1276</v>
      </c>
      <c r="B2797" s="1" t="s">
        <v>399</v>
      </c>
      <c r="C2797" s="5">
        <f>DATE(2026, 2, 19) + TIME(9, 59, 31)</f>
        <v>46072.416331018518</v>
      </c>
      <c r="D2797" s="1" t="s">
        <v>65</v>
      </c>
      <c r="E2797" s="1" t="s">
        <v>152</v>
      </c>
    </row>
    <row r="2798" spans="1:5" x14ac:dyDescent="0.2">
      <c r="A2798" s="1" t="s">
        <v>1276</v>
      </c>
      <c r="B2798" s="1" t="s">
        <v>577</v>
      </c>
      <c r="C2798" s="5">
        <f>DATE(2026, 2, 18) + TIME(16, 3, 41)</f>
        <v>46071.669224537036</v>
      </c>
      <c r="D2798" s="1" t="s">
        <v>398</v>
      </c>
      <c r="E2798" s="1" t="s">
        <v>922</v>
      </c>
    </row>
    <row r="2799" spans="1:5" x14ac:dyDescent="0.2">
      <c r="A2799" s="1" t="s">
        <v>1276</v>
      </c>
      <c r="B2799" s="1" t="s">
        <v>408</v>
      </c>
      <c r="C2799" s="5">
        <f>DATE(2026, 2, 18) + TIME(15, 52, 14)</f>
        <v>46071.661273148151</v>
      </c>
      <c r="D2799" s="1" t="s">
        <v>398</v>
      </c>
      <c r="E2799" s="1" t="s">
        <v>516</v>
      </c>
    </row>
    <row r="2800" spans="1:5" x14ac:dyDescent="0.2">
      <c r="A2800" s="1" t="s">
        <v>1276</v>
      </c>
      <c r="B2800" s="1" t="s">
        <v>703</v>
      </c>
      <c r="C2800" s="5">
        <f>DATE(2026, 2, 18) + TIME(14, 18, 14)</f>
        <v>46071.595995370371</v>
      </c>
      <c r="D2800" s="1" t="s">
        <v>320</v>
      </c>
      <c r="E2800" s="1" t="s">
        <v>2</v>
      </c>
    </row>
    <row r="2801" spans="1:5" x14ac:dyDescent="0.2">
      <c r="A2801" s="1" t="s">
        <v>1276</v>
      </c>
      <c r="B2801" s="1" t="s">
        <v>331</v>
      </c>
      <c r="C2801" s="5">
        <f>DATE(2026, 2, 18) + TIME(12, 54, 32)</f>
        <v>46071.537870370368</v>
      </c>
      <c r="D2801" s="1" t="s">
        <v>871</v>
      </c>
      <c r="E2801" s="1" t="s">
        <v>340</v>
      </c>
    </row>
    <row r="2802" spans="1:5" x14ac:dyDescent="0.2">
      <c r="A2802" s="1" t="s">
        <v>1276</v>
      </c>
      <c r="B2802" s="1" t="s">
        <v>864</v>
      </c>
      <c r="C2802" s="5">
        <f>DATE(2026, 2, 18) + TIME(11, 49, 0)</f>
        <v>46071.492361111108</v>
      </c>
      <c r="D2802" s="1" t="s">
        <v>754</v>
      </c>
      <c r="E2802" s="1" t="s">
        <v>517</v>
      </c>
    </row>
    <row r="2803" spans="1:5" x14ac:dyDescent="0.2">
      <c r="A2803" s="1" t="s">
        <v>1276</v>
      </c>
      <c r="B2803" s="1" t="s">
        <v>22</v>
      </c>
      <c r="C2803" s="5">
        <f>DATE(2026, 2, 18) + TIME(10, 43, 39)</f>
        <v>46071.446979166663</v>
      </c>
      <c r="D2803" s="1" t="s">
        <v>638</v>
      </c>
      <c r="E2803" s="1" t="s">
        <v>518</v>
      </c>
    </row>
    <row r="2804" spans="1:5" x14ac:dyDescent="0.2">
      <c r="A2804" s="1" t="s">
        <v>1276</v>
      </c>
      <c r="B2804" s="1" t="s">
        <v>817</v>
      </c>
      <c r="C2804" s="5">
        <f>DATE(2026, 2, 17) + TIME(16, 22, 21)</f>
        <v>46070.682187500002</v>
      </c>
      <c r="D2804" s="1" t="s">
        <v>320</v>
      </c>
      <c r="E2804" s="1" t="s">
        <v>342</v>
      </c>
    </row>
    <row r="2805" spans="1:5" x14ac:dyDescent="0.2">
      <c r="A2805" s="1" t="s">
        <v>1276</v>
      </c>
      <c r="B2805" s="1" t="s">
        <v>69</v>
      </c>
      <c r="C2805" s="5">
        <f>DATE(2026, 2, 17) + TIME(14, 39, 12)</f>
        <v>46070.610555555555</v>
      </c>
      <c r="D2805" s="1" t="s">
        <v>226</v>
      </c>
      <c r="E2805" s="1" t="s">
        <v>227</v>
      </c>
    </row>
    <row r="2806" spans="1:5" x14ac:dyDescent="0.2">
      <c r="A2806" s="1" t="s">
        <v>1276</v>
      </c>
      <c r="B2806" s="1" t="s">
        <v>150</v>
      </c>
      <c r="C2806" s="5">
        <f>DATE(2026, 2, 17) + TIME(14, 14, 53)</f>
        <v>46070.593668981484</v>
      </c>
      <c r="D2806" s="1" t="s">
        <v>398</v>
      </c>
      <c r="E2806" s="1" t="s">
        <v>704</v>
      </c>
    </row>
    <row r="2807" spans="1:5" x14ac:dyDescent="0.2">
      <c r="A2807" s="1" t="s">
        <v>1276</v>
      </c>
      <c r="B2807" s="1" t="s">
        <v>72</v>
      </c>
      <c r="C2807" s="5">
        <f>DATE(2026, 2, 17) + TIME(13, 35, 2)</f>
        <v>46070.565995370373</v>
      </c>
      <c r="D2807" s="1" t="s">
        <v>3</v>
      </c>
      <c r="E2807" s="1" t="s">
        <v>925</v>
      </c>
    </row>
    <row r="2808" spans="1:5" x14ac:dyDescent="0.2">
      <c r="A2808" s="1" t="s">
        <v>1276</v>
      </c>
      <c r="B2808" s="1" t="s">
        <v>334</v>
      </c>
      <c r="C2808" s="5">
        <f>DATE(2026, 2, 17) + TIME(12, 8, 14)</f>
        <v>46070.50571759259</v>
      </c>
      <c r="D2808" s="1" t="s">
        <v>398</v>
      </c>
      <c r="E2808" s="1" t="s">
        <v>143</v>
      </c>
    </row>
    <row r="2809" spans="1:5" x14ac:dyDescent="0.2">
      <c r="A2809" s="1" t="s">
        <v>1276</v>
      </c>
      <c r="B2809" s="1" t="s">
        <v>343</v>
      </c>
      <c r="C2809" s="5">
        <f>DATE(2026, 2, 17) + TIME(7, 35, 58)</f>
        <v>46070.316643518519</v>
      </c>
      <c r="D2809" s="1" t="s">
        <v>398</v>
      </c>
      <c r="E2809" s="1" t="s">
        <v>143</v>
      </c>
    </row>
    <row r="2810" spans="1:5" x14ac:dyDescent="0.2">
      <c r="A2810" s="1" t="s">
        <v>1276</v>
      </c>
      <c r="B2810" s="1" t="s">
        <v>705</v>
      </c>
      <c r="C2810" s="5">
        <f>DATE(2026, 2, 17) + TIME(7, 35, 57)</f>
        <v>46070.316631944443</v>
      </c>
      <c r="D2810" s="1" t="s">
        <v>398</v>
      </c>
      <c r="E2810" s="1" t="s">
        <v>143</v>
      </c>
    </row>
    <row r="2811" spans="1:5" x14ac:dyDescent="0.2">
      <c r="A2811" s="1" t="s">
        <v>1276</v>
      </c>
      <c r="B2811" s="1" t="s">
        <v>69</v>
      </c>
      <c r="C2811" s="5">
        <f>DATE(2026, 2, 16) + TIME(12, 9, 11)</f>
        <v>46069.506377314814</v>
      </c>
      <c r="D2811" s="1" t="s">
        <v>269</v>
      </c>
      <c r="E2811" s="1" t="s">
        <v>79</v>
      </c>
    </row>
    <row r="2812" spans="1:5" x14ac:dyDescent="0.2">
      <c r="A2812" s="1" t="s">
        <v>1276</v>
      </c>
      <c r="B2812" s="1" t="s">
        <v>228</v>
      </c>
      <c r="C2812" s="5">
        <f>DATE(2026, 2, 12) + TIME(16, 0, 33)</f>
        <v>46065.667048611111</v>
      </c>
      <c r="D2812" s="1" t="s">
        <v>226</v>
      </c>
      <c r="E2812" s="1" t="s">
        <v>520</v>
      </c>
    </row>
    <row r="2813" spans="1:5" x14ac:dyDescent="0.2">
      <c r="A2813" s="1" t="s">
        <v>1276</v>
      </c>
      <c r="B2813" s="1" t="s">
        <v>344</v>
      </c>
      <c r="C2813" s="5">
        <f>DATE(2026, 2, 12) + TIME(15, 12, 6)</f>
        <v>46065.633402777778</v>
      </c>
      <c r="D2813" s="1" t="s">
        <v>754</v>
      </c>
      <c r="E2813" s="1" t="s">
        <v>755</v>
      </c>
    </row>
    <row r="2814" spans="1:5" x14ac:dyDescent="0.2">
      <c r="A2814" s="1" t="s">
        <v>1276</v>
      </c>
      <c r="B2814" s="1" t="s">
        <v>866</v>
      </c>
      <c r="C2814" s="5">
        <f>DATE(2026, 2, 12) + TIME(14, 12, 36)</f>
        <v>46065.592083333337</v>
      </c>
      <c r="D2814" s="1" t="s">
        <v>5</v>
      </c>
      <c r="E2814" s="1" t="s">
        <v>706</v>
      </c>
    </row>
    <row r="2815" spans="1:5" x14ac:dyDescent="0.2">
      <c r="A2815" s="1" t="s">
        <v>1276</v>
      </c>
      <c r="B2815" s="1" t="s">
        <v>409</v>
      </c>
      <c r="C2815" s="5">
        <f>DATE(2026, 2, 12) + TIME(11, 23, 49)</f>
        <v>46065.474872685183</v>
      </c>
      <c r="D2815" s="1" t="s">
        <v>269</v>
      </c>
      <c r="E2815" s="1" t="s">
        <v>748</v>
      </c>
    </row>
    <row r="2816" spans="1:5" x14ac:dyDescent="0.2">
      <c r="A2816" s="1" t="s">
        <v>1276</v>
      </c>
      <c r="B2816" s="1" t="s">
        <v>807</v>
      </c>
      <c r="C2816" s="5">
        <f>DATE(2026, 2, 12) + TIME(11, 16, 39)</f>
        <v>46065.469895833332</v>
      </c>
      <c r="D2816" s="1" t="s">
        <v>398</v>
      </c>
      <c r="E2816" s="1" t="s">
        <v>143</v>
      </c>
    </row>
    <row r="2817" spans="1:5" x14ac:dyDescent="0.2">
      <c r="A2817" s="1" t="s">
        <v>1276</v>
      </c>
      <c r="B2817" s="1" t="s">
        <v>818</v>
      </c>
      <c r="C2817" s="5">
        <f>DATE(2026, 2, 11) + TIME(16, 46, 47)</f>
        <v>46064.699155092596</v>
      </c>
      <c r="D2817" s="1" t="s">
        <v>3</v>
      </c>
      <c r="E2817" s="1" t="s">
        <v>165</v>
      </c>
    </row>
    <row r="2818" spans="1:5" x14ac:dyDescent="0.2">
      <c r="A2818" s="1" t="s">
        <v>1276</v>
      </c>
      <c r="B2818" s="1" t="s">
        <v>271</v>
      </c>
      <c r="C2818" s="5">
        <f>DATE(2026, 2, 11) + TIME(16, 43, 50)</f>
        <v>46064.697106481479</v>
      </c>
      <c r="D2818" s="1" t="s">
        <v>3</v>
      </c>
      <c r="E2818" s="1" t="s">
        <v>165</v>
      </c>
    </row>
    <row r="2819" spans="1:5" x14ac:dyDescent="0.2">
      <c r="A2819" s="1" t="s">
        <v>1276</v>
      </c>
      <c r="B2819" s="1" t="s">
        <v>682</v>
      </c>
      <c r="C2819" s="5">
        <f>DATE(2026, 2, 11) + TIME(16, 4, 58)</f>
        <v>46064.670115740744</v>
      </c>
      <c r="D2819" s="1" t="s">
        <v>506</v>
      </c>
      <c r="E2819" s="1" t="s">
        <v>158</v>
      </c>
    </row>
    <row r="2820" spans="1:5" x14ac:dyDescent="0.2">
      <c r="A2820" s="1" t="s">
        <v>1276</v>
      </c>
      <c r="B2820" s="1" t="s">
        <v>63</v>
      </c>
      <c r="C2820" s="5">
        <f>DATE(2026, 2, 11) + TIME(16, 0, 28)</f>
        <v>46064.666990740741</v>
      </c>
      <c r="D2820" s="1" t="s">
        <v>3</v>
      </c>
      <c r="E2820" s="1" t="s">
        <v>73</v>
      </c>
    </row>
    <row r="2821" spans="1:5" x14ac:dyDescent="0.2">
      <c r="A2821" s="1" t="s">
        <v>1276</v>
      </c>
      <c r="B2821" s="1" t="s">
        <v>399</v>
      </c>
      <c r="C2821" s="5">
        <f>DATE(2026, 2, 11) + TIME(15, 33, 2)</f>
        <v>46064.647939814815</v>
      </c>
      <c r="D2821" s="1" t="s">
        <v>148</v>
      </c>
      <c r="E2821" s="1" t="s">
        <v>466</v>
      </c>
    </row>
    <row r="2822" spans="1:5" x14ac:dyDescent="0.2">
      <c r="A2822" s="1" t="s">
        <v>1276</v>
      </c>
      <c r="B2822" s="1" t="s">
        <v>7</v>
      </c>
      <c r="C2822" s="5">
        <f>DATE(2026, 2, 11) + TIME(14, 6, 16)</f>
        <v>46064.587685185186</v>
      </c>
      <c r="D2822" s="1" t="s">
        <v>148</v>
      </c>
      <c r="E2822" s="1" t="s">
        <v>466</v>
      </c>
    </row>
    <row r="2823" spans="1:5" x14ac:dyDescent="0.2">
      <c r="A2823" s="1" t="s">
        <v>1276</v>
      </c>
      <c r="B2823" s="1" t="s">
        <v>346</v>
      </c>
      <c r="C2823" s="5">
        <f>DATE(2026, 2, 10) + TIME(15, 11, 8)</f>
        <v>46063.632731481484</v>
      </c>
      <c r="D2823" s="1" t="s">
        <v>148</v>
      </c>
      <c r="E2823" s="1" t="s">
        <v>877</v>
      </c>
    </row>
    <row r="2824" spans="1:5" x14ac:dyDescent="0.2">
      <c r="A2824" s="1" t="s">
        <v>1276</v>
      </c>
      <c r="B2824" s="1" t="s">
        <v>817</v>
      </c>
      <c r="C2824" s="5">
        <f>DATE(2026, 2, 10) + TIME(15, 11, 8)</f>
        <v>46063.632731481484</v>
      </c>
      <c r="D2824" s="1" t="s">
        <v>148</v>
      </c>
      <c r="E2824" s="1" t="s">
        <v>877</v>
      </c>
    </row>
    <row r="2825" spans="1:5" x14ac:dyDescent="0.2">
      <c r="A2825" s="1" t="s">
        <v>1276</v>
      </c>
      <c r="B2825" s="1" t="s">
        <v>285</v>
      </c>
      <c r="C2825" s="5">
        <f>DATE(2026, 2, 10) + TIME(14, 8, 31)</f>
        <v>46063.589247685188</v>
      </c>
      <c r="D2825" s="1" t="s">
        <v>226</v>
      </c>
      <c r="E2825" s="1" t="s">
        <v>761</v>
      </c>
    </row>
    <row r="2826" spans="1:5" x14ac:dyDescent="0.2">
      <c r="A2826" s="1" t="s">
        <v>1276</v>
      </c>
      <c r="B2826" s="1" t="s">
        <v>765</v>
      </c>
      <c r="C2826" s="5">
        <f>DATE(2026, 2, 10) + TIME(10, 30, 55)</f>
        <v>46063.438136574077</v>
      </c>
      <c r="D2826" s="1" t="s">
        <v>216</v>
      </c>
      <c r="E2826" s="1" t="s">
        <v>873</v>
      </c>
    </row>
    <row r="2827" spans="1:5" x14ac:dyDescent="0.2">
      <c r="A2827" s="1" t="s">
        <v>1276</v>
      </c>
      <c r="B2827" s="1" t="s">
        <v>931</v>
      </c>
      <c r="C2827" s="5">
        <f>DATE(2026, 2, 10) + TIME(10, 3, 11)</f>
        <v>46063.418877314813</v>
      </c>
      <c r="D2827" s="1" t="s">
        <v>396</v>
      </c>
      <c r="E2827" s="1" t="s">
        <v>276</v>
      </c>
    </row>
    <row r="2828" spans="1:5" x14ac:dyDescent="0.2">
      <c r="A2828" s="1" t="s">
        <v>1276</v>
      </c>
      <c r="B2828" s="1" t="s">
        <v>690</v>
      </c>
      <c r="C2828" s="5">
        <f>DATE(2026, 2, 9) + TIME(16, 2, 15)</f>
        <v>46062.668229166666</v>
      </c>
      <c r="D2828" s="1" t="s">
        <v>563</v>
      </c>
      <c r="E2828" s="1" t="s">
        <v>878</v>
      </c>
    </row>
    <row r="2829" spans="1:5" x14ac:dyDescent="0.2">
      <c r="A2829" s="1" t="s">
        <v>1276</v>
      </c>
      <c r="B2829" s="1" t="s">
        <v>63</v>
      </c>
      <c r="C2829" s="5">
        <f>DATE(2026, 2, 5) + TIME(16, 28, 6)</f>
        <v>46058.686180555553</v>
      </c>
      <c r="D2829" s="1" t="s">
        <v>398</v>
      </c>
      <c r="E2829" s="1" t="s">
        <v>324</v>
      </c>
    </row>
    <row r="2830" spans="1:5" x14ac:dyDescent="0.2">
      <c r="A2830" s="1" t="s">
        <v>1276</v>
      </c>
      <c r="B2830" s="1" t="s">
        <v>817</v>
      </c>
      <c r="C2830" s="5">
        <f>DATE(2026, 2, 5) + TIME(16, 28, 6)</f>
        <v>46058.686180555553</v>
      </c>
      <c r="D2830" s="1" t="s">
        <v>398</v>
      </c>
      <c r="E2830" s="1" t="s">
        <v>324</v>
      </c>
    </row>
    <row r="2831" spans="1:5" x14ac:dyDescent="0.2">
      <c r="A2831" s="1" t="s">
        <v>1276</v>
      </c>
      <c r="B2831" s="1" t="s">
        <v>24</v>
      </c>
      <c r="C2831" s="5">
        <f>DATE(2026, 2, 5) + TIME(16, 24, 15)</f>
        <v>46058.683506944442</v>
      </c>
      <c r="D2831" s="1" t="s">
        <v>398</v>
      </c>
      <c r="E2831" s="1" t="s">
        <v>324</v>
      </c>
    </row>
    <row r="2832" spans="1:5" x14ac:dyDescent="0.2">
      <c r="A2832" s="1" t="s">
        <v>1276</v>
      </c>
      <c r="B2832" s="1" t="s">
        <v>562</v>
      </c>
      <c r="C2832" s="5">
        <f>DATE(2026, 2, 5) + TIME(15, 57, 49)</f>
        <v>46058.665150462963</v>
      </c>
      <c r="D2832" s="1" t="s">
        <v>506</v>
      </c>
      <c r="E2832" s="1" t="s">
        <v>347</v>
      </c>
    </row>
    <row r="2833" spans="1:5" x14ac:dyDescent="0.2">
      <c r="A2833" s="1" t="s">
        <v>1276</v>
      </c>
      <c r="B2833" s="1" t="s">
        <v>81</v>
      </c>
      <c r="C2833" s="5">
        <f>DATE(2026, 2, 5) + TIME(15, 39, 31)</f>
        <v>46058.652442129627</v>
      </c>
      <c r="D2833" s="1" t="s">
        <v>640</v>
      </c>
      <c r="E2833" s="1" t="s">
        <v>870</v>
      </c>
    </row>
    <row r="2834" spans="1:5" x14ac:dyDescent="0.2">
      <c r="A2834" s="1" t="s">
        <v>1276</v>
      </c>
      <c r="B2834" s="1" t="s">
        <v>919</v>
      </c>
      <c r="C2834" s="5">
        <f>DATE(2026, 2, 5) + TIME(15, 7, 9)</f>
        <v>46058.629965277774</v>
      </c>
      <c r="D2834" s="1" t="s">
        <v>506</v>
      </c>
      <c r="E2834" s="1" t="s">
        <v>82</v>
      </c>
    </row>
    <row r="2835" spans="1:5" x14ac:dyDescent="0.2">
      <c r="A2835" s="1" t="s">
        <v>1276</v>
      </c>
      <c r="B2835" s="1" t="s">
        <v>4</v>
      </c>
      <c r="C2835" s="5">
        <f>DATE(2026, 2, 5) + TIME(14, 46, 5)</f>
        <v>46058.615335648145</v>
      </c>
      <c r="D2835" s="1" t="s">
        <v>638</v>
      </c>
      <c r="E2835" s="1" t="s">
        <v>147</v>
      </c>
    </row>
    <row r="2836" spans="1:5" x14ac:dyDescent="0.2">
      <c r="A2836" s="1" t="s">
        <v>1276</v>
      </c>
      <c r="B2836" s="1" t="s">
        <v>9</v>
      </c>
      <c r="C2836" s="5">
        <f>DATE(2026, 2, 5) + TIME(14, 46, 5)</f>
        <v>46058.615335648145</v>
      </c>
      <c r="D2836" s="1" t="s">
        <v>638</v>
      </c>
      <c r="E2836" s="1" t="s">
        <v>147</v>
      </c>
    </row>
    <row r="2837" spans="1:5" x14ac:dyDescent="0.2">
      <c r="A2837" s="1" t="s">
        <v>1276</v>
      </c>
      <c r="B2837" s="1" t="s">
        <v>331</v>
      </c>
      <c r="C2837" s="5">
        <f>DATE(2026, 2, 5) + TIME(13, 37, 43)</f>
        <v>46058.567858796298</v>
      </c>
      <c r="D2837" s="1" t="s">
        <v>506</v>
      </c>
      <c r="E2837" s="1" t="s">
        <v>867</v>
      </c>
    </row>
    <row r="2838" spans="1:5" x14ac:dyDescent="0.2">
      <c r="A2838" s="1" t="s">
        <v>1276</v>
      </c>
      <c r="B2838" s="1" t="s">
        <v>153</v>
      </c>
      <c r="C2838" s="5">
        <f>DATE(2026, 2, 5) + TIME(13, 37, 43)</f>
        <v>46058.567858796298</v>
      </c>
      <c r="D2838" s="1" t="s">
        <v>506</v>
      </c>
      <c r="E2838" s="1" t="s">
        <v>867</v>
      </c>
    </row>
    <row r="2839" spans="1:5" x14ac:dyDescent="0.2">
      <c r="A2839" s="1" t="s">
        <v>1276</v>
      </c>
      <c r="B2839" s="1" t="s">
        <v>580</v>
      </c>
      <c r="C2839" s="5">
        <f>DATE(2026, 2, 5) + TIME(12, 50, 19)</f>
        <v>46058.534942129627</v>
      </c>
      <c r="D2839" s="1" t="s">
        <v>3</v>
      </c>
      <c r="E2839" s="1" t="s">
        <v>684</v>
      </c>
    </row>
    <row r="2840" spans="1:5" x14ac:dyDescent="0.2">
      <c r="A2840" s="1" t="s">
        <v>1276</v>
      </c>
      <c r="B2840" s="1" t="s">
        <v>821</v>
      </c>
      <c r="C2840" s="5">
        <f>DATE(2026, 2, 5) + TIME(12, 50, 19)</f>
        <v>46058.534942129627</v>
      </c>
      <c r="D2840" s="1" t="s">
        <v>3</v>
      </c>
      <c r="E2840" s="1" t="s">
        <v>684</v>
      </c>
    </row>
    <row r="2841" spans="1:5" x14ac:dyDescent="0.2">
      <c r="A2841" s="1" t="s">
        <v>1276</v>
      </c>
      <c r="B2841" s="1" t="s">
        <v>562</v>
      </c>
      <c r="C2841" s="5">
        <f>DATE(2026, 2, 5) + TIME(12, 44, 41)</f>
        <v>46058.531030092592</v>
      </c>
      <c r="D2841" s="1" t="s">
        <v>320</v>
      </c>
      <c r="E2841" s="1" t="s">
        <v>698</v>
      </c>
    </row>
    <row r="2842" spans="1:5" x14ac:dyDescent="0.2">
      <c r="A2842" s="1" t="s">
        <v>1276</v>
      </c>
      <c r="B2842" s="1" t="s">
        <v>931</v>
      </c>
      <c r="C2842" s="5">
        <f>DATE(2026, 2, 5) + TIME(10, 20, 2)</f>
        <v>46058.430578703701</v>
      </c>
      <c r="D2842" s="1" t="s">
        <v>640</v>
      </c>
      <c r="E2842" s="1" t="s">
        <v>333</v>
      </c>
    </row>
    <row r="2843" spans="1:5" x14ac:dyDescent="0.2">
      <c r="A2843" s="1" t="s">
        <v>1276</v>
      </c>
      <c r="B2843" s="1" t="s">
        <v>69</v>
      </c>
      <c r="C2843" s="5">
        <f>DATE(2026, 2, 4) + TIME(15, 53, 6)</f>
        <v>46057.661874999998</v>
      </c>
      <c r="D2843" s="1" t="s">
        <v>216</v>
      </c>
      <c r="E2843" s="1" t="s">
        <v>274</v>
      </c>
    </row>
    <row r="2844" spans="1:5" x14ac:dyDescent="0.2">
      <c r="A2844" s="1" t="s">
        <v>1276</v>
      </c>
      <c r="B2844" s="1" t="s">
        <v>580</v>
      </c>
      <c r="C2844" s="5">
        <f>DATE(2026, 2, 4) + TIME(15, 48, 47)</f>
        <v>46057.658877314818</v>
      </c>
      <c r="D2844" s="1" t="s">
        <v>506</v>
      </c>
      <c r="E2844" s="1" t="s">
        <v>158</v>
      </c>
    </row>
    <row r="2845" spans="1:5" x14ac:dyDescent="0.2">
      <c r="A2845" s="1" t="s">
        <v>1276</v>
      </c>
      <c r="B2845" s="1" t="s">
        <v>328</v>
      </c>
      <c r="C2845" s="5">
        <f>DATE(2026, 2, 4) + TIME(15, 20, 5)</f>
        <v>46057.63894675926</v>
      </c>
      <c r="D2845" s="1" t="s">
        <v>65</v>
      </c>
      <c r="E2845" s="1" t="s">
        <v>918</v>
      </c>
    </row>
    <row r="2846" spans="1:5" x14ac:dyDescent="0.2">
      <c r="A2846" s="1" t="s">
        <v>1276</v>
      </c>
      <c r="B2846" s="1" t="s">
        <v>866</v>
      </c>
      <c r="C2846" s="5">
        <f>DATE(2026, 2, 4) + TIME(13, 49, 11)</f>
        <v>46057.575821759259</v>
      </c>
      <c r="D2846" s="1" t="s">
        <v>506</v>
      </c>
      <c r="E2846" s="1" t="s">
        <v>709</v>
      </c>
    </row>
    <row r="2847" spans="1:5" x14ac:dyDescent="0.2">
      <c r="A2847" s="1" t="s">
        <v>1276</v>
      </c>
      <c r="B2847" s="1" t="s">
        <v>817</v>
      </c>
      <c r="C2847" s="5">
        <f>DATE(2026, 2, 4) + TIME(13, 26, 43)</f>
        <v>46057.560219907406</v>
      </c>
      <c r="D2847" s="1" t="s">
        <v>869</v>
      </c>
      <c r="E2847" s="1" t="s">
        <v>217</v>
      </c>
    </row>
    <row r="2848" spans="1:5" x14ac:dyDescent="0.2">
      <c r="A2848" s="1" t="s">
        <v>1276</v>
      </c>
      <c r="B2848" s="1" t="s">
        <v>508</v>
      </c>
      <c r="C2848" s="5">
        <f>DATE(2026, 2, 4) + TIME(8, 37, 33)</f>
        <v>46057.359409722223</v>
      </c>
      <c r="D2848" s="1" t="s">
        <v>3</v>
      </c>
      <c r="E2848" s="1" t="s">
        <v>25</v>
      </c>
    </row>
    <row r="2849" spans="1:5" x14ac:dyDescent="0.2">
      <c r="A2849" s="1" t="s">
        <v>1276</v>
      </c>
      <c r="B2849" s="1" t="s">
        <v>932</v>
      </c>
      <c r="C2849" s="5">
        <f>DATE(2026, 2, 3) + TIME(16, 27, 22)</f>
        <v>46056.685671296298</v>
      </c>
      <c r="D2849" s="1" t="s">
        <v>216</v>
      </c>
      <c r="E2849" s="1" t="s">
        <v>230</v>
      </c>
    </row>
    <row r="2850" spans="1:5" x14ac:dyDescent="0.2">
      <c r="A2850" s="1" t="s">
        <v>1276</v>
      </c>
      <c r="B2850" s="1" t="s">
        <v>931</v>
      </c>
      <c r="C2850" s="5">
        <f>DATE(2026, 2, 3) + TIME(15, 32, 11)</f>
        <v>46056.647349537037</v>
      </c>
      <c r="D2850" s="1" t="s">
        <v>3</v>
      </c>
      <c r="E2850" s="1" t="s">
        <v>13</v>
      </c>
    </row>
    <row r="2851" spans="1:5" x14ac:dyDescent="0.2">
      <c r="A2851" s="1" t="s">
        <v>1276</v>
      </c>
      <c r="B2851" s="1" t="s">
        <v>69</v>
      </c>
      <c r="C2851" s="5">
        <f>DATE(2026, 2, 3) + TIME(14, 56, 14)</f>
        <v>46056.622384259259</v>
      </c>
      <c r="D2851" s="1" t="s">
        <v>269</v>
      </c>
      <c r="E2851" s="1" t="s">
        <v>12</v>
      </c>
    </row>
    <row r="2852" spans="1:5" x14ac:dyDescent="0.2">
      <c r="A2852" s="1" t="s">
        <v>1276</v>
      </c>
      <c r="B2852" s="1" t="s">
        <v>228</v>
      </c>
      <c r="C2852" s="5">
        <f>DATE(2026, 2, 3) + TIME(13, 10, 36)</f>
        <v>46056.549027777779</v>
      </c>
      <c r="D2852" s="1" t="s">
        <v>640</v>
      </c>
      <c r="E2852" s="1" t="s">
        <v>762</v>
      </c>
    </row>
    <row r="2853" spans="1:5" x14ac:dyDescent="0.2">
      <c r="A2853" s="1" t="s">
        <v>1276</v>
      </c>
      <c r="B2853" s="1" t="s">
        <v>7</v>
      </c>
      <c r="C2853" s="5">
        <f>DATE(2026, 2, 3) + TIME(11, 1, 38)</f>
        <v>46056.459467592591</v>
      </c>
      <c r="D2853" s="1" t="s">
        <v>65</v>
      </c>
      <c r="E2853" s="1" t="s">
        <v>152</v>
      </c>
    </row>
    <row r="2854" spans="1:5" x14ac:dyDescent="0.2">
      <c r="A2854" s="1" t="s">
        <v>1276</v>
      </c>
      <c r="B2854" s="1" t="s">
        <v>169</v>
      </c>
      <c r="C2854" s="5">
        <f>DATE(2026, 2, 3) + TIME(9, 26, 5)</f>
        <v>46056.393113425926</v>
      </c>
      <c r="D2854" s="1" t="s">
        <v>398</v>
      </c>
      <c r="E2854" s="1" t="s">
        <v>143</v>
      </c>
    </row>
    <row r="2855" spans="1:5" x14ac:dyDescent="0.2">
      <c r="A2855" s="1" t="s">
        <v>1276</v>
      </c>
      <c r="B2855" s="1" t="s">
        <v>523</v>
      </c>
      <c r="C2855" s="5">
        <f>DATE(2026, 2, 3) + TIME(9, 26, 5)</f>
        <v>46056.393113425926</v>
      </c>
      <c r="D2855" s="1" t="s">
        <v>398</v>
      </c>
      <c r="E2855" s="1" t="s">
        <v>143</v>
      </c>
    </row>
    <row r="2856" spans="1:5" x14ac:dyDescent="0.2">
      <c r="A2856" s="1" t="s">
        <v>1276</v>
      </c>
      <c r="B2856" s="1" t="s">
        <v>648</v>
      </c>
      <c r="C2856" s="5">
        <f>DATE(2026, 2, 2) + TIME(16, 30, 4)</f>
        <v>46055.6875462963</v>
      </c>
      <c r="D2856" s="1" t="s">
        <v>640</v>
      </c>
      <c r="E2856" s="1" t="s">
        <v>70</v>
      </c>
    </row>
    <row r="2857" spans="1:5" x14ac:dyDescent="0.2">
      <c r="A2857" s="1" t="s">
        <v>1276</v>
      </c>
      <c r="B2857" s="1" t="s">
        <v>866</v>
      </c>
      <c r="C2857" s="5">
        <f>DATE(2026, 2, 2) + TIME(16, 28, 34)</f>
        <v>46055.68650462963</v>
      </c>
      <c r="D2857" s="1" t="s">
        <v>320</v>
      </c>
      <c r="E2857" s="1" t="s">
        <v>406</v>
      </c>
    </row>
    <row r="2858" spans="1:5" x14ac:dyDescent="0.2">
      <c r="A2858" s="1" t="s">
        <v>1276</v>
      </c>
      <c r="B2858" s="1" t="s">
        <v>582</v>
      </c>
      <c r="C2858" s="5">
        <f>DATE(2026, 2, 2) + TIME(15, 48, 15)</f>
        <v>46055.658506944441</v>
      </c>
      <c r="D2858" s="1" t="s">
        <v>3</v>
      </c>
      <c r="E2858" s="1" t="s">
        <v>934</v>
      </c>
    </row>
    <row r="2859" spans="1:5" x14ac:dyDescent="0.2">
      <c r="A2859" s="1" t="s">
        <v>1276</v>
      </c>
      <c r="B2859" s="1" t="s">
        <v>866</v>
      </c>
      <c r="C2859" s="5">
        <f>DATE(2026, 2, 2) + TIME(13, 43, 27)</f>
        <v>46055.571840277778</v>
      </c>
      <c r="D2859" s="1" t="s">
        <v>563</v>
      </c>
      <c r="E2859" s="1" t="s">
        <v>935</v>
      </c>
    </row>
    <row r="2860" spans="1:5" x14ac:dyDescent="0.2">
      <c r="A2860" s="1" t="s">
        <v>1276</v>
      </c>
      <c r="B2860" s="1" t="s">
        <v>69</v>
      </c>
      <c r="C2860" s="5">
        <f>DATE(2026, 2, 2) + TIME(13, 31, 34)</f>
        <v>46055.563587962963</v>
      </c>
      <c r="D2860" s="1" t="s">
        <v>398</v>
      </c>
      <c r="E2860" s="1" t="s">
        <v>325</v>
      </c>
    </row>
    <row r="2861" spans="1:5" x14ac:dyDescent="0.2">
      <c r="A2861" s="1" t="s">
        <v>1276</v>
      </c>
      <c r="B2861" s="1" t="s">
        <v>84</v>
      </c>
      <c r="C2861" s="5">
        <f>DATE(2026, 2, 2) + TIME(13, 31, 34)</f>
        <v>46055.563587962963</v>
      </c>
      <c r="D2861" s="1" t="s">
        <v>398</v>
      </c>
      <c r="E2861" s="1" t="s">
        <v>325</v>
      </c>
    </row>
    <row r="2862" spans="1:5" x14ac:dyDescent="0.2">
      <c r="A2862" s="1" t="s">
        <v>1276</v>
      </c>
      <c r="B2862" s="1" t="s">
        <v>766</v>
      </c>
      <c r="C2862" s="5">
        <f>DATE(2026, 2, 2) + TIME(13, 31, 34)</f>
        <v>46055.563587962963</v>
      </c>
      <c r="D2862" s="1" t="s">
        <v>398</v>
      </c>
      <c r="E2862" s="1" t="s">
        <v>325</v>
      </c>
    </row>
    <row r="2863" spans="1:5" x14ac:dyDescent="0.2">
      <c r="A2863" s="1" t="s">
        <v>1276</v>
      </c>
      <c r="B2863" s="1" t="s">
        <v>9</v>
      </c>
      <c r="C2863" s="5">
        <f>DATE(2026, 2, 2) + TIME(13, 31, 34)</f>
        <v>46055.563587962963</v>
      </c>
      <c r="D2863" s="1" t="s">
        <v>398</v>
      </c>
      <c r="E2863" s="1" t="s">
        <v>325</v>
      </c>
    </row>
    <row r="2864" spans="1:5" x14ac:dyDescent="0.2">
      <c r="A2864" s="1" t="s">
        <v>1276</v>
      </c>
      <c r="B2864" s="1" t="s">
        <v>817</v>
      </c>
      <c r="C2864" s="5">
        <f>DATE(2026, 2, 2) + TIME(13, 31, 34)</f>
        <v>46055.563587962963</v>
      </c>
      <c r="D2864" s="1" t="s">
        <v>398</v>
      </c>
      <c r="E2864" s="1" t="s">
        <v>325</v>
      </c>
    </row>
    <row r="2865" spans="1:5" x14ac:dyDescent="0.2">
      <c r="A2865" s="1" t="s">
        <v>1276</v>
      </c>
      <c r="B2865" s="1" t="s">
        <v>409</v>
      </c>
      <c r="C2865" s="5">
        <f>DATE(2026, 2, 2) + TIME(13, 17, 52)</f>
        <v>46055.554074074076</v>
      </c>
      <c r="D2865" s="1" t="s">
        <v>640</v>
      </c>
      <c r="E2865" s="1" t="s">
        <v>870</v>
      </c>
    </row>
    <row r="2866" spans="1:5" x14ac:dyDescent="0.2">
      <c r="A2866" s="1" t="s">
        <v>1276</v>
      </c>
      <c r="B2866" s="1" t="s">
        <v>344</v>
      </c>
      <c r="C2866" s="5">
        <f>DATE(2026, 2, 2) + TIME(13, 17, 37)</f>
        <v>46055.553900462961</v>
      </c>
      <c r="D2866" s="1" t="s">
        <v>754</v>
      </c>
      <c r="E2866" s="1" t="s">
        <v>75</v>
      </c>
    </row>
    <row r="2867" spans="1:5" x14ac:dyDescent="0.2">
      <c r="A2867" s="1" t="s">
        <v>1276</v>
      </c>
      <c r="B2867" s="1" t="s">
        <v>468</v>
      </c>
      <c r="C2867" s="5">
        <f>DATE(2026, 2, 2) + TIME(12, 14, 16)</f>
        <v>46055.50990740741</v>
      </c>
      <c r="D2867" s="1" t="s">
        <v>65</v>
      </c>
      <c r="E2867" s="1" t="s">
        <v>219</v>
      </c>
    </row>
    <row r="2868" spans="1:5" x14ac:dyDescent="0.2">
      <c r="A2868" s="1" t="s">
        <v>1276</v>
      </c>
      <c r="B2868" s="1" t="s">
        <v>866</v>
      </c>
      <c r="C2868" s="5">
        <f>DATE(2026, 2, 2) + TIME(12, 8, 22)</f>
        <v>46055.505810185183</v>
      </c>
      <c r="D2868" s="1" t="s">
        <v>320</v>
      </c>
      <c r="E2868" s="1" t="s">
        <v>214</v>
      </c>
    </row>
    <row r="2869" spans="1:5" x14ac:dyDescent="0.2">
      <c r="A2869" s="1" t="s">
        <v>1276</v>
      </c>
      <c r="B2869" s="1" t="s">
        <v>817</v>
      </c>
      <c r="C2869" s="5">
        <f>DATE(2026, 2, 2) + TIME(11, 43, 17)</f>
        <v>46055.488391203704</v>
      </c>
      <c r="D2869" s="1" t="s">
        <v>398</v>
      </c>
      <c r="E2869" s="1" t="s">
        <v>288</v>
      </c>
    </row>
    <row r="2870" spans="1:5" x14ac:dyDescent="0.2">
      <c r="A2870" s="1" t="s">
        <v>1276</v>
      </c>
      <c r="B2870" s="1" t="s">
        <v>63</v>
      </c>
      <c r="C2870" s="5">
        <f>DATE(2026, 1, 29) + TIME(15, 6, 34)</f>
        <v>46051.629560185182</v>
      </c>
      <c r="D2870" s="1" t="s">
        <v>638</v>
      </c>
      <c r="E2870" s="1" t="s">
        <v>85</v>
      </c>
    </row>
    <row r="2871" spans="1:5" x14ac:dyDescent="0.2">
      <c r="A2871" s="1" t="s">
        <v>1276</v>
      </c>
      <c r="B2871" s="1" t="s">
        <v>72</v>
      </c>
      <c r="C2871" s="5">
        <f>DATE(2026, 1, 29) + TIME(14, 6, 42)</f>
        <v>46051.58798611111</v>
      </c>
      <c r="D2871" s="1" t="s">
        <v>638</v>
      </c>
      <c r="E2871" s="1" t="s">
        <v>397</v>
      </c>
    </row>
    <row r="2872" spans="1:5" x14ac:dyDescent="0.2">
      <c r="A2872" s="1" t="s">
        <v>1276</v>
      </c>
      <c r="B2872" s="1" t="s">
        <v>765</v>
      </c>
      <c r="C2872" s="5">
        <f>DATE(2026, 1, 29) + TIME(14, 5, 12)</f>
        <v>46051.586944444447</v>
      </c>
      <c r="D2872" s="1" t="s">
        <v>269</v>
      </c>
      <c r="E2872" s="1" t="s">
        <v>270</v>
      </c>
    </row>
    <row r="2873" spans="1:5" x14ac:dyDescent="0.2">
      <c r="A2873" s="1" t="s">
        <v>1276</v>
      </c>
      <c r="B2873" s="1" t="s">
        <v>331</v>
      </c>
      <c r="C2873" s="5">
        <f>DATE(2026, 1, 29) + TIME(14, 5, 12)</f>
        <v>46051.586944444447</v>
      </c>
      <c r="D2873" s="1" t="s">
        <v>269</v>
      </c>
      <c r="E2873" s="1" t="s">
        <v>270</v>
      </c>
    </row>
    <row r="2874" spans="1:5" x14ac:dyDescent="0.2">
      <c r="A2874" s="1" t="s">
        <v>1276</v>
      </c>
      <c r="B2874" s="1" t="s">
        <v>231</v>
      </c>
      <c r="C2874" s="5">
        <f>DATE(2026, 1, 29) + TIME(14, 4, 33)</f>
        <v>46051.586493055554</v>
      </c>
      <c r="D2874" s="1" t="s">
        <v>754</v>
      </c>
      <c r="E2874" s="1" t="s">
        <v>27</v>
      </c>
    </row>
    <row r="2875" spans="1:5" x14ac:dyDescent="0.2">
      <c r="A2875" s="1" t="s">
        <v>1276</v>
      </c>
      <c r="B2875" s="1" t="s">
        <v>28</v>
      </c>
      <c r="C2875" s="5">
        <f>DATE(2026, 1, 29) + TIME(12, 47, 40)</f>
        <v>46051.533101851855</v>
      </c>
      <c r="D2875" s="1" t="s">
        <v>506</v>
      </c>
      <c r="E2875" s="1" t="s">
        <v>867</v>
      </c>
    </row>
    <row r="2876" spans="1:5" x14ac:dyDescent="0.2">
      <c r="A2876" s="1" t="s">
        <v>1276</v>
      </c>
      <c r="B2876" s="1" t="s">
        <v>29</v>
      </c>
      <c r="C2876" s="5">
        <f>DATE(2026, 1, 29) + TIME(12, 47, 40)</f>
        <v>46051.533101851855</v>
      </c>
      <c r="D2876" s="1" t="s">
        <v>506</v>
      </c>
      <c r="E2876" s="1" t="s">
        <v>867</v>
      </c>
    </row>
    <row r="2877" spans="1:5" x14ac:dyDescent="0.2">
      <c r="A2877" s="1" t="s">
        <v>1276</v>
      </c>
      <c r="B2877" s="1" t="s">
        <v>686</v>
      </c>
      <c r="C2877" s="5">
        <f>DATE(2026, 1, 29) + TIME(12, 47, 40)</f>
        <v>46051.533101851855</v>
      </c>
      <c r="D2877" s="1" t="s">
        <v>506</v>
      </c>
      <c r="E2877" s="1" t="s">
        <v>867</v>
      </c>
    </row>
    <row r="2878" spans="1:5" x14ac:dyDescent="0.2">
      <c r="A2878" s="1" t="s">
        <v>1276</v>
      </c>
      <c r="B2878" s="1" t="s">
        <v>686</v>
      </c>
      <c r="C2878" s="5">
        <f>DATE(2026, 1, 29) + TIME(12, 0, 58)</f>
        <v>46051.500671296293</v>
      </c>
      <c r="D2878" s="1" t="s">
        <v>3</v>
      </c>
      <c r="E2878" s="1" t="s">
        <v>224</v>
      </c>
    </row>
    <row r="2879" spans="1:5" x14ac:dyDescent="0.2">
      <c r="A2879" s="1" t="s">
        <v>1276</v>
      </c>
      <c r="B2879" s="1" t="s">
        <v>69</v>
      </c>
      <c r="C2879" s="5">
        <f>DATE(2026, 1, 28) + TIME(16, 23, 1)</f>
        <v>46050.682650462964</v>
      </c>
      <c r="D2879" s="1" t="s">
        <v>216</v>
      </c>
      <c r="E2879" s="1" t="s">
        <v>410</v>
      </c>
    </row>
    <row r="2880" spans="1:5" x14ac:dyDescent="0.2">
      <c r="A2880" s="1" t="s">
        <v>1276</v>
      </c>
      <c r="B2880" s="1" t="s">
        <v>524</v>
      </c>
      <c r="C2880" s="5">
        <f>DATE(2026, 1, 28) + TIME(16, 18, 33)</f>
        <v>46050.679548611108</v>
      </c>
      <c r="D2880" s="1" t="s">
        <v>750</v>
      </c>
      <c r="E2880" s="1" t="s">
        <v>158</v>
      </c>
    </row>
    <row r="2881" spans="1:5" x14ac:dyDescent="0.2">
      <c r="A2881" s="1" t="s">
        <v>1276</v>
      </c>
      <c r="B2881" s="1" t="s">
        <v>879</v>
      </c>
      <c r="C2881" s="5">
        <f>DATE(2026, 1, 28) + TIME(15, 38, 23)</f>
        <v>46050.651655092595</v>
      </c>
      <c r="D2881" s="1" t="s">
        <v>871</v>
      </c>
      <c r="E2881" s="1" t="s">
        <v>86</v>
      </c>
    </row>
    <row r="2882" spans="1:5" x14ac:dyDescent="0.2">
      <c r="A2882" s="1" t="s">
        <v>1276</v>
      </c>
      <c r="B2882" s="1" t="s">
        <v>583</v>
      </c>
      <c r="C2882" s="5">
        <f>DATE(2026, 1, 28) + TIME(15, 6, 31)</f>
        <v>46050.629525462966</v>
      </c>
      <c r="D2882" s="1" t="s">
        <v>871</v>
      </c>
      <c r="E2882" s="1" t="s">
        <v>149</v>
      </c>
    </row>
    <row r="2883" spans="1:5" ht="16" x14ac:dyDescent="0.2">
      <c r="A2883" s="1" t="s">
        <v>1276</v>
      </c>
      <c r="B2883" s="1" t="s">
        <v>331</v>
      </c>
      <c r="C2883" s="5">
        <f>DATE(2026, 1, 28) + TIME(14, 46, 28)</f>
        <v>46050.615601851852</v>
      </c>
      <c r="D2883" s="1" t="s">
        <v>754</v>
      </c>
      <c r="E2883" s="2" t="s">
        <v>87</v>
      </c>
    </row>
    <row r="2884" spans="1:5" x14ac:dyDescent="0.2">
      <c r="A2884" s="1" t="s">
        <v>1276</v>
      </c>
      <c r="B2884" s="1" t="s">
        <v>864</v>
      </c>
      <c r="C2884" s="5">
        <f>DATE(2026, 1, 28) + TIME(14, 42, 36)</f>
        <v>46050.612916666665</v>
      </c>
      <c r="D2884" s="1" t="s">
        <v>506</v>
      </c>
      <c r="E2884" s="1" t="s">
        <v>6</v>
      </c>
    </row>
    <row r="2885" spans="1:5" x14ac:dyDescent="0.2">
      <c r="A2885" s="1" t="s">
        <v>1276</v>
      </c>
      <c r="B2885" s="1" t="s">
        <v>690</v>
      </c>
      <c r="C2885" s="5">
        <f>DATE(2026, 1, 28) + TIME(13, 15, 0)</f>
        <v>46050.552083333336</v>
      </c>
      <c r="D2885" s="1" t="s">
        <v>3</v>
      </c>
      <c r="E2885" s="1" t="s">
        <v>25</v>
      </c>
    </row>
    <row r="2886" spans="1:5" x14ac:dyDescent="0.2">
      <c r="A2886" s="1" t="s">
        <v>1276</v>
      </c>
      <c r="B2886" s="1" t="s">
        <v>648</v>
      </c>
      <c r="C2886" s="5">
        <f>DATE(2026, 1, 28) + TIME(12, 25, 41)</f>
        <v>46050.517835648148</v>
      </c>
      <c r="D2886" s="1" t="s">
        <v>3</v>
      </c>
      <c r="E2886" s="1" t="s">
        <v>936</v>
      </c>
    </row>
    <row r="2887" spans="1:5" x14ac:dyDescent="0.2">
      <c r="A2887" s="1" t="s">
        <v>1276</v>
      </c>
      <c r="B2887" s="1" t="s">
        <v>583</v>
      </c>
      <c r="C2887" s="5">
        <f>DATE(2026, 1, 28) + TIME(12, 2, 1)</f>
        <v>46050.501400462963</v>
      </c>
      <c r="D2887" s="1" t="s">
        <v>320</v>
      </c>
      <c r="E2887" s="1" t="s">
        <v>2</v>
      </c>
    </row>
    <row r="2888" spans="1:5" x14ac:dyDescent="0.2">
      <c r="A2888" s="1" t="s">
        <v>1276</v>
      </c>
      <c r="B2888" s="1" t="s">
        <v>408</v>
      </c>
      <c r="C2888" s="5">
        <f>DATE(2026, 1, 28) + TIME(11, 24, 9)</f>
        <v>46050.475104166668</v>
      </c>
      <c r="D2888" s="1" t="s">
        <v>65</v>
      </c>
      <c r="E2888" s="1" t="s">
        <v>918</v>
      </c>
    </row>
    <row r="2889" spans="1:5" x14ac:dyDescent="0.2">
      <c r="A2889" s="1" t="s">
        <v>1276</v>
      </c>
      <c r="B2889" s="1" t="s">
        <v>866</v>
      </c>
      <c r="C2889" s="5">
        <f>DATE(2026, 1, 27) + TIME(16, 30, 53)</f>
        <v>46049.688113425924</v>
      </c>
      <c r="D2889" s="1" t="s">
        <v>869</v>
      </c>
      <c r="E2889" s="1" t="s">
        <v>880</v>
      </c>
    </row>
    <row r="2890" spans="1:5" x14ac:dyDescent="0.2">
      <c r="A2890" s="1" t="s">
        <v>1276</v>
      </c>
      <c r="B2890" s="1" t="s">
        <v>285</v>
      </c>
      <c r="C2890" s="5">
        <f>DATE(2026, 1, 27) + TIME(13, 50, 38)</f>
        <v>46049.576828703706</v>
      </c>
      <c r="D2890" s="1" t="s">
        <v>148</v>
      </c>
      <c r="E2890" s="1" t="s">
        <v>877</v>
      </c>
    </row>
    <row r="2891" spans="1:5" x14ac:dyDescent="0.2">
      <c r="A2891" s="1" t="s">
        <v>1276</v>
      </c>
      <c r="B2891" s="1" t="s">
        <v>524</v>
      </c>
      <c r="C2891" s="5">
        <f>DATE(2026, 1, 27) + TIME(12, 46, 43)</f>
        <v>46049.532442129632</v>
      </c>
      <c r="D2891" s="1" t="s">
        <v>216</v>
      </c>
      <c r="E2891" s="1" t="s">
        <v>233</v>
      </c>
    </row>
    <row r="2892" spans="1:5" x14ac:dyDescent="0.2">
      <c r="A2892" s="1" t="s">
        <v>1276</v>
      </c>
      <c r="B2892" s="1" t="s">
        <v>7</v>
      </c>
      <c r="C2892" s="5">
        <f>DATE(2026, 1, 27) + TIME(10, 58, 13)</f>
        <v>46049.457094907404</v>
      </c>
      <c r="D2892" s="1" t="s">
        <v>869</v>
      </c>
      <c r="E2892" s="1" t="s">
        <v>327</v>
      </c>
    </row>
    <row r="2893" spans="1:5" x14ac:dyDescent="0.2">
      <c r="A2893" s="1" t="s">
        <v>1276</v>
      </c>
      <c r="B2893" s="1" t="s">
        <v>864</v>
      </c>
      <c r="C2893" s="5">
        <f>DATE(2026, 1, 27) + TIME(9, 5, 29)</f>
        <v>46049.378807870373</v>
      </c>
      <c r="D2893" s="1" t="s">
        <v>148</v>
      </c>
      <c r="E2893" s="1" t="s">
        <v>471</v>
      </c>
    </row>
    <row r="2894" spans="1:5" x14ac:dyDescent="0.2">
      <c r="A2894" s="1" t="s">
        <v>1276</v>
      </c>
      <c r="B2894" s="1" t="s">
        <v>688</v>
      </c>
      <c r="C2894" s="5">
        <f>DATE(2026, 1, 27) + TIME(9, 5, 28)</f>
        <v>46049.378796296296</v>
      </c>
      <c r="D2894" s="1" t="s">
        <v>148</v>
      </c>
      <c r="E2894" s="1" t="s">
        <v>471</v>
      </c>
    </row>
    <row r="2895" spans="1:5" x14ac:dyDescent="0.2">
      <c r="A2895" s="1" t="s">
        <v>1276</v>
      </c>
      <c r="B2895" s="1" t="s">
        <v>139</v>
      </c>
      <c r="C2895" s="5">
        <f>DATE(2026, 1, 27) + TIME(7, 53, 21)</f>
        <v>46049.328715277778</v>
      </c>
      <c r="D2895" s="1" t="s">
        <v>398</v>
      </c>
      <c r="E2895" s="1" t="s">
        <v>289</v>
      </c>
    </row>
    <row r="2896" spans="1:5" x14ac:dyDescent="0.2">
      <c r="A2896" s="1" t="s">
        <v>1276</v>
      </c>
      <c r="B2896" s="1" t="s">
        <v>690</v>
      </c>
      <c r="C2896" s="5">
        <f>DATE(2026, 1, 26) + TIME(14, 51, 27)</f>
        <v>46048.619062500002</v>
      </c>
      <c r="D2896" s="1" t="s">
        <v>65</v>
      </c>
      <c r="E2896" s="1" t="s">
        <v>152</v>
      </c>
    </row>
    <row r="2897" spans="1:5" x14ac:dyDescent="0.2">
      <c r="A2897" s="1" t="s">
        <v>1276</v>
      </c>
      <c r="B2897" s="1" t="s">
        <v>817</v>
      </c>
      <c r="C2897" s="5">
        <f>DATE(2026, 1, 26) + TIME(14, 50, 54)</f>
        <v>46048.618680555555</v>
      </c>
      <c r="D2897" s="1" t="s">
        <v>65</v>
      </c>
      <c r="E2897" s="1" t="s">
        <v>404</v>
      </c>
    </row>
    <row r="2898" spans="1:5" x14ac:dyDescent="0.2">
      <c r="A2898" s="1" t="s">
        <v>1276</v>
      </c>
      <c r="B2898" s="1" t="s">
        <v>817</v>
      </c>
      <c r="C2898" s="5">
        <f>DATE(2026, 1, 22) + TIME(15, 46, 3)</f>
        <v>46044.65697916667</v>
      </c>
      <c r="D2898" s="1" t="s">
        <v>638</v>
      </c>
      <c r="E2898" s="1" t="s">
        <v>85</v>
      </c>
    </row>
    <row r="2899" spans="1:5" x14ac:dyDescent="0.2">
      <c r="A2899" s="1" t="s">
        <v>1276</v>
      </c>
      <c r="B2899" s="1" t="s">
        <v>937</v>
      </c>
      <c r="C2899" s="5">
        <f>DATE(2026, 1, 22) + TIME(14, 36, 53)</f>
        <v>46044.608946759261</v>
      </c>
      <c r="D2899" s="1" t="s">
        <v>640</v>
      </c>
      <c r="E2899" s="1" t="s">
        <v>870</v>
      </c>
    </row>
    <row r="2900" spans="1:5" x14ac:dyDescent="0.2">
      <c r="A2900" s="1" t="s">
        <v>1276</v>
      </c>
      <c r="B2900" s="1" t="s">
        <v>882</v>
      </c>
      <c r="C2900" s="5">
        <f>DATE(2026, 1, 22) + TIME(13, 31, 19)</f>
        <v>46044.563414351855</v>
      </c>
      <c r="D2900" s="1" t="s">
        <v>754</v>
      </c>
      <c r="E2900" s="1" t="s">
        <v>755</v>
      </c>
    </row>
    <row r="2901" spans="1:5" x14ac:dyDescent="0.2">
      <c r="A2901" s="1" t="s">
        <v>1276</v>
      </c>
      <c r="B2901" s="1" t="s">
        <v>322</v>
      </c>
      <c r="C2901" s="5">
        <f>DATE(2026, 1, 22) + TIME(12, 47, 42)</f>
        <v>46044.533125000002</v>
      </c>
      <c r="D2901" s="1" t="s">
        <v>398</v>
      </c>
      <c r="E2901" s="1" t="s">
        <v>516</v>
      </c>
    </row>
    <row r="2902" spans="1:5" x14ac:dyDescent="0.2">
      <c r="A2902" s="1" t="s">
        <v>1276</v>
      </c>
      <c r="B2902" s="1" t="s">
        <v>690</v>
      </c>
      <c r="C2902" s="5">
        <f>DATE(2026, 1, 22) + TIME(8, 9, 56)</f>
        <v>46044.340231481481</v>
      </c>
      <c r="D2902" s="1" t="s">
        <v>65</v>
      </c>
      <c r="E2902" s="1" t="s">
        <v>152</v>
      </c>
    </row>
    <row r="2903" spans="1:5" x14ac:dyDescent="0.2">
      <c r="A2903" s="1" t="s">
        <v>1276</v>
      </c>
      <c r="B2903" s="1" t="s">
        <v>651</v>
      </c>
      <c r="C2903" s="5">
        <f>DATE(2026, 1, 21) + TIME(15, 13, 7)</f>
        <v>46043.634108796294</v>
      </c>
      <c r="D2903" s="1" t="s">
        <v>64</v>
      </c>
      <c r="E2903" s="1" t="s">
        <v>768</v>
      </c>
    </row>
    <row r="2904" spans="1:5" x14ac:dyDescent="0.2">
      <c r="A2904" s="1" t="s">
        <v>1276</v>
      </c>
      <c r="B2904" s="1" t="s">
        <v>472</v>
      </c>
      <c r="C2904" s="5">
        <f>DATE(2026, 1, 21) + TIME(13, 59, 33)</f>
        <v>46043.583020833335</v>
      </c>
      <c r="D2904" s="1" t="s">
        <v>459</v>
      </c>
      <c r="E2904" s="1" t="s">
        <v>19</v>
      </c>
    </row>
    <row r="2905" spans="1:5" x14ac:dyDescent="0.2">
      <c r="A2905" s="1" t="s">
        <v>1276</v>
      </c>
      <c r="B2905" s="1" t="s">
        <v>876</v>
      </c>
      <c r="C2905" s="5">
        <f>DATE(2026, 1, 21) + TIME(13, 38, 6)</f>
        <v>46043.568124999998</v>
      </c>
      <c r="D2905" s="1" t="s">
        <v>349</v>
      </c>
      <c r="E2905" s="1" t="s">
        <v>149</v>
      </c>
    </row>
    <row r="2906" spans="1:5" ht="16" x14ac:dyDescent="0.2">
      <c r="A2906" s="1" t="s">
        <v>1276</v>
      </c>
      <c r="B2906" s="1" t="s">
        <v>291</v>
      </c>
      <c r="C2906" s="5">
        <f>DATE(2026, 1, 21) + TIME(13, 36, 11)</f>
        <v>46043.566793981481</v>
      </c>
      <c r="D2906" s="1" t="s">
        <v>754</v>
      </c>
      <c r="E2906" s="2" t="s">
        <v>87</v>
      </c>
    </row>
    <row r="2907" spans="1:5" x14ac:dyDescent="0.2">
      <c r="A2907" s="1" t="s">
        <v>1276</v>
      </c>
      <c r="B2907" s="1" t="s">
        <v>163</v>
      </c>
      <c r="C2907" s="5">
        <f>DATE(2026, 1, 21) + TIME(12, 54, 15)</f>
        <v>46043.537673611114</v>
      </c>
      <c r="D2907" s="1" t="s">
        <v>5</v>
      </c>
      <c r="E2907" s="1" t="s">
        <v>473</v>
      </c>
    </row>
    <row r="2908" spans="1:5" x14ac:dyDescent="0.2">
      <c r="A2908" s="1" t="s">
        <v>1276</v>
      </c>
      <c r="B2908" s="1" t="s">
        <v>72</v>
      </c>
      <c r="C2908" s="5">
        <f>DATE(2026, 1, 21) + TIME(12, 36, 43)</f>
        <v>46043.525497685187</v>
      </c>
      <c r="D2908" s="1" t="s">
        <v>320</v>
      </c>
      <c r="E2908" s="1" t="s">
        <v>2</v>
      </c>
    </row>
    <row r="2909" spans="1:5" x14ac:dyDescent="0.2">
      <c r="A2909" s="1" t="s">
        <v>1276</v>
      </c>
      <c r="B2909" s="1" t="s">
        <v>350</v>
      </c>
      <c r="C2909" s="5">
        <f>DATE(2026, 1, 21) + TIME(12, 36, 42)</f>
        <v>46043.52548611111</v>
      </c>
      <c r="D2909" s="1" t="s">
        <v>320</v>
      </c>
      <c r="E2909" s="1" t="s">
        <v>2</v>
      </c>
    </row>
    <row r="2910" spans="1:5" x14ac:dyDescent="0.2">
      <c r="A2910" s="1" t="s">
        <v>1276</v>
      </c>
      <c r="B2910" s="1" t="s">
        <v>30</v>
      </c>
      <c r="C2910" s="5">
        <f>DATE(2026, 1, 20) + TIME(16, 28, 50)</f>
        <v>46042.686689814815</v>
      </c>
      <c r="D2910" s="1" t="s">
        <v>921</v>
      </c>
      <c r="E2910" s="1" t="s">
        <v>292</v>
      </c>
    </row>
    <row r="2911" spans="1:5" x14ac:dyDescent="0.2">
      <c r="A2911" s="1" t="s">
        <v>1276</v>
      </c>
      <c r="B2911" s="1" t="s">
        <v>63</v>
      </c>
      <c r="C2911" s="5">
        <f>DATE(2026, 1, 20) + TIME(13, 49, 35)</f>
        <v>46042.576099537036</v>
      </c>
      <c r="D2911" s="1" t="s">
        <v>640</v>
      </c>
      <c r="E2911" s="1" t="s">
        <v>762</v>
      </c>
    </row>
    <row r="2912" spans="1:5" x14ac:dyDescent="0.2">
      <c r="A2912" s="1" t="s">
        <v>1276</v>
      </c>
      <c r="B2912" s="1" t="s">
        <v>866</v>
      </c>
      <c r="C2912" s="5">
        <f>DATE(2026, 1, 20) + TIME(13, 49, 35)</f>
        <v>46042.576099537036</v>
      </c>
      <c r="D2912" s="1" t="s">
        <v>640</v>
      </c>
      <c r="E2912" s="1" t="s">
        <v>762</v>
      </c>
    </row>
    <row r="2913" spans="1:5" x14ac:dyDescent="0.2">
      <c r="A2913" s="1" t="s">
        <v>1276</v>
      </c>
      <c r="B2913" s="1" t="s">
        <v>822</v>
      </c>
      <c r="C2913" s="5">
        <f>DATE(2026, 1, 20) + TIME(12, 26, 37)</f>
        <v>46042.518483796295</v>
      </c>
      <c r="D2913" s="1" t="s">
        <v>216</v>
      </c>
      <c r="E2913" s="1" t="s">
        <v>11</v>
      </c>
    </row>
    <row r="2914" spans="1:5" x14ac:dyDescent="0.2">
      <c r="A2914" s="1" t="s">
        <v>1276</v>
      </c>
      <c r="B2914" s="1" t="s">
        <v>411</v>
      </c>
      <c r="C2914" s="5">
        <f>DATE(2026, 1, 20) + TIME(11, 43, 9)</f>
        <v>46042.488298611112</v>
      </c>
      <c r="D2914" s="1" t="s">
        <v>871</v>
      </c>
      <c r="E2914" s="1" t="s">
        <v>149</v>
      </c>
    </row>
    <row r="2915" spans="1:5" x14ac:dyDescent="0.2">
      <c r="A2915" s="1" t="s">
        <v>1276</v>
      </c>
      <c r="B2915" s="1" t="s">
        <v>322</v>
      </c>
      <c r="C2915" s="5">
        <f>DATE(2026, 1, 20) + TIME(10, 1, 45)</f>
        <v>46042.417881944442</v>
      </c>
      <c r="D2915" s="1" t="s">
        <v>216</v>
      </c>
      <c r="E2915" s="1" t="s">
        <v>337</v>
      </c>
    </row>
    <row r="2916" spans="1:5" x14ac:dyDescent="0.2">
      <c r="A2916" s="1" t="s">
        <v>1276</v>
      </c>
      <c r="B2916" s="1" t="s">
        <v>932</v>
      </c>
      <c r="C2916" s="5">
        <f>DATE(2026, 1, 19) + TIME(16, 12, 35)</f>
        <v>46041.675405092596</v>
      </c>
      <c r="D2916" s="1" t="s">
        <v>3</v>
      </c>
      <c r="E2916" s="1" t="s">
        <v>401</v>
      </c>
    </row>
    <row r="2917" spans="1:5" x14ac:dyDescent="0.2">
      <c r="A2917" s="1" t="s">
        <v>1276</v>
      </c>
      <c r="B2917" s="1" t="s">
        <v>882</v>
      </c>
      <c r="C2917" s="5">
        <f>DATE(2026, 1, 19) + TIME(13, 36, 37)</f>
        <v>46041.567094907405</v>
      </c>
      <c r="D2917" s="1" t="s">
        <v>754</v>
      </c>
      <c r="E2917" s="1" t="s">
        <v>755</v>
      </c>
    </row>
    <row r="2918" spans="1:5" x14ac:dyDescent="0.2">
      <c r="A2918" s="1" t="s">
        <v>1276</v>
      </c>
      <c r="B2918" s="1" t="s">
        <v>939</v>
      </c>
      <c r="C2918" s="5">
        <f>DATE(2026, 1, 19) + TIME(12, 5, 33)</f>
        <v>46041.503854166665</v>
      </c>
      <c r="D2918" s="1" t="s">
        <v>398</v>
      </c>
      <c r="E2918" s="1" t="s">
        <v>516</v>
      </c>
    </row>
    <row r="2919" spans="1:5" x14ac:dyDescent="0.2">
      <c r="A2919" s="1" t="s">
        <v>1276</v>
      </c>
      <c r="B2919" s="1" t="s">
        <v>682</v>
      </c>
      <c r="C2919" s="5">
        <f>DATE(2026, 1, 15) + TIME(15, 54, 19)</f>
        <v>46037.662719907406</v>
      </c>
      <c r="D2919" s="1" t="s">
        <v>506</v>
      </c>
      <c r="E2919" s="1" t="s">
        <v>808</v>
      </c>
    </row>
    <row r="2920" spans="1:5" x14ac:dyDescent="0.2">
      <c r="A2920" s="1" t="s">
        <v>1276</v>
      </c>
      <c r="B2920" s="1" t="s">
        <v>817</v>
      </c>
      <c r="C2920" s="5">
        <f>DATE(2026, 1, 15) + TIME(15, 0, 12)</f>
        <v>46037.625138888892</v>
      </c>
      <c r="D2920" s="1" t="s">
        <v>396</v>
      </c>
      <c r="E2920" s="1" t="s">
        <v>652</v>
      </c>
    </row>
    <row r="2921" spans="1:5" x14ac:dyDescent="0.2">
      <c r="A2921" s="1" t="s">
        <v>1276</v>
      </c>
      <c r="B2921" s="1" t="s">
        <v>817</v>
      </c>
      <c r="C2921" s="5">
        <f>DATE(2026, 1, 15) + TIME(14, 6, 19)</f>
        <v>46037.587719907409</v>
      </c>
      <c r="D2921" s="1" t="s">
        <v>638</v>
      </c>
      <c r="E2921" s="1" t="s">
        <v>397</v>
      </c>
    </row>
    <row r="2922" spans="1:5" x14ac:dyDescent="0.2">
      <c r="A2922" s="1" t="s">
        <v>1276</v>
      </c>
      <c r="B2922" s="1" t="s">
        <v>817</v>
      </c>
      <c r="C2922" s="5">
        <f>DATE(2026, 1, 15) + TIME(13, 54, 37)</f>
        <v>46037.579594907409</v>
      </c>
      <c r="D2922" s="1" t="s">
        <v>563</v>
      </c>
      <c r="E2922" s="1" t="s">
        <v>351</v>
      </c>
    </row>
    <row r="2923" spans="1:5" x14ac:dyDescent="0.2">
      <c r="A2923" s="1" t="s">
        <v>1276</v>
      </c>
      <c r="B2923" s="1" t="s">
        <v>585</v>
      </c>
      <c r="C2923" s="5">
        <f>DATE(2026, 1, 15) + TIME(12, 31, 2)</f>
        <v>46037.521550925929</v>
      </c>
      <c r="D2923" s="1" t="s">
        <v>3</v>
      </c>
      <c r="E2923" s="1" t="s">
        <v>684</v>
      </c>
    </row>
    <row r="2924" spans="1:5" x14ac:dyDescent="0.2">
      <c r="A2924" s="1" t="s">
        <v>1276</v>
      </c>
      <c r="B2924" s="1" t="s">
        <v>817</v>
      </c>
      <c r="C2924" s="5">
        <f>DATE(2026, 1, 15) + TIME(11, 17, 43)</f>
        <v>46037.470636574071</v>
      </c>
      <c r="D2924" s="1" t="s">
        <v>576</v>
      </c>
      <c r="E2924" s="1" t="s">
        <v>567</v>
      </c>
    </row>
    <row r="2925" spans="1:5" x14ac:dyDescent="0.2">
      <c r="A2925" s="1" t="s">
        <v>1276</v>
      </c>
      <c r="B2925" s="1" t="s">
        <v>864</v>
      </c>
      <c r="C2925" s="5">
        <f>DATE(2026, 1, 15) + TIME(9, 40, 45)</f>
        <v>46037.403298611112</v>
      </c>
      <c r="D2925" s="1" t="s">
        <v>754</v>
      </c>
      <c r="E2925" s="1" t="s">
        <v>941</v>
      </c>
    </row>
    <row r="2926" spans="1:5" x14ac:dyDescent="0.2">
      <c r="A2926" s="1" t="s">
        <v>1276</v>
      </c>
      <c r="B2926" s="1" t="s">
        <v>72</v>
      </c>
      <c r="C2926" s="5">
        <f>DATE(2026, 1, 14) + TIME(16, 24, 17)</f>
        <v>46036.683530092596</v>
      </c>
      <c r="D2926" s="1" t="s">
        <v>871</v>
      </c>
      <c r="E2926" s="1" t="s">
        <v>769</v>
      </c>
    </row>
    <row r="2927" spans="1:5" x14ac:dyDescent="0.2">
      <c r="A2927" s="1" t="s">
        <v>1276</v>
      </c>
      <c r="B2927" s="1" t="s">
        <v>569</v>
      </c>
      <c r="C2927" s="5">
        <f>DATE(2026, 1, 14) + TIME(15, 13, 29)</f>
        <v>46036.634363425925</v>
      </c>
      <c r="D2927" s="1" t="s">
        <v>871</v>
      </c>
      <c r="E2927" s="1" t="s">
        <v>149</v>
      </c>
    </row>
    <row r="2928" spans="1:5" x14ac:dyDescent="0.2">
      <c r="A2928" s="1" t="s">
        <v>1276</v>
      </c>
      <c r="B2928" s="1" t="s">
        <v>69</v>
      </c>
      <c r="C2928" s="5">
        <f>DATE(2026, 1, 14) + TIME(14, 44, 1)</f>
        <v>46036.613900462966</v>
      </c>
      <c r="D2928" s="1" t="s">
        <v>576</v>
      </c>
      <c r="E2928" s="1" t="s">
        <v>706</v>
      </c>
    </row>
    <row r="2929" spans="1:5" x14ac:dyDescent="0.2">
      <c r="A2929" s="1" t="s">
        <v>1276</v>
      </c>
      <c r="B2929" s="1" t="s">
        <v>866</v>
      </c>
      <c r="C2929" s="5">
        <f>DATE(2026, 1, 14) + TIME(12, 56, 8)</f>
        <v>46036.538981481484</v>
      </c>
      <c r="D2929" s="1" t="s">
        <v>320</v>
      </c>
      <c r="E2929" s="1" t="s">
        <v>412</v>
      </c>
    </row>
    <row r="2930" spans="1:5" x14ac:dyDescent="0.2">
      <c r="A2930" s="1" t="s">
        <v>1276</v>
      </c>
      <c r="B2930" s="1" t="s">
        <v>4</v>
      </c>
      <c r="C2930" s="5">
        <f>DATE(2026, 1, 14) + TIME(12, 56, 8)</f>
        <v>46036.538981481484</v>
      </c>
      <c r="D2930" s="1" t="s">
        <v>320</v>
      </c>
      <c r="E2930" s="1" t="s">
        <v>412</v>
      </c>
    </row>
    <row r="2931" spans="1:5" x14ac:dyDescent="0.2">
      <c r="A2931" s="1" t="s">
        <v>1276</v>
      </c>
      <c r="B2931" s="1" t="s">
        <v>817</v>
      </c>
      <c r="C2931" s="5">
        <f>DATE(2026, 1, 14) + TIME(12, 56, 7)</f>
        <v>46036.538969907408</v>
      </c>
      <c r="D2931" s="1" t="s">
        <v>320</v>
      </c>
      <c r="E2931" s="1" t="s">
        <v>412</v>
      </c>
    </row>
    <row r="2932" spans="1:5" x14ac:dyDescent="0.2">
      <c r="A2932" s="1" t="s">
        <v>1276</v>
      </c>
      <c r="B2932" s="1" t="s">
        <v>508</v>
      </c>
      <c r="C2932" s="5">
        <f>DATE(2026, 1, 14) + TIME(11, 7, 45)</f>
        <v>46036.46371527778</v>
      </c>
      <c r="D2932" s="1" t="s">
        <v>65</v>
      </c>
      <c r="E2932" s="1" t="s">
        <v>918</v>
      </c>
    </row>
    <row r="2933" spans="1:5" x14ac:dyDescent="0.2">
      <c r="A2933" s="1" t="s">
        <v>1276</v>
      </c>
      <c r="B2933" s="1" t="s">
        <v>817</v>
      </c>
      <c r="C2933" s="5">
        <f>DATE(2026, 1, 14) + TIME(11, 7, 45)</f>
        <v>46036.46371527778</v>
      </c>
      <c r="D2933" s="1" t="s">
        <v>65</v>
      </c>
      <c r="E2933" s="1" t="s">
        <v>918</v>
      </c>
    </row>
    <row r="2934" spans="1:5" x14ac:dyDescent="0.2">
      <c r="A2934" s="1" t="s">
        <v>1276</v>
      </c>
      <c r="B2934" s="1" t="s">
        <v>228</v>
      </c>
      <c r="C2934" s="5">
        <f>DATE(2026, 1, 13) + TIME(15, 12, 9)</f>
        <v>46035.633437500001</v>
      </c>
      <c r="D2934" s="1" t="s">
        <v>396</v>
      </c>
      <c r="E2934" s="1" t="s">
        <v>76</v>
      </c>
    </row>
    <row r="2935" spans="1:5" x14ac:dyDescent="0.2">
      <c r="A2935" s="1" t="s">
        <v>1276</v>
      </c>
      <c r="B2935" s="1" t="s">
        <v>577</v>
      </c>
      <c r="C2935" s="5">
        <f>DATE(2026, 1, 13) + TIME(14, 11, 10)</f>
        <v>46035.591087962966</v>
      </c>
      <c r="D2935" s="1" t="s">
        <v>398</v>
      </c>
      <c r="E2935" s="1" t="s">
        <v>770</v>
      </c>
    </row>
    <row r="2936" spans="1:5" x14ac:dyDescent="0.2">
      <c r="A2936" s="1" t="s">
        <v>1276</v>
      </c>
      <c r="B2936" s="1" t="s">
        <v>328</v>
      </c>
      <c r="C2936" s="5">
        <f>DATE(2026, 1, 13) + TIME(13, 47, 46)</f>
        <v>46035.574837962966</v>
      </c>
      <c r="D2936" s="1" t="s">
        <v>750</v>
      </c>
      <c r="E2936" s="1" t="s">
        <v>877</v>
      </c>
    </row>
    <row r="2937" spans="1:5" x14ac:dyDescent="0.2">
      <c r="A2937" s="1" t="s">
        <v>1276</v>
      </c>
      <c r="B2937" s="1" t="s">
        <v>688</v>
      </c>
      <c r="C2937" s="5">
        <f>DATE(2026, 1, 13) + TIME(13, 47, 46)</f>
        <v>46035.574837962966</v>
      </c>
      <c r="D2937" s="1" t="s">
        <v>750</v>
      </c>
      <c r="E2937" s="1" t="s">
        <v>877</v>
      </c>
    </row>
    <row r="2938" spans="1:5" x14ac:dyDescent="0.2">
      <c r="A2938" s="1" t="s">
        <v>1276</v>
      </c>
      <c r="B2938" s="1" t="s">
        <v>864</v>
      </c>
      <c r="C2938" s="5">
        <f>DATE(2026, 1, 13) + TIME(13, 47, 46)</f>
        <v>46035.574837962966</v>
      </c>
      <c r="D2938" s="1" t="s">
        <v>750</v>
      </c>
      <c r="E2938" s="1" t="s">
        <v>877</v>
      </c>
    </row>
    <row r="2939" spans="1:5" x14ac:dyDescent="0.2">
      <c r="A2939" s="1" t="s">
        <v>1276</v>
      </c>
      <c r="B2939" s="1" t="s">
        <v>824</v>
      </c>
      <c r="C2939" s="5">
        <f>DATE(2026, 1, 13) + TIME(13, 47, 46)</f>
        <v>46035.574837962966</v>
      </c>
      <c r="D2939" s="1" t="s">
        <v>750</v>
      </c>
      <c r="E2939" s="1" t="s">
        <v>877</v>
      </c>
    </row>
    <row r="2940" spans="1:5" x14ac:dyDescent="0.2">
      <c r="A2940" s="1" t="s">
        <v>1276</v>
      </c>
      <c r="B2940" s="1" t="s">
        <v>84</v>
      </c>
      <c r="C2940" s="5">
        <f>DATE(2026, 1, 13) + TIME(13, 36, 9)</f>
        <v>46035.566770833335</v>
      </c>
      <c r="D2940" s="1" t="s">
        <v>640</v>
      </c>
      <c r="E2940" s="1" t="s">
        <v>761</v>
      </c>
    </row>
    <row r="2941" spans="1:5" x14ac:dyDescent="0.2">
      <c r="A2941" s="1" t="s">
        <v>1276</v>
      </c>
      <c r="B2941" s="1" t="s">
        <v>63</v>
      </c>
      <c r="C2941" s="5">
        <f>DATE(2026, 1, 13) + TIME(13, 36, 9)</f>
        <v>46035.566770833335</v>
      </c>
      <c r="D2941" s="1" t="s">
        <v>640</v>
      </c>
      <c r="E2941" s="1" t="s">
        <v>761</v>
      </c>
    </row>
    <row r="2942" spans="1:5" x14ac:dyDescent="0.2">
      <c r="A2942" s="1" t="s">
        <v>1276</v>
      </c>
      <c r="B2942" s="1" t="s">
        <v>228</v>
      </c>
      <c r="C2942" s="5">
        <f>DATE(2026, 1, 13) + TIME(12, 58, 29)</f>
        <v>46035.540613425925</v>
      </c>
      <c r="D2942" s="1" t="s">
        <v>398</v>
      </c>
      <c r="E2942" s="1" t="s">
        <v>143</v>
      </c>
    </row>
    <row r="2943" spans="1:5" x14ac:dyDescent="0.2">
      <c r="A2943" s="1" t="s">
        <v>1276</v>
      </c>
      <c r="B2943" s="1" t="s">
        <v>939</v>
      </c>
      <c r="C2943" s="5">
        <f>DATE(2026, 1, 13) + TIME(12, 58, 29)</f>
        <v>46035.540613425925</v>
      </c>
      <c r="D2943" s="1" t="s">
        <v>398</v>
      </c>
      <c r="E2943" s="1" t="s">
        <v>143</v>
      </c>
    </row>
    <row r="2944" spans="1:5" x14ac:dyDescent="0.2">
      <c r="A2944" s="1" t="s">
        <v>1276</v>
      </c>
      <c r="B2944" s="1" t="s">
        <v>943</v>
      </c>
      <c r="C2944" s="5">
        <f>DATE(2026, 1, 13) + TIME(12, 58, 29)</f>
        <v>46035.540613425925</v>
      </c>
      <c r="D2944" s="1" t="s">
        <v>398</v>
      </c>
      <c r="E2944" s="1" t="s">
        <v>143</v>
      </c>
    </row>
    <row r="2945" spans="1:5" x14ac:dyDescent="0.2">
      <c r="A2945" s="1" t="s">
        <v>1276</v>
      </c>
      <c r="B2945" s="1" t="s">
        <v>817</v>
      </c>
      <c r="C2945" s="5">
        <f>DATE(2026, 1, 13) + TIME(12, 19, 2)</f>
        <v>46035.51321759259</v>
      </c>
      <c r="D2945" s="1" t="s">
        <v>638</v>
      </c>
      <c r="E2945" s="1" t="s">
        <v>518</v>
      </c>
    </row>
    <row r="2946" spans="1:5" x14ac:dyDescent="0.2">
      <c r="A2946" s="1" t="s">
        <v>1276</v>
      </c>
      <c r="B2946" s="1" t="s">
        <v>944</v>
      </c>
      <c r="C2946" s="5">
        <f>DATE(2026, 1, 13) + TIME(11, 52, 54)</f>
        <v>46035.495069444441</v>
      </c>
      <c r="D2946" s="1" t="s">
        <v>869</v>
      </c>
      <c r="E2946" s="1" t="s">
        <v>91</v>
      </c>
    </row>
    <row r="2947" spans="1:5" x14ac:dyDescent="0.2">
      <c r="A2947" s="1" t="s">
        <v>1276</v>
      </c>
      <c r="B2947" s="1" t="s">
        <v>817</v>
      </c>
      <c r="C2947" s="5">
        <f>DATE(2026, 1, 13) + TIME(10, 8, 7)</f>
        <v>46035.422303240739</v>
      </c>
      <c r="D2947" s="1" t="s">
        <v>216</v>
      </c>
      <c r="E2947" s="1" t="s">
        <v>873</v>
      </c>
    </row>
    <row r="2948" spans="1:5" x14ac:dyDescent="0.2">
      <c r="A2948" s="1" t="s">
        <v>1276</v>
      </c>
      <c r="B2948" s="1" t="s">
        <v>295</v>
      </c>
      <c r="C2948" s="5">
        <f>DATE(2026, 1, 13) + TIME(9, 33, 54)</f>
        <v>46035.398541666669</v>
      </c>
      <c r="D2948" s="1" t="s">
        <v>398</v>
      </c>
      <c r="E2948" s="1" t="s">
        <v>143</v>
      </c>
    </row>
    <row r="2949" spans="1:5" x14ac:dyDescent="0.2">
      <c r="A2949" s="1" t="s">
        <v>1276</v>
      </c>
      <c r="B2949" s="1" t="s">
        <v>413</v>
      </c>
      <c r="C2949" s="5">
        <f>DATE(2026, 1, 12) + TIME(17, 4, 42)</f>
        <v>46034.711597222224</v>
      </c>
      <c r="D2949" s="1" t="s">
        <v>320</v>
      </c>
      <c r="E2949" s="1" t="s">
        <v>406</v>
      </c>
    </row>
    <row r="2950" spans="1:5" x14ac:dyDescent="0.2">
      <c r="A2950" s="1" t="s">
        <v>1276</v>
      </c>
      <c r="B2950" s="1" t="s">
        <v>411</v>
      </c>
      <c r="C2950" s="5">
        <f>DATE(2026, 1, 12) + TIME(16, 20, 11)</f>
        <v>46034.68068287037</v>
      </c>
      <c r="D2950" s="1" t="s">
        <v>871</v>
      </c>
      <c r="E2950" s="1" t="s">
        <v>414</v>
      </c>
    </row>
    <row r="2951" spans="1:5" x14ac:dyDescent="0.2">
      <c r="A2951" s="1" t="s">
        <v>1276</v>
      </c>
      <c r="B2951" s="1" t="s">
        <v>931</v>
      </c>
      <c r="C2951" s="5">
        <f>DATE(2026, 1, 12) + TIME(15, 47, 57)</f>
        <v>46034.65829861111</v>
      </c>
      <c r="D2951" s="1" t="s">
        <v>754</v>
      </c>
      <c r="E2951" s="1" t="s">
        <v>517</v>
      </c>
    </row>
    <row r="2952" spans="1:5" x14ac:dyDescent="0.2">
      <c r="A2952" s="1" t="s">
        <v>1276</v>
      </c>
      <c r="B2952" s="1" t="s">
        <v>817</v>
      </c>
      <c r="C2952" s="5">
        <f>DATE(2026, 1, 12) + TIME(14, 33, 53)</f>
        <v>46034.606863425928</v>
      </c>
      <c r="D2952" s="1" t="s">
        <v>754</v>
      </c>
      <c r="E2952" s="1" t="s">
        <v>282</v>
      </c>
    </row>
    <row r="2953" spans="1:5" x14ac:dyDescent="0.2">
      <c r="A2953" s="1" t="s">
        <v>1276</v>
      </c>
      <c r="B2953" s="1" t="s">
        <v>817</v>
      </c>
      <c r="C2953" s="5">
        <f>DATE(2026, 1, 12) + TIME(14, 30, 31)</f>
        <v>46034.604525462964</v>
      </c>
      <c r="D2953" s="1" t="s">
        <v>750</v>
      </c>
      <c r="E2953" s="1" t="s">
        <v>529</v>
      </c>
    </row>
    <row r="2954" spans="1:5" x14ac:dyDescent="0.2">
      <c r="A2954" s="1" t="s">
        <v>1276</v>
      </c>
      <c r="B2954" s="1" t="s">
        <v>290</v>
      </c>
      <c r="C2954" s="5">
        <f>DATE(2026, 1, 12) + TIME(14, 29, 29)</f>
        <v>46034.603807870371</v>
      </c>
      <c r="D2954" s="1" t="s">
        <v>640</v>
      </c>
      <c r="E2954" s="1" t="s">
        <v>870</v>
      </c>
    </row>
    <row r="2955" spans="1:5" x14ac:dyDescent="0.2">
      <c r="A2955" s="1" t="s">
        <v>1276</v>
      </c>
      <c r="B2955" s="1" t="s">
        <v>508</v>
      </c>
      <c r="C2955" s="5">
        <f>DATE(2026, 1, 12) + TIME(12, 36, 31)</f>
        <v>46034.525358796294</v>
      </c>
      <c r="D2955" s="1" t="s">
        <v>65</v>
      </c>
      <c r="E2955" s="1" t="s">
        <v>404</v>
      </c>
    </row>
    <row r="2956" spans="1:5" x14ac:dyDescent="0.2">
      <c r="A2956" s="1" t="s">
        <v>1276</v>
      </c>
      <c r="B2956" s="1" t="s">
        <v>63</v>
      </c>
      <c r="C2956" s="5">
        <f>DATE(2026, 1, 12) + TIME(8, 43, 13)</f>
        <v>46034.363344907404</v>
      </c>
      <c r="D2956" s="1" t="s">
        <v>640</v>
      </c>
      <c r="E2956" s="1" t="s">
        <v>333</v>
      </c>
    </row>
    <row r="2957" spans="1:5" x14ac:dyDescent="0.2">
      <c r="A2957" s="1" t="s">
        <v>1276</v>
      </c>
      <c r="B2957" s="1" t="s">
        <v>411</v>
      </c>
      <c r="C2957" s="5">
        <f>DATE(2026, 1, 12) + TIME(8, 43, 13)</f>
        <v>46034.363344907404</v>
      </c>
      <c r="D2957" s="1" t="s">
        <v>640</v>
      </c>
      <c r="E2957" s="1" t="s">
        <v>700</v>
      </c>
    </row>
    <row r="2958" spans="1:5" x14ac:dyDescent="0.2">
      <c r="A2958" s="1" t="s">
        <v>1276</v>
      </c>
      <c r="B2958" s="1" t="s">
        <v>28</v>
      </c>
      <c r="C2958" s="5">
        <f>DATE(2026, 1, 12) + TIME(8, 43, 13)</f>
        <v>46034.363344907404</v>
      </c>
      <c r="D2958" s="1" t="s">
        <v>640</v>
      </c>
      <c r="E2958" s="1" t="s">
        <v>700</v>
      </c>
    </row>
    <row r="2959" spans="1:5" x14ac:dyDescent="0.2">
      <c r="A2959" s="1" t="s">
        <v>1276</v>
      </c>
      <c r="B2959" s="1" t="s">
        <v>277</v>
      </c>
      <c r="C2959" s="5">
        <f>DATE(2026, 1, 12) + TIME(8, 43, 13)</f>
        <v>46034.363344907404</v>
      </c>
      <c r="D2959" s="1" t="s">
        <v>640</v>
      </c>
      <c r="E2959" s="1" t="s">
        <v>700</v>
      </c>
    </row>
    <row r="2960" spans="1:5" x14ac:dyDescent="0.2">
      <c r="A2960" s="1" t="s">
        <v>1276</v>
      </c>
      <c r="B2960" s="1" t="s">
        <v>932</v>
      </c>
      <c r="C2960" s="5">
        <f>DATE(2026, 1, 8) + TIME(14, 34, 56)</f>
        <v>46030.607592592591</v>
      </c>
      <c r="D2960" s="1" t="s">
        <v>640</v>
      </c>
      <c r="E2960" s="1" t="s">
        <v>173</v>
      </c>
    </row>
    <row r="2961" spans="1:5" x14ac:dyDescent="0.2">
      <c r="A2961" s="1" t="s">
        <v>1276</v>
      </c>
      <c r="B2961" s="1" t="s">
        <v>864</v>
      </c>
      <c r="C2961" s="5">
        <f>DATE(2026, 1, 8) + TIME(14, 34, 56)</f>
        <v>46030.607592592591</v>
      </c>
      <c r="D2961" s="1" t="s">
        <v>640</v>
      </c>
      <c r="E2961" s="1" t="s">
        <v>173</v>
      </c>
    </row>
    <row r="2962" spans="1:5" x14ac:dyDescent="0.2">
      <c r="A2962" s="1" t="s">
        <v>1276</v>
      </c>
      <c r="B2962" s="1" t="s">
        <v>939</v>
      </c>
      <c r="C2962" s="5">
        <f>DATE(2026, 1, 8) + TIME(13, 53, 19)</f>
        <v>46030.578692129631</v>
      </c>
      <c r="D2962" s="1" t="s">
        <v>506</v>
      </c>
      <c r="E2962" s="1" t="s">
        <v>867</v>
      </c>
    </row>
    <row r="2963" spans="1:5" x14ac:dyDescent="0.2">
      <c r="A2963" s="1" t="s">
        <v>1276</v>
      </c>
      <c r="B2963" s="1" t="s">
        <v>864</v>
      </c>
      <c r="C2963" s="5">
        <f>DATE(2026, 1, 8) + TIME(13, 53, 19)</f>
        <v>46030.578692129631</v>
      </c>
      <c r="D2963" s="1" t="s">
        <v>506</v>
      </c>
      <c r="E2963" s="1" t="s">
        <v>6</v>
      </c>
    </row>
    <row r="2964" spans="1:5" x14ac:dyDescent="0.2">
      <c r="A2964" s="1" t="s">
        <v>1276</v>
      </c>
      <c r="B2964" s="1" t="s">
        <v>817</v>
      </c>
      <c r="C2964" s="5">
        <f>DATE(2026, 1, 8) + TIME(13, 49, 27)</f>
        <v>46030.576006944444</v>
      </c>
      <c r="D2964" s="1" t="s">
        <v>506</v>
      </c>
      <c r="E2964" s="1" t="s">
        <v>510</v>
      </c>
    </row>
    <row r="2965" spans="1:5" x14ac:dyDescent="0.2">
      <c r="A2965" s="1" t="s">
        <v>1276</v>
      </c>
      <c r="B2965" s="1" t="s">
        <v>72</v>
      </c>
      <c r="C2965" s="5">
        <f>DATE(2026, 1, 8) + TIME(12, 56, 18)</f>
        <v>46030.539097222223</v>
      </c>
      <c r="D2965" s="1" t="s">
        <v>148</v>
      </c>
      <c r="E2965" s="1" t="s">
        <v>93</v>
      </c>
    </row>
    <row r="2966" spans="1:5" x14ac:dyDescent="0.2">
      <c r="A2966" s="1" t="s">
        <v>1276</v>
      </c>
      <c r="B2966" s="1" t="s">
        <v>817</v>
      </c>
      <c r="C2966" s="5">
        <f>DATE(2026, 1, 8) + TIME(12, 56, 18)</f>
        <v>46030.539097222223</v>
      </c>
      <c r="D2966" s="1" t="s">
        <v>148</v>
      </c>
      <c r="E2966" s="1" t="s">
        <v>93</v>
      </c>
    </row>
    <row r="2967" spans="1:5" x14ac:dyDescent="0.2">
      <c r="A2967" s="1" t="s">
        <v>1276</v>
      </c>
      <c r="B2967" s="1" t="s">
        <v>14</v>
      </c>
      <c r="C2967" s="5">
        <f>DATE(2026, 1, 8) + TIME(12, 56, 18)</f>
        <v>46030.539097222223</v>
      </c>
      <c r="D2967" s="1" t="s">
        <v>148</v>
      </c>
      <c r="E2967" s="1" t="s">
        <v>93</v>
      </c>
    </row>
    <row r="2968" spans="1:5" x14ac:dyDescent="0.2">
      <c r="A2968" s="1" t="s">
        <v>1276</v>
      </c>
      <c r="B2968" s="1" t="s">
        <v>343</v>
      </c>
      <c r="C2968" s="5">
        <f>DATE(2026, 1, 8) + TIME(12, 50, 44)</f>
        <v>46030.535231481481</v>
      </c>
      <c r="D2968" s="1" t="s">
        <v>398</v>
      </c>
      <c r="E2968" s="1" t="s">
        <v>324</v>
      </c>
    </row>
    <row r="2969" spans="1:5" x14ac:dyDescent="0.2">
      <c r="A2969" s="1" t="s">
        <v>1276</v>
      </c>
      <c r="B2969" s="1" t="s">
        <v>587</v>
      </c>
      <c r="C2969" s="5">
        <f>DATE(2026, 1, 8) + TIME(12, 50, 44)</f>
        <v>46030.535231481481</v>
      </c>
      <c r="D2969" s="1" t="s">
        <v>398</v>
      </c>
      <c r="E2969" s="1" t="s">
        <v>324</v>
      </c>
    </row>
    <row r="2970" spans="1:5" x14ac:dyDescent="0.2">
      <c r="A2970" s="1" t="s">
        <v>1276</v>
      </c>
      <c r="B2970" s="1" t="s">
        <v>150</v>
      </c>
      <c r="C2970" s="5">
        <f>DATE(2026, 1, 8) + TIME(12, 50, 44)</f>
        <v>46030.535231481481</v>
      </c>
      <c r="D2970" s="1" t="s">
        <v>398</v>
      </c>
      <c r="E2970" s="1" t="s">
        <v>324</v>
      </c>
    </row>
    <row r="2971" spans="1:5" x14ac:dyDescent="0.2">
      <c r="A2971" s="1" t="s">
        <v>1276</v>
      </c>
      <c r="B2971" s="1" t="s">
        <v>84</v>
      </c>
      <c r="C2971" s="5">
        <f>DATE(2026, 1, 8) + TIME(11, 41, 33)</f>
        <v>46030.487187500003</v>
      </c>
      <c r="D2971" s="1" t="s">
        <v>398</v>
      </c>
      <c r="E2971" s="1" t="s">
        <v>945</v>
      </c>
    </row>
    <row r="2972" spans="1:5" x14ac:dyDescent="0.2">
      <c r="A2972" s="1" t="s">
        <v>1276</v>
      </c>
      <c r="B2972" s="1" t="s">
        <v>817</v>
      </c>
      <c r="C2972" s="5">
        <f>DATE(2026, 1, 7) + TIME(15, 54, 16)</f>
        <v>46029.662685185183</v>
      </c>
      <c r="D2972" s="1" t="s">
        <v>506</v>
      </c>
      <c r="E2972" s="1" t="s">
        <v>158</v>
      </c>
    </row>
    <row r="2973" spans="1:5" x14ac:dyDescent="0.2">
      <c r="A2973" s="1" t="s">
        <v>1276</v>
      </c>
      <c r="B2973" s="1" t="s">
        <v>29</v>
      </c>
      <c r="C2973" s="5">
        <f>DATE(2026, 1, 7) + TIME(13, 44, 53)</f>
        <v>46029.572835648149</v>
      </c>
      <c r="D2973" s="1" t="s">
        <v>3</v>
      </c>
      <c r="E2973" s="1" t="s">
        <v>25</v>
      </c>
    </row>
    <row r="2974" spans="1:5" x14ac:dyDescent="0.2">
      <c r="A2974" s="1" t="s">
        <v>1276</v>
      </c>
      <c r="B2974" s="1" t="s">
        <v>272</v>
      </c>
      <c r="C2974" s="5">
        <f>DATE(2026, 1, 7) + TIME(13, 33, 30)</f>
        <v>46029.564930555556</v>
      </c>
      <c r="D2974" s="1" t="s">
        <v>144</v>
      </c>
      <c r="E2974" s="1" t="s">
        <v>946</v>
      </c>
    </row>
    <row r="2975" spans="1:5" x14ac:dyDescent="0.2">
      <c r="A2975" s="1" t="s">
        <v>1276</v>
      </c>
      <c r="B2975" s="1" t="s">
        <v>343</v>
      </c>
      <c r="C2975" s="5">
        <f>DATE(2026, 1, 7) + TIME(12, 1, 29)</f>
        <v>46029.501030092593</v>
      </c>
      <c r="D2975" s="1" t="s">
        <v>320</v>
      </c>
      <c r="E2975" s="1" t="s">
        <v>2</v>
      </c>
    </row>
    <row r="2976" spans="1:5" x14ac:dyDescent="0.2">
      <c r="A2976" s="1" t="s">
        <v>1276</v>
      </c>
      <c r="B2976" s="1" t="s">
        <v>817</v>
      </c>
      <c r="C2976" s="5">
        <f>DATE(2026, 1, 7) + TIME(12, 1, 29)</f>
        <v>46029.501030092593</v>
      </c>
      <c r="D2976" s="1" t="s">
        <v>320</v>
      </c>
      <c r="E2976" s="1" t="s">
        <v>2</v>
      </c>
    </row>
    <row r="2977" spans="1:5" x14ac:dyDescent="0.2">
      <c r="A2977" s="1" t="s">
        <v>1276</v>
      </c>
      <c r="B2977" s="1" t="s">
        <v>932</v>
      </c>
      <c r="C2977" s="5">
        <f>DATE(2026, 1, 7) + TIME(11, 25, 46)</f>
        <v>46029.476226851853</v>
      </c>
      <c r="D2977" s="1" t="s">
        <v>640</v>
      </c>
      <c r="E2977" s="1" t="s">
        <v>20</v>
      </c>
    </row>
    <row r="2978" spans="1:5" x14ac:dyDescent="0.2">
      <c r="A2978" s="1" t="s">
        <v>1276</v>
      </c>
      <c r="B2978" s="1" t="s">
        <v>15</v>
      </c>
      <c r="C2978" s="5">
        <f>DATE(2026, 1, 7) + TIME(11, 25, 45)</f>
        <v>46029.476215277777</v>
      </c>
      <c r="D2978" s="1" t="s">
        <v>640</v>
      </c>
      <c r="E2978" s="1" t="s">
        <v>20</v>
      </c>
    </row>
    <row r="2979" spans="1:5" x14ac:dyDescent="0.2">
      <c r="A2979" s="1" t="s">
        <v>1276</v>
      </c>
      <c r="B2979" s="1" t="s">
        <v>29</v>
      </c>
      <c r="C2979" s="5">
        <f>DATE(2026, 1, 6) + TIME(17, 25, 0)</f>
        <v>46028.725694444445</v>
      </c>
      <c r="D2979" s="1" t="s">
        <v>3</v>
      </c>
      <c r="E2979" s="1" t="s">
        <v>25</v>
      </c>
    </row>
    <row r="2980" spans="1:5" x14ac:dyDescent="0.2">
      <c r="A2980" s="1" t="s">
        <v>1276</v>
      </c>
      <c r="B2980" s="1" t="s">
        <v>715</v>
      </c>
      <c r="C2980" s="5">
        <f>DATE(2026, 1, 6) + TIME(15, 15, 4)</f>
        <v>46028.635462962964</v>
      </c>
      <c r="D2980" s="1" t="s">
        <v>65</v>
      </c>
      <c r="E2980" s="1" t="s">
        <v>152</v>
      </c>
    </row>
    <row r="2981" spans="1:5" x14ac:dyDescent="0.2">
      <c r="A2981" s="1" t="s">
        <v>1276</v>
      </c>
      <c r="B2981" s="1" t="s">
        <v>231</v>
      </c>
      <c r="C2981" s="5">
        <f>DATE(2026, 1, 6) + TIME(14, 36, 18)</f>
        <v>46028.608541666668</v>
      </c>
      <c r="D2981" s="1" t="s">
        <v>148</v>
      </c>
      <c r="E2981" s="1" t="s">
        <v>877</v>
      </c>
    </row>
    <row r="2982" spans="1:5" ht="16" x14ac:dyDescent="0.2">
      <c r="A2982" s="1" t="s">
        <v>1276</v>
      </c>
      <c r="B2982" s="1" t="s">
        <v>817</v>
      </c>
      <c r="C2982" s="5">
        <f>DATE(2026, 1, 6) + TIME(12, 32, 59)</f>
        <v>46028.522905092592</v>
      </c>
      <c r="D2982" s="1" t="s">
        <v>754</v>
      </c>
      <c r="E2982" s="2" t="s">
        <v>87</v>
      </c>
    </row>
    <row r="2983" spans="1:5" x14ac:dyDescent="0.2">
      <c r="A2983" s="1" t="s">
        <v>1276</v>
      </c>
      <c r="B2983" s="1" t="s">
        <v>411</v>
      </c>
      <c r="C2983" s="5">
        <f>DATE(2026, 1, 6) + TIME(11, 45, 7)</f>
        <v>46028.489664351851</v>
      </c>
      <c r="D2983" s="1" t="s">
        <v>396</v>
      </c>
      <c r="E2983" s="1" t="s">
        <v>276</v>
      </c>
    </row>
    <row r="2984" spans="1:5" x14ac:dyDescent="0.2">
      <c r="A2984" s="1" t="s">
        <v>1276</v>
      </c>
      <c r="B2984" s="1" t="s">
        <v>931</v>
      </c>
      <c r="C2984" s="5">
        <f>DATE(2026, 1, 6) + TIME(11, 3, 39)</f>
        <v>46028.460868055554</v>
      </c>
      <c r="D2984" s="1" t="s">
        <v>869</v>
      </c>
      <c r="E2984" s="1" t="s">
        <v>327</v>
      </c>
    </row>
    <row r="2985" spans="1:5" x14ac:dyDescent="0.2">
      <c r="A2985" s="1" t="s">
        <v>1276</v>
      </c>
      <c r="B2985" s="1" t="s">
        <v>476</v>
      </c>
      <c r="C2985" s="5">
        <f>DATE(2026, 1, 6) + TIME(7, 35, 27)</f>
        <v>46028.316284722219</v>
      </c>
      <c r="D2985" s="1" t="s">
        <v>398</v>
      </c>
      <c r="E2985" s="1" t="s">
        <v>143</v>
      </c>
    </row>
    <row r="2986" spans="1:5" x14ac:dyDescent="0.2">
      <c r="A2986" s="1" t="s">
        <v>1276</v>
      </c>
      <c r="B2986" s="1" t="s">
        <v>31</v>
      </c>
      <c r="C2986" s="5">
        <f>DATE(2026, 1, 6) + TIME(7, 35, 27)</f>
        <v>46028.316284722219</v>
      </c>
      <c r="D2986" s="1" t="s">
        <v>398</v>
      </c>
      <c r="E2986" s="1" t="s">
        <v>143</v>
      </c>
    </row>
    <row r="2987" spans="1:5" x14ac:dyDescent="0.2">
      <c r="A2987" s="1" t="s">
        <v>1276</v>
      </c>
      <c r="B2987" s="1" t="s">
        <v>417</v>
      </c>
      <c r="C2987" s="5">
        <f>DATE(2026, 1, 5) + TIME(15, 32, 43)</f>
        <v>46027.647719907407</v>
      </c>
      <c r="D2987" s="1" t="s">
        <v>65</v>
      </c>
      <c r="E2987" s="1" t="s">
        <v>400</v>
      </c>
    </row>
    <row r="2988" spans="1:5" x14ac:dyDescent="0.2">
      <c r="A2988" s="1" t="s">
        <v>1276</v>
      </c>
      <c r="B2988" s="1" t="s">
        <v>84</v>
      </c>
      <c r="C2988" s="5">
        <f>DATE(2026, 1, 5) + TIME(15, 32, 43)</f>
        <v>46027.647719907407</v>
      </c>
      <c r="D2988" s="1" t="s">
        <v>65</v>
      </c>
      <c r="E2988" s="1" t="s">
        <v>400</v>
      </c>
    </row>
    <row r="2989" spans="1:5" x14ac:dyDescent="0.2">
      <c r="A2989" s="1" t="s">
        <v>1276</v>
      </c>
      <c r="B2989" s="1" t="s">
        <v>866</v>
      </c>
      <c r="C2989" s="5">
        <f>DATE(2026, 1, 5) + TIME(15, 32, 43)</f>
        <v>46027.647719907407</v>
      </c>
      <c r="D2989" s="1" t="s">
        <v>65</v>
      </c>
      <c r="E2989" s="1" t="s">
        <v>400</v>
      </c>
    </row>
    <row r="2990" spans="1:5" x14ac:dyDescent="0.2">
      <c r="A2990" s="1" t="s">
        <v>1276</v>
      </c>
      <c r="B2990" s="1" t="s">
        <v>328</v>
      </c>
      <c r="C2990" s="5">
        <f>DATE(2026, 1, 5) + TIME(15, 2, 3)</f>
        <v>46027.626423611109</v>
      </c>
      <c r="D2990" s="1" t="s">
        <v>506</v>
      </c>
      <c r="E2990" s="1" t="s">
        <v>947</v>
      </c>
    </row>
    <row r="2991" spans="1:5" x14ac:dyDescent="0.2">
      <c r="A2991" s="1" t="s">
        <v>1276</v>
      </c>
      <c r="B2991" s="1" t="s">
        <v>944</v>
      </c>
      <c r="C2991" s="5">
        <f>DATE(2026, 1, 5) + TIME(14, 51, 39)</f>
        <v>46027.619201388887</v>
      </c>
      <c r="D2991" s="1" t="s">
        <v>640</v>
      </c>
      <c r="E2991" s="1" t="s">
        <v>32</v>
      </c>
    </row>
    <row r="2992" spans="1:5" x14ac:dyDescent="0.2">
      <c r="A2992" s="1" t="s">
        <v>1276</v>
      </c>
      <c r="B2992" s="1" t="s">
        <v>84</v>
      </c>
      <c r="C2992" s="5">
        <f>DATE(2026, 1, 5) + TIME(14, 14, 11)</f>
        <v>46027.593182870369</v>
      </c>
      <c r="D2992" s="1" t="s">
        <v>563</v>
      </c>
      <c r="E2992" s="1" t="s">
        <v>935</v>
      </c>
    </row>
    <row r="2993" spans="1:5" x14ac:dyDescent="0.2">
      <c r="A2993" s="1" t="s">
        <v>1276</v>
      </c>
      <c r="B2993" s="1" t="s">
        <v>864</v>
      </c>
      <c r="C2993" s="5">
        <f>DATE(2026, 1, 5) + TIME(13, 39, 28)</f>
        <v>46027.569074074076</v>
      </c>
      <c r="D2993" s="1" t="s">
        <v>467</v>
      </c>
      <c r="E2993" s="1" t="s">
        <v>942</v>
      </c>
    </row>
    <row r="2994" spans="1:5" x14ac:dyDescent="0.2">
      <c r="A2994" s="1" t="s">
        <v>1276</v>
      </c>
      <c r="B2994" s="1" t="s">
        <v>231</v>
      </c>
      <c r="C2994" s="5">
        <f>DATE(2026, 1, 2) + TIME(14, 1, 4)</f>
        <v>46024.584074074075</v>
      </c>
      <c r="D2994" s="1" t="s">
        <v>398</v>
      </c>
      <c r="E2994" s="1" t="s">
        <v>324</v>
      </c>
    </row>
    <row r="2995" spans="1:5" x14ac:dyDescent="0.2">
      <c r="A2995" s="1" t="s">
        <v>1276</v>
      </c>
      <c r="B2995" s="1" t="s">
        <v>817</v>
      </c>
      <c r="C2995" s="5">
        <f>DATE(2025, 12, 31) + TIME(13, 29, 39)</f>
        <v>46022.562256944446</v>
      </c>
      <c r="D2995" s="1" t="s">
        <v>563</v>
      </c>
      <c r="E2995" s="1" t="s">
        <v>210</v>
      </c>
    </row>
    <row r="2996" spans="1:5" x14ac:dyDescent="0.2">
      <c r="A2996" s="1" t="s">
        <v>1276</v>
      </c>
      <c r="B2996" s="1" t="s">
        <v>29</v>
      </c>
      <c r="C2996" s="5">
        <f>DATE(2025, 12, 31) + TIME(12, 49, 18)</f>
        <v>46022.534236111111</v>
      </c>
      <c r="D2996" s="1" t="s">
        <v>398</v>
      </c>
      <c r="E2996" s="1" t="s">
        <v>516</v>
      </c>
    </row>
    <row r="2997" spans="1:5" x14ac:dyDescent="0.2">
      <c r="A2997" s="1" t="s">
        <v>1276</v>
      </c>
      <c r="B2997" s="1" t="s">
        <v>817</v>
      </c>
      <c r="C2997" s="5">
        <f>DATE(2025, 12, 31) + TIME(11, 40, 44)</f>
        <v>46022.486620370371</v>
      </c>
      <c r="D2997" s="1" t="s">
        <v>459</v>
      </c>
      <c r="E2997" s="1" t="s">
        <v>881</v>
      </c>
    </row>
    <row r="2998" spans="1:5" x14ac:dyDescent="0.2">
      <c r="A2998" s="1" t="s">
        <v>1276</v>
      </c>
      <c r="B2998" s="1" t="s">
        <v>161</v>
      </c>
      <c r="C2998" s="5">
        <f>DATE(2025, 12, 31) + TIME(11, 37, 17)</f>
        <v>46022.484224537038</v>
      </c>
      <c r="D2998" s="1" t="s">
        <v>3</v>
      </c>
      <c r="E2998" s="1" t="s">
        <v>684</v>
      </c>
    </row>
    <row r="2999" spans="1:5" x14ac:dyDescent="0.2">
      <c r="A2999" s="1" t="s">
        <v>1276</v>
      </c>
      <c r="B2999" s="1" t="s">
        <v>29</v>
      </c>
      <c r="C2999" s="5">
        <f>DATE(2025, 12, 31) + TIME(7, 20, 17)</f>
        <v>46022.305752314816</v>
      </c>
      <c r="D2999" s="1" t="s">
        <v>398</v>
      </c>
      <c r="E2999" s="1" t="s">
        <v>516</v>
      </c>
    </row>
    <row r="3000" spans="1:5" x14ac:dyDescent="0.2">
      <c r="A3000" s="1" t="s">
        <v>1276</v>
      </c>
      <c r="B3000" s="1" t="s">
        <v>28</v>
      </c>
      <c r="C3000" s="5">
        <f>DATE(2025, 12, 30) + TIME(16, 29, 2)</f>
        <v>46021.686828703707</v>
      </c>
      <c r="D3000" s="1" t="s">
        <v>216</v>
      </c>
      <c r="E3000" s="1" t="s">
        <v>321</v>
      </c>
    </row>
    <row r="3001" spans="1:5" x14ac:dyDescent="0.2">
      <c r="A3001" s="1" t="s">
        <v>1276</v>
      </c>
      <c r="B3001" s="1" t="s">
        <v>60</v>
      </c>
      <c r="C3001" s="5">
        <f>DATE(2025, 12, 30) + TIME(13, 45, 38)</f>
        <v>46021.57335648148</v>
      </c>
      <c r="D3001" s="1" t="s">
        <v>566</v>
      </c>
      <c r="E3001" s="1" t="s">
        <v>570</v>
      </c>
    </row>
    <row r="3002" spans="1:5" x14ac:dyDescent="0.2">
      <c r="A3002" s="1" t="s">
        <v>1276</v>
      </c>
      <c r="B3002" s="1" t="s">
        <v>765</v>
      </c>
      <c r="C3002" s="5">
        <f>DATE(2025, 12, 30) + TIME(12, 30, 29)</f>
        <v>46021.521168981482</v>
      </c>
      <c r="D3002" s="1" t="s">
        <v>459</v>
      </c>
      <c r="E3002" s="1" t="s">
        <v>222</v>
      </c>
    </row>
    <row r="3003" spans="1:5" x14ac:dyDescent="0.2">
      <c r="A3003" s="1" t="s">
        <v>1276</v>
      </c>
      <c r="B3003" s="1" t="s">
        <v>343</v>
      </c>
      <c r="C3003" s="5">
        <f>DATE(2025, 12, 30) + TIME(12, 30, 6)</f>
        <v>46021.520902777775</v>
      </c>
      <c r="D3003" s="1" t="s">
        <v>65</v>
      </c>
      <c r="E3003" s="1" t="s">
        <v>918</v>
      </c>
    </row>
    <row r="3004" spans="1:5" x14ac:dyDescent="0.2">
      <c r="A3004" s="1" t="s">
        <v>1276</v>
      </c>
      <c r="B3004" s="1" t="s">
        <v>524</v>
      </c>
      <c r="C3004" s="5">
        <f>DATE(2025, 12, 30) + TIME(12, 30, 6)</f>
        <v>46021.520902777775</v>
      </c>
      <c r="D3004" s="1" t="s">
        <v>65</v>
      </c>
      <c r="E3004" s="1" t="s">
        <v>918</v>
      </c>
    </row>
    <row r="3005" spans="1:5" x14ac:dyDescent="0.2">
      <c r="A3005" s="1" t="s">
        <v>1276</v>
      </c>
      <c r="B3005" s="1" t="s">
        <v>350</v>
      </c>
      <c r="C3005" s="5">
        <f>DATE(2025, 12, 29) + TIME(13, 4, 50)</f>
        <v>46020.545023148145</v>
      </c>
      <c r="D3005" s="1" t="s">
        <v>148</v>
      </c>
      <c r="E3005" s="1" t="s">
        <v>471</v>
      </c>
    </row>
    <row r="3006" spans="1:5" x14ac:dyDescent="0.2">
      <c r="A3006" s="1" t="s">
        <v>1276</v>
      </c>
      <c r="B3006" s="1" t="s">
        <v>580</v>
      </c>
      <c r="C3006" s="5">
        <f>DATE(2025, 12, 29) + TIME(13, 4, 50)</f>
        <v>46020.545023148145</v>
      </c>
      <c r="D3006" s="1" t="s">
        <v>148</v>
      </c>
      <c r="E3006" s="1" t="s">
        <v>471</v>
      </c>
    </row>
    <row r="3007" spans="1:5" x14ac:dyDescent="0.2">
      <c r="A3007" s="1" t="s">
        <v>1276</v>
      </c>
      <c r="B3007" s="1" t="s">
        <v>715</v>
      </c>
      <c r="C3007" s="5">
        <f>DATE(2025, 12, 29) + TIME(11, 45, 27)</f>
        <v>46020.489895833336</v>
      </c>
      <c r="D3007" s="1" t="s">
        <v>398</v>
      </c>
      <c r="E3007" s="1" t="s">
        <v>143</v>
      </c>
    </row>
    <row r="3008" spans="1:5" x14ac:dyDescent="0.2">
      <c r="A3008" s="1" t="s">
        <v>1276</v>
      </c>
      <c r="B3008" s="1" t="s">
        <v>22</v>
      </c>
      <c r="C3008" s="5">
        <f>DATE(2025, 12, 29) + TIME(11, 45, 27)</f>
        <v>46020.489895833336</v>
      </c>
      <c r="D3008" s="1" t="s">
        <v>398</v>
      </c>
      <c r="E3008" s="1" t="s">
        <v>143</v>
      </c>
    </row>
    <row r="3009" spans="1:5" x14ac:dyDescent="0.2">
      <c r="A3009" s="1" t="s">
        <v>1276</v>
      </c>
      <c r="B3009" s="1" t="s">
        <v>866</v>
      </c>
      <c r="C3009" s="5">
        <f>DATE(2025, 12, 29) + TIME(11, 11, 4)</f>
        <v>46020.46601851852</v>
      </c>
      <c r="D3009" s="1" t="s">
        <v>869</v>
      </c>
      <c r="E3009" s="1" t="s">
        <v>16</v>
      </c>
    </row>
    <row r="3010" spans="1:5" x14ac:dyDescent="0.2">
      <c r="A3010" s="1" t="s">
        <v>1276</v>
      </c>
      <c r="B3010" s="1" t="s">
        <v>919</v>
      </c>
      <c r="C3010" s="5">
        <f>DATE(2025, 12, 29) + TIME(10, 53, 38)</f>
        <v>46020.453912037039</v>
      </c>
      <c r="D3010" s="1" t="s">
        <v>640</v>
      </c>
      <c r="E3010" s="1" t="s">
        <v>761</v>
      </c>
    </row>
    <row r="3011" spans="1:5" x14ac:dyDescent="0.2">
      <c r="A3011" s="1" t="s">
        <v>1276</v>
      </c>
      <c r="B3011" s="1" t="s">
        <v>84</v>
      </c>
      <c r="C3011" s="5">
        <f>DATE(2025, 12, 29) + TIME(10, 53, 38)</f>
        <v>46020.453912037039</v>
      </c>
      <c r="D3011" s="1" t="s">
        <v>640</v>
      </c>
      <c r="E3011" s="1" t="s">
        <v>761</v>
      </c>
    </row>
    <row r="3012" spans="1:5" x14ac:dyDescent="0.2">
      <c r="A3012" s="1" t="s">
        <v>1276</v>
      </c>
      <c r="B3012" s="1" t="s">
        <v>161</v>
      </c>
      <c r="C3012" s="5">
        <f>DATE(2025, 12, 28) + TIME(15, 35, 3)</f>
        <v>46019.649340277778</v>
      </c>
      <c r="D3012" s="1" t="s">
        <v>3</v>
      </c>
      <c r="E3012" s="1" t="s">
        <v>401</v>
      </c>
    </row>
    <row r="3013" spans="1:5" x14ac:dyDescent="0.2">
      <c r="A3013" s="1" t="s">
        <v>1276</v>
      </c>
      <c r="B3013" s="1" t="s">
        <v>828</v>
      </c>
      <c r="C3013" s="5">
        <f>DATE(2025, 12, 28) + TIME(11, 40, 42)</f>
        <v>46019.486597222225</v>
      </c>
      <c r="D3013" s="1" t="s">
        <v>640</v>
      </c>
      <c r="E3013" s="1" t="s">
        <v>870</v>
      </c>
    </row>
    <row r="3014" spans="1:5" x14ac:dyDescent="0.2">
      <c r="A3014" s="1" t="s">
        <v>1276</v>
      </c>
      <c r="B3014" s="1" t="s">
        <v>63</v>
      </c>
      <c r="C3014" s="5">
        <f>DATE(2025, 12, 23) + TIME(15, 43, 41)</f>
        <v>46014.655335648145</v>
      </c>
      <c r="D3014" s="1" t="s">
        <v>506</v>
      </c>
      <c r="E3014" s="1" t="s">
        <v>158</v>
      </c>
    </row>
    <row r="3015" spans="1:5" x14ac:dyDescent="0.2">
      <c r="A3015" s="1" t="s">
        <v>1276</v>
      </c>
      <c r="B3015" s="1" t="s">
        <v>290</v>
      </c>
      <c r="C3015" s="5">
        <f>DATE(2025, 12, 23) + TIME(15, 43, 41)</f>
        <v>46014.655335648145</v>
      </c>
      <c r="D3015" s="1" t="s">
        <v>506</v>
      </c>
      <c r="E3015" s="1" t="s">
        <v>158</v>
      </c>
    </row>
    <row r="3016" spans="1:5" x14ac:dyDescent="0.2">
      <c r="A3016" s="1" t="s">
        <v>1276</v>
      </c>
      <c r="B3016" s="1" t="s">
        <v>15</v>
      </c>
      <c r="C3016" s="5">
        <f>DATE(2025, 12, 23) + TIME(15, 39, 34)</f>
        <v>46014.65247685185</v>
      </c>
      <c r="D3016" s="1" t="s">
        <v>3</v>
      </c>
      <c r="E3016" s="1" t="s">
        <v>224</v>
      </c>
    </row>
    <row r="3017" spans="1:5" x14ac:dyDescent="0.2">
      <c r="A3017" s="1" t="s">
        <v>1276</v>
      </c>
      <c r="B3017" s="1" t="s">
        <v>69</v>
      </c>
      <c r="C3017" s="5">
        <f>DATE(2025, 12, 23) + TIME(15, 39, 34)</f>
        <v>46014.65247685185</v>
      </c>
      <c r="D3017" s="1" t="s">
        <v>3</v>
      </c>
      <c r="E3017" s="1" t="s">
        <v>224</v>
      </c>
    </row>
    <row r="3018" spans="1:5" x14ac:dyDescent="0.2">
      <c r="A3018" s="1" t="s">
        <v>1276</v>
      </c>
      <c r="B3018" s="1" t="s">
        <v>686</v>
      </c>
      <c r="C3018" s="5">
        <f>DATE(2025, 12, 23) + TIME(14, 36, 57)</f>
        <v>46014.608993055554</v>
      </c>
      <c r="D3018" s="1" t="s">
        <v>398</v>
      </c>
      <c r="E3018" s="1" t="s">
        <v>143</v>
      </c>
    </row>
    <row r="3019" spans="1:5" x14ac:dyDescent="0.2">
      <c r="A3019" s="1" t="s">
        <v>1276</v>
      </c>
      <c r="B3019" s="1" t="s">
        <v>944</v>
      </c>
      <c r="C3019" s="5">
        <f>DATE(2025, 12, 23) + TIME(11, 52, 24)</f>
        <v>46014.494722222225</v>
      </c>
      <c r="D3019" s="1" t="s">
        <v>869</v>
      </c>
      <c r="E3019" s="1" t="s">
        <v>91</v>
      </c>
    </row>
    <row r="3020" spans="1:5" x14ac:dyDescent="0.2">
      <c r="A3020" s="1" t="s">
        <v>1276</v>
      </c>
      <c r="B3020" s="1" t="s">
        <v>817</v>
      </c>
      <c r="C3020" s="5">
        <f>DATE(2025, 12, 22) + TIME(14, 38, 11)</f>
        <v>46013.609849537039</v>
      </c>
      <c r="D3020" s="1" t="s">
        <v>398</v>
      </c>
      <c r="E3020" s="1" t="s">
        <v>143</v>
      </c>
    </row>
    <row r="3021" spans="1:5" x14ac:dyDescent="0.2">
      <c r="A3021" s="1" t="s">
        <v>1276</v>
      </c>
      <c r="B3021" s="1" t="s">
        <v>29</v>
      </c>
      <c r="C3021" s="5">
        <f>DATE(2025, 12, 22) + TIME(14, 14, 16)</f>
        <v>46013.593240740738</v>
      </c>
      <c r="D3021" s="1" t="s">
        <v>869</v>
      </c>
      <c r="E3021" s="1" t="s">
        <v>275</v>
      </c>
    </row>
    <row r="3022" spans="1:5" x14ac:dyDescent="0.2">
      <c r="A3022" s="1" t="s">
        <v>1276</v>
      </c>
      <c r="B3022" s="1" t="s">
        <v>866</v>
      </c>
      <c r="C3022" s="5">
        <f>DATE(2025, 12, 22) + TIME(13, 29, 18)</f>
        <v>46013.562013888892</v>
      </c>
      <c r="D3022" s="1" t="s">
        <v>869</v>
      </c>
      <c r="E3022" s="1" t="s">
        <v>16</v>
      </c>
    </row>
    <row r="3023" spans="1:5" x14ac:dyDescent="0.2">
      <c r="A3023" s="1" t="s">
        <v>1276</v>
      </c>
      <c r="B3023" s="1" t="s">
        <v>60</v>
      </c>
      <c r="C3023" s="5">
        <f>DATE(2025, 12, 22) + TIME(13, 14, 14)</f>
        <v>46013.551550925928</v>
      </c>
      <c r="D3023" s="1" t="s">
        <v>269</v>
      </c>
      <c r="E3023" s="1" t="s">
        <v>477</v>
      </c>
    </row>
    <row r="3024" spans="1:5" x14ac:dyDescent="0.2">
      <c r="A3024" s="1" t="s">
        <v>1276</v>
      </c>
      <c r="B3024" s="1" t="s">
        <v>150</v>
      </c>
      <c r="C3024" s="5">
        <f>DATE(2025, 12, 18) + TIME(15, 41, 39)</f>
        <v>46009.653923611113</v>
      </c>
      <c r="D3024" s="1" t="s">
        <v>349</v>
      </c>
      <c r="E3024" s="1" t="s">
        <v>143</v>
      </c>
    </row>
    <row r="3025" spans="1:5" x14ac:dyDescent="0.2">
      <c r="A3025" s="1" t="s">
        <v>1276</v>
      </c>
      <c r="B3025" s="1" t="s">
        <v>234</v>
      </c>
      <c r="C3025" s="5">
        <f>DATE(2025, 12, 18) + TIME(15, 12, 24)</f>
        <v>46009.633611111109</v>
      </c>
      <c r="D3025" s="1" t="s">
        <v>563</v>
      </c>
      <c r="E3025" s="1" t="s">
        <v>878</v>
      </c>
    </row>
    <row r="3026" spans="1:5" x14ac:dyDescent="0.2">
      <c r="A3026" s="1" t="s">
        <v>1276</v>
      </c>
      <c r="B3026" s="1" t="s">
        <v>828</v>
      </c>
      <c r="C3026" s="5">
        <f>DATE(2025, 12, 18) + TIME(14, 39, 31)</f>
        <v>46009.610775462963</v>
      </c>
      <c r="D3026" s="1" t="s">
        <v>467</v>
      </c>
      <c r="E3026" s="1" t="s">
        <v>324</v>
      </c>
    </row>
    <row r="3027" spans="1:5" x14ac:dyDescent="0.2">
      <c r="A3027" s="1" t="s">
        <v>1276</v>
      </c>
      <c r="B3027" s="1" t="s">
        <v>235</v>
      </c>
      <c r="C3027" s="5">
        <f>DATE(2025, 12, 18) + TIME(14, 5, 47)</f>
        <v>46009.58734953704</v>
      </c>
      <c r="D3027" s="1" t="s">
        <v>467</v>
      </c>
      <c r="E3027" s="1" t="s">
        <v>516</v>
      </c>
    </row>
    <row r="3028" spans="1:5" x14ac:dyDescent="0.2">
      <c r="A3028" s="1" t="s">
        <v>1276</v>
      </c>
      <c r="B3028" s="1" t="s">
        <v>686</v>
      </c>
      <c r="C3028" s="5">
        <f>DATE(2025, 12, 18) + TIME(13, 56, 19)</f>
        <v>46009.580775462964</v>
      </c>
      <c r="D3028" s="1" t="s">
        <v>356</v>
      </c>
      <c r="E3028" s="1" t="s">
        <v>829</v>
      </c>
    </row>
    <row r="3029" spans="1:5" x14ac:dyDescent="0.2">
      <c r="A3029" s="1" t="s">
        <v>1276</v>
      </c>
      <c r="B3029" s="1" t="s">
        <v>885</v>
      </c>
      <c r="C3029" s="5">
        <f>DATE(2025, 12, 18) + TIME(13, 56, 19)</f>
        <v>46009.580775462964</v>
      </c>
      <c r="D3029" s="1" t="s">
        <v>356</v>
      </c>
      <c r="E3029" s="1" t="s">
        <v>829</v>
      </c>
    </row>
    <row r="3030" spans="1:5" x14ac:dyDescent="0.2">
      <c r="A3030" s="1" t="s">
        <v>1276</v>
      </c>
      <c r="B3030" s="1" t="s">
        <v>15</v>
      </c>
      <c r="C3030" s="5">
        <f>DATE(2025, 12, 18) + TIME(11, 48, 43)</f>
        <v>46009.492164351854</v>
      </c>
      <c r="D3030" s="1" t="s">
        <v>3</v>
      </c>
      <c r="E3030" s="1" t="s">
        <v>211</v>
      </c>
    </row>
    <row r="3031" spans="1:5" x14ac:dyDescent="0.2">
      <c r="A3031" s="1" t="s">
        <v>1276</v>
      </c>
      <c r="B3031" s="1" t="s">
        <v>33</v>
      </c>
      <c r="C3031" s="5">
        <f>DATE(2025, 12, 17) + TIME(15, 53, 8)</f>
        <v>46008.661898148152</v>
      </c>
      <c r="D3031" s="1" t="s">
        <v>506</v>
      </c>
      <c r="E3031" s="1" t="s">
        <v>158</v>
      </c>
    </row>
    <row r="3032" spans="1:5" x14ac:dyDescent="0.2">
      <c r="A3032" s="1" t="s">
        <v>1276</v>
      </c>
      <c r="B3032" s="1" t="s">
        <v>357</v>
      </c>
      <c r="C3032" s="5">
        <f>DATE(2025, 12, 17) + TIME(15, 53, 8)</f>
        <v>46008.661898148152</v>
      </c>
      <c r="D3032" s="1" t="s">
        <v>506</v>
      </c>
      <c r="E3032" s="1" t="s">
        <v>158</v>
      </c>
    </row>
    <row r="3033" spans="1:5" x14ac:dyDescent="0.2">
      <c r="A3033" s="1" t="s">
        <v>1276</v>
      </c>
      <c r="B3033" s="1" t="s">
        <v>654</v>
      </c>
      <c r="C3033" s="5">
        <f>DATE(2025, 12, 17) + TIME(15, 53, 8)</f>
        <v>46008.661898148152</v>
      </c>
      <c r="D3033" s="1" t="s">
        <v>506</v>
      </c>
      <c r="E3033" s="1" t="s">
        <v>158</v>
      </c>
    </row>
    <row r="3034" spans="1:5" x14ac:dyDescent="0.2">
      <c r="A3034" s="1" t="s">
        <v>1276</v>
      </c>
      <c r="B3034" s="1" t="s">
        <v>139</v>
      </c>
      <c r="C3034" s="5">
        <f>DATE(2025, 12, 17) + TIME(15, 53, 8)</f>
        <v>46008.661898148152</v>
      </c>
      <c r="D3034" s="1" t="s">
        <v>506</v>
      </c>
      <c r="E3034" s="1" t="s">
        <v>158</v>
      </c>
    </row>
    <row r="3035" spans="1:5" x14ac:dyDescent="0.2">
      <c r="A3035" s="1" t="s">
        <v>1276</v>
      </c>
      <c r="B3035" s="1" t="s">
        <v>139</v>
      </c>
      <c r="C3035" s="5">
        <f>DATE(2025, 12, 17) + TIME(13, 45, 58)</f>
        <v>46008.573587962965</v>
      </c>
      <c r="D3035" s="1" t="s">
        <v>148</v>
      </c>
      <c r="E3035" s="1" t="s">
        <v>466</v>
      </c>
    </row>
    <row r="3036" spans="1:5" x14ac:dyDescent="0.2">
      <c r="A3036" s="1" t="s">
        <v>1276</v>
      </c>
      <c r="B3036" s="1" t="s">
        <v>716</v>
      </c>
      <c r="C3036" s="5">
        <f>DATE(2025, 12, 17) + TIME(13, 4, 3)</f>
        <v>46008.544479166667</v>
      </c>
      <c r="D3036" s="1" t="s">
        <v>3</v>
      </c>
      <c r="E3036" s="1" t="s">
        <v>25</v>
      </c>
    </row>
    <row r="3037" spans="1:5" x14ac:dyDescent="0.2">
      <c r="A3037" s="1" t="s">
        <v>1276</v>
      </c>
      <c r="B3037" s="1" t="s">
        <v>716</v>
      </c>
      <c r="C3037" s="5">
        <f>DATE(2025, 12, 17) + TIME(12, 27, 46)</f>
        <v>46008.519282407404</v>
      </c>
      <c r="D3037" s="1" t="s">
        <v>566</v>
      </c>
      <c r="E3037" s="1" t="s">
        <v>938</v>
      </c>
    </row>
    <row r="3038" spans="1:5" x14ac:dyDescent="0.2">
      <c r="A3038" s="1" t="s">
        <v>1276</v>
      </c>
      <c r="B3038" s="1" t="s">
        <v>358</v>
      </c>
      <c r="C3038" s="5">
        <f>DATE(2025, 12, 17) + TIME(12, 14, 20)</f>
        <v>46008.509953703702</v>
      </c>
      <c r="D3038" s="1" t="s">
        <v>871</v>
      </c>
      <c r="E3038" s="1" t="s">
        <v>149</v>
      </c>
    </row>
    <row r="3039" spans="1:5" x14ac:dyDescent="0.2">
      <c r="A3039" s="1" t="s">
        <v>1276</v>
      </c>
      <c r="B3039" s="1" t="s">
        <v>717</v>
      </c>
      <c r="C3039" s="5">
        <f>DATE(2025, 12, 17) + TIME(11, 4, 31)</f>
        <v>46008.461469907408</v>
      </c>
      <c r="D3039" s="1" t="s">
        <v>506</v>
      </c>
      <c r="E3039" s="1" t="s">
        <v>158</v>
      </c>
    </row>
    <row r="3040" spans="1:5" x14ac:dyDescent="0.2">
      <c r="A3040" s="1" t="s">
        <v>1276</v>
      </c>
      <c r="B3040" s="1" t="s">
        <v>655</v>
      </c>
      <c r="C3040" s="5">
        <f>DATE(2025, 12, 17) + TIME(11, 4, 31)</f>
        <v>46008.461469907408</v>
      </c>
      <c r="D3040" s="1" t="s">
        <v>506</v>
      </c>
      <c r="E3040" s="1" t="s">
        <v>158</v>
      </c>
    </row>
    <row r="3041" spans="1:5" x14ac:dyDescent="0.2">
      <c r="A3041" s="1" t="s">
        <v>1276</v>
      </c>
      <c r="B3041" s="1" t="s">
        <v>161</v>
      </c>
      <c r="C3041" s="5">
        <f>DATE(2025, 12, 17) + TIME(10, 41, 48)</f>
        <v>46008.445694444446</v>
      </c>
      <c r="D3041" s="1" t="s">
        <v>640</v>
      </c>
      <c r="E3041" s="1" t="s">
        <v>20</v>
      </c>
    </row>
    <row r="3042" spans="1:5" x14ac:dyDescent="0.2">
      <c r="A3042" s="1" t="s">
        <v>1276</v>
      </c>
      <c r="B3042" s="1" t="s">
        <v>24</v>
      </c>
      <c r="C3042" s="5">
        <f>DATE(2025, 12, 16) + TIME(16, 26, 23)</f>
        <v>46007.684988425928</v>
      </c>
      <c r="D3042" s="1" t="s">
        <v>459</v>
      </c>
      <c r="E3042" s="1" t="s">
        <v>773</v>
      </c>
    </row>
    <row r="3043" spans="1:5" x14ac:dyDescent="0.2">
      <c r="A3043" s="1" t="s">
        <v>1276</v>
      </c>
      <c r="B3043" s="1" t="s">
        <v>30</v>
      </c>
      <c r="C3043" s="5">
        <f>DATE(2025, 12, 16) + TIME(14, 18, 25)</f>
        <v>46007.596122685187</v>
      </c>
      <c r="D3043" s="1" t="s">
        <v>398</v>
      </c>
      <c r="E3043" s="1" t="s">
        <v>770</v>
      </c>
    </row>
    <row r="3044" spans="1:5" x14ac:dyDescent="0.2">
      <c r="A3044" s="1" t="s">
        <v>1276</v>
      </c>
      <c r="B3044" s="1" t="s">
        <v>22</v>
      </c>
      <c r="C3044" s="5">
        <f>DATE(2025, 12, 16) + TIME(10, 33, 48)</f>
        <v>46007.440138888887</v>
      </c>
      <c r="D3044" s="1" t="s">
        <v>869</v>
      </c>
      <c r="E3044" s="1" t="s">
        <v>830</v>
      </c>
    </row>
    <row r="3045" spans="1:5" x14ac:dyDescent="0.2">
      <c r="A3045" s="1" t="s">
        <v>1276</v>
      </c>
      <c r="B3045" s="1" t="s">
        <v>464</v>
      </c>
      <c r="C3045" s="5">
        <f>DATE(2025, 12, 15) + TIME(16, 11, 59)</f>
        <v>46006.674988425926</v>
      </c>
      <c r="D3045" s="1" t="s">
        <v>320</v>
      </c>
      <c r="E3045" s="1" t="s">
        <v>406</v>
      </c>
    </row>
    <row r="3046" spans="1:5" x14ac:dyDescent="0.2">
      <c r="A3046" s="1" t="s">
        <v>1276</v>
      </c>
      <c r="B3046" s="1" t="s">
        <v>716</v>
      </c>
      <c r="C3046" s="5">
        <f>DATE(2025, 12, 15) + TIME(14, 49, 38)</f>
        <v>46006.617800925924</v>
      </c>
      <c r="D3046" s="1" t="s">
        <v>754</v>
      </c>
      <c r="E3046" s="1" t="s">
        <v>870</v>
      </c>
    </row>
    <row r="3047" spans="1:5" x14ac:dyDescent="0.2">
      <c r="A3047" s="1" t="s">
        <v>1276</v>
      </c>
      <c r="B3047" s="1" t="s">
        <v>177</v>
      </c>
      <c r="C3047" s="5">
        <f>DATE(2025, 12, 15) + TIME(14, 35, 33)</f>
        <v>46006.608020833337</v>
      </c>
      <c r="D3047" s="1" t="s">
        <v>269</v>
      </c>
      <c r="E3047" s="1" t="s">
        <v>270</v>
      </c>
    </row>
    <row r="3048" spans="1:5" x14ac:dyDescent="0.2">
      <c r="A3048" s="1" t="s">
        <v>1276</v>
      </c>
      <c r="B3048" s="1" t="s">
        <v>716</v>
      </c>
      <c r="C3048" s="5">
        <f>DATE(2025, 12, 15) + TIME(14, 10, 13)</f>
        <v>46006.590428240743</v>
      </c>
      <c r="D3048" s="1" t="s">
        <v>754</v>
      </c>
      <c r="E3048" s="1" t="s">
        <v>755</v>
      </c>
    </row>
    <row r="3049" spans="1:5" x14ac:dyDescent="0.2">
      <c r="A3049" s="1" t="s">
        <v>1276</v>
      </c>
      <c r="B3049" s="1" t="s">
        <v>411</v>
      </c>
      <c r="C3049" s="5">
        <f>DATE(2025, 12, 15) + TIME(14, 10, 3)</f>
        <v>46006.590312499997</v>
      </c>
      <c r="D3049" s="1" t="s">
        <v>144</v>
      </c>
      <c r="E3049" s="1" t="s">
        <v>806</v>
      </c>
    </row>
    <row r="3050" spans="1:5" x14ac:dyDescent="0.2">
      <c r="A3050" s="1" t="s">
        <v>1276</v>
      </c>
      <c r="B3050" s="1" t="s">
        <v>34</v>
      </c>
      <c r="C3050" s="5">
        <f>DATE(2025, 12, 15) + TIME(13, 53, 15)</f>
        <v>46006.578645833331</v>
      </c>
      <c r="D3050" s="1" t="s">
        <v>754</v>
      </c>
      <c r="E3050" s="1" t="s">
        <v>75</v>
      </c>
    </row>
    <row r="3051" spans="1:5" x14ac:dyDescent="0.2">
      <c r="A3051" s="1" t="s">
        <v>1276</v>
      </c>
      <c r="B3051" s="1" t="s">
        <v>228</v>
      </c>
      <c r="C3051" s="5">
        <f>DATE(2025, 12, 15) + TIME(13, 53, 15)</f>
        <v>46006.578645833331</v>
      </c>
      <c r="D3051" s="1" t="s">
        <v>754</v>
      </c>
      <c r="E3051" s="1" t="s">
        <v>75</v>
      </c>
    </row>
    <row r="3052" spans="1:5" x14ac:dyDescent="0.2">
      <c r="A3052" s="1" t="s">
        <v>1276</v>
      </c>
      <c r="B3052" s="1" t="s">
        <v>817</v>
      </c>
      <c r="C3052" s="5">
        <f>DATE(2025, 12, 15) + TIME(9, 57, 18)</f>
        <v>46006.41479166667</v>
      </c>
      <c r="D3052" s="1" t="s">
        <v>921</v>
      </c>
      <c r="E3052" s="1" t="s">
        <v>691</v>
      </c>
    </row>
    <row r="3053" spans="1:5" x14ac:dyDescent="0.2">
      <c r="A3053" s="1" t="s">
        <v>1276</v>
      </c>
      <c r="B3053" s="1" t="s">
        <v>234</v>
      </c>
      <c r="C3053" s="5">
        <f>DATE(2025, 12, 11) + TIME(15, 46, 7)</f>
        <v>46002.657025462962</v>
      </c>
      <c r="D3053" s="1" t="s">
        <v>563</v>
      </c>
      <c r="E3053" s="1" t="s">
        <v>878</v>
      </c>
    </row>
    <row r="3054" spans="1:5" x14ac:dyDescent="0.2">
      <c r="A3054" s="1" t="s">
        <v>1276</v>
      </c>
      <c r="B3054" s="1" t="s">
        <v>84</v>
      </c>
      <c r="C3054" s="5">
        <f>DATE(2025, 12, 11) + TIME(15, 40, 2)</f>
        <v>46002.652800925927</v>
      </c>
      <c r="D3054" s="1" t="s">
        <v>356</v>
      </c>
      <c r="E3054" s="1" t="s">
        <v>461</v>
      </c>
    </row>
    <row r="3055" spans="1:5" x14ac:dyDescent="0.2">
      <c r="A3055" s="1" t="s">
        <v>1276</v>
      </c>
      <c r="B3055" s="1" t="s">
        <v>593</v>
      </c>
      <c r="C3055" s="5">
        <f>DATE(2025, 12, 11) + TIME(15, 0, 19)</f>
        <v>46002.625219907408</v>
      </c>
      <c r="D3055" s="1" t="s">
        <v>638</v>
      </c>
      <c r="E3055" s="1" t="s">
        <v>85</v>
      </c>
    </row>
    <row r="3056" spans="1:5" x14ac:dyDescent="0.2">
      <c r="A3056" s="1" t="s">
        <v>1276</v>
      </c>
      <c r="B3056" s="1" t="s">
        <v>939</v>
      </c>
      <c r="C3056" s="5">
        <f>DATE(2025, 12, 11) + TIME(13, 36, 53)</f>
        <v>46002.567280092589</v>
      </c>
      <c r="D3056" s="1" t="s">
        <v>320</v>
      </c>
      <c r="E3056" s="1" t="s">
        <v>2</v>
      </c>
    </row>
    <row r="3057" spans="1:5" x14ac:dyDescent="0.2">
      <c r="A3057" s="1" t="s">
        <v>1276</v>
      </c>
      <c r="B3057" s="1" t="s">
        <v>716</v>
      </c>
      <c r="C3057" s="5">
        <f>DATE(2025, 12, 11) + TIME(13, 25, 44)</f>
        <v>46002.559537037036</v>
      </c>
      <c r="D3057" s="1" t="s">
        <v>566</v>
      </c>
      <c r="E3057" s="1" t="s">
        <v>831</v>
      </c>
    </row>
    <row r="3058" spans="1:5" x14ac:dyDescent="0.2">
      <c r="A3058" s="1" t="s">
        <v>1276</v>
      </c>
      <c r="B3058" s="1" t="s">
        <v>718</v>
      </c>
      <c r="C3058" s="5">
        <f>DATE(2025, 12, 11) + TIME(12, 56, 1)</f>
        <v>46002.538900462961</v>
      </c>
      <c r="D3058" s="1" t="s">
        <v>506</v>
      </c>
      <c r="E3058" s="1" t="s">
        <v>867</v>
      </c>
    </row>
    <row r="3059" spans="1:5" x14ac:dyDescent="0.2">
      <c r="A3059" s="1" t="s">
        <v>1276</v>
      </c>
      <c r="B3059" s="1" t="s">
        <v>774</v>
      </c>
      <c r="C3059" s="5">
        <f>DATE(2025, 12, 11) + TIME(11, 2, 39)</f>
        <v>46002.460173611114</v>
      </c>
      <c r="D3059" s="1" t="s">
        <v>750</v>
      </c>
      <c r="E3059" s="1" t="s">
        <v>93</v>
      </c>
    </row>
    <row r="3060" spans="1:5" x14ac:dyDescent="0.2">
      <c r="A3060" s="1" t="s">
        <v>1276</v>
      </c>
      <c r="B3060" s="1" t="s">
        <v>656</v>
      </c>
      <c r="C3060" s="5">
        <f>DATE(2025, 12, 11) + TIME(11, 2, 39)</f>
        <v>46002.460173611114</v>
      </c>
      <c r="D3060" s="1" t="s">
        <v>750</v>
      </c>
      <c r="E3060" s="1" t="s">
        <v>93</v>
      </c>
    </row>
    <row r="3061" spans="1:5" x14ac:dyDescent="0.2">
      <c r="A3061" s="1" t="s">
        <v>1276</v>
      </c>
      <c r="B3061" s="1" t="s">
        <v>950</v>
      </c>
      <c r="C3061" s="5">
        <f>DATE(2025, 12, 11) + TIME(11, 2, 39)</f>
        <v>46002.460173611114</v>
      </c>
      <c r="D3061" s="1" t="s">
        <v>750</v>
      </c>
      <c r="E3061" s="1" t="s">
        <v>93</v>
      </c>
    </row>
    <row r="3062" spans="1:5" x14ac:dyDescent="0.2">
      <c r="A3062" s="1" t="s">
        <v>1276</v>
      </c>
      <c r="B3062" s="1" t="s">
        <v>72</v>
      </c>
      <c r="C3062" s="5">
        <f>DATE(2025, 12, 11) + TIME(11, 2, 39)</f>
        <v>46002.460173611114</v>
      </c>
      <c r="D3062" s="1" t="s">
        <v>750</v>
      </c>
      <c r="E3062" s="1" t="s">
        <v>93</v>
      </c>
    </row>
    <row r="3063" spans="1:5" x14ac:dyDescent="0.2">
      <c r="A3063" s="1" t="s">
        <v>1276</v>
      </c>
      <c r="B3063" s="1" t="s">
        <v>716</v>
      </c>
      <c r="C3063" s="5">
        <f>DATE(2025, 12, 11) + TIME(9, 54, 30)</f>
        <v>46002.412847222222</v>
      </c>
      <c r="D3063" s="1" t="s">
        <v>64</v>
      </c>
      <c r="E3063" s="1" t="s">
        <v>886</v>
      </c>
    </row>
    <row r="3064" spans="1:5" x14ac:dyDescent="0.2">
      <c r="A3064" s="1" t="s">
        <v>1276</v>
      </c>
      <c r="B3064" s="1" t="s">
        <v>163</v>
      </c>
      <c r="C3064" s="5">
        <f>DATE(2025, 12, 11) + TIME(7, 24, 54)</f>
        <v>46002.308958333335</v>
      </c>
      <c r="D3064" s="1" t="s">
        <v>3</v>
      </c>
      <c r="E3064" s="1" t="s">
        <v>175</v>
      </c>
    </row>
    <row r="3065" spans="1:5" x14ac:dyDescent="0.2">
      <c r="A3065" s="1" t="s">
        <v>1276</v>
      </c>
      <c r="B3065" s="1" t="s">
        <v>864</v>
      </c>
      <c r="C3065" s="5">
        <f>DATE(2025, 12, 11) + TIME(7, 24, 54)</f>
        <v>46002.308958333335</v>
      </c>
      <c r="D3065" s="1" t="s">
        <v>3</v>
      </c>
      <c r="E3065" s="1" t="s">
        <v>175</v>
      </c>
    </row>
    <row r="3066" spans="1:5" x14ac:dyDescent="0.2">
      <c r="A3066" s="1" t="s">
        <v>1276</v>
      </c>
      <c r="B3066" s="1" t="s">
        <v>30</v>
      </c>
      <c r="C3066" s="5">
        <f>DATE(2025, 12, 11) + TIME(7, 24, 54)</f>
        <v>46002.308958333335</v>
      </c>
      <c r="D3066" s="1" t="s">
        <v>3</v>
      </c>
      <c r="E3066" s="1" t="s">
        <v>175</v>
      </c>
    </row>
    <row r="3067" spans="1:5" x14ac:dyDescent="0.2">
      <c r="A3067" s="1" t="s">
        <v>1276</v>
      </c>
      <c r="B3067" s="1" t="s">
        <v>96</v>
      </c>
      <c r="C3067" s="5">
        <f>DATE(2025, 12, 11) + TIME(7, 24, 54)</f>
        <v>46002.308958333335</v>
      </c>
      <c r="D3067" s="1" t="s">
        <v>3</v>
      </c>
      <c r="E3067" s="1" t="s">
        <v>175</v>
      </c>
    </row>
    <row r="3068" spans="1:5" x14ac:dyDescent="0.2">
      <c r="A3068" s="1" t="s">
        <v>1276</v>
      </c>
      <c r="B3068" s="1" t="s">
        <v>594</v>
      </c>
      <c r="C3068" s="5">
        <f>DATE(2025, 12, 11) + TIME(7, 24, 54)</f>
        <v>46002.308958333335</v>
      </c>
      <c r="D3068" s="1" t="s">
        <v>3</v>
      </c>
      <c r="E3068" s="1" t="s">
        <v>175</v>
      </c>
    </row>
    <row r="3069" spans="1:5" x14ac:dyDescent="0.2">
      <c r="A3069" s="1" t="s">
        <v>1276</v>
      </c>
      <c r="B3069" s="1" t="s">
        <v>927</v>
      </c>
      <c r="C3069" s="5">
        <f>DATE(2025, 12, 11) + TIME(7, 24, 54)</f>
        <v>46002.308958333335</v>
      </c>
      <c r="D3069" s="1" t="s">
        <v>3</v>
      </c>
      <c r="E3069" s="1" t="s">
        <v>175</v>
      </c>
    </row>
    <row r="3070" spans="1:5" x14ac:dyDescent="0.2">
      <c r="A3070" s="1" t="s">
        <v>1276</v>
      </c>
      <c r="B3070" s="1" t="s">
        <v>179</v>
      </c>
      <c r="C3070" s="5">
        <f>DATE(2025, 12, 11) + TIME(4, 48, 51)</f>
        <v>46002.200590277775</v>
      </c>
      <c r="D3070" s="1" t="s">
        <v>3</v>
      </c>
      <c r="E3070" s="1" t="s">
        <v>684</v>
      </c>
    </row>
    <row r="3071" spans="1:5" x14ac:dyDescent="0.2">
      <c r="A3071" s="1" t="s">
        <v>1276</v>
      </c>
      <c r="B3071" s="1" t="s">
        <v>24</v>
      </c>
      <c r="C3071" s="5">
        <f>DATE(2025, 12, 10) + TIME(16, 39, 21)</f>
        <v>46001.693993055553</v>
      </c>
      <c r="D3071" s="1" t="s">
        <v>459</v>
      </c>
      <c r="E3071" s="1" t="s">
        <v>773</v>
      </c>
    </row>
    <row r="3072" spans="1:5" x14ac:dyDescent="0.2">
      <c r="A3072" s="1" t="s">
        <v>1276</v>
      </c>
      <c r="B3072" s="1" t="s">
        <v>409</v>
      </c>
      <c r="C3072" s="5">
        <f>DATE(2025, 12, 10) + TIME(16, 17, 34)</f>
        <v>46001.678865740738</v>
      </c>
      <c r="D3072" s="1" t="s">
        <v>459</v>
      </c>
      <c r="E3072" s="1" t="s">
        <v>97</v>
      </c>
    </row>
    <row r="3073" spans="1:5" x14ac:dyDescent="0.2">
      <c r="A3073" s="1" t="s">
        <v>1276</v>
      </c>
      <c r="B3073" s="1" t="s">
        <v>290</v>
      </c>
      <c r="C3073" s="5">
        <f>DATE(2025, 12, 10) + TIME(15, 34, 7)</f>
        <v>46001.648692129631</v>
      </c>
      <c r="D3073" s="1" t="s">
        <v>3</v>
      </c>
      <c r="E3073" s="1" t="s">
        <v>25</v>
      </c>
    </row>
    <row r="3074" spans="1:5" x14ac:dyDescent="0.2">
      <c r="A3074" s="1" t="s">
        <v>1276</v>
      </c>
      <c r="B3074" s="1" t="s">
        <v>15</v>
      </c>
      <c r="C3074" s="5">
        <f>DATE(2025, 12, 10) + TIME(15, 34, 7)</f>
        <v>46001.648692129631</v>
      </c>
      <c r="D3074" s="1" t="s">
        <v>3</v>
      </c>
      <c r="E3074" s="1" t="s">
        <v>25</v>
      </c>
    </row>
    <row r="3075" spans="1:5" x14ac:dyDescent="0.2">
      <c r="A3075" s="1" t="s">
        <v>1276</v>
      </c>
      <c r="B3075" s="1" t="s">
        <v>866</v>
      </c>
      <c r="C3075" s="5">
        <f>DATE(2025, 12, 10) + TIME(15, 34, 7)</f>
        <v>46001.648692129631</v>
      </c>
      <c r="D3075" s="1" t="s">
        <v>3</v>
      </c>
      <c r="E3075" s="1" t="s">
        <v>25</v>
      </c>
    </row>
    <row r="3076" spans="1:5" x14ac:dyDescent="0.2">
      <c r="A3076" s="1" t="s">
        <v>1276</v>
      </c>
      <c r="B3076" s="1" t="s">
        <v>765</v>
      </c>
      <c r="C3076" s="5">
        <f>DATE(2025, 12, 10) + TIME(14, 27, 7)</f>
        <v>46001.602164351854</v>
      </c>
      <c r="D3076" s="1" t="s">
        <v>506</v>
      </c>
      <c r="E3076" s="1" t="s">
        <v>6</v>
      </c>
    </row>
    <row r="3077" spans="1:5" x14ac:dyDescent="0.2">
      <c r="A3077" s="1" t="s">
        <v>1276</v>
      </c>
      <c r="B3077" s="1" t="s">
        <v>411</v>
      </c>
      <c r="C3077" s="5">
        <f>DATE(2025, 12, 9) + TIME(14, 27, 12)</f>
        <v>46000.602222222224</v>
      </c>
      <c r="D3077" s="1" t="s">
        <v>566</v>
      </c>
      <c r="E3077" s="1" t="s">
        <v>571</v>
      </c>
    </row>
    <row r="3078" spans="1:5" x14ac:dyDescent="0.2">
      <c r="A3078" s="1" t="s">
        <v>1276</v>
      </c>
      <c r="B3078" s="1" t="s">
        <v>825</v>
      </c>
      <c r="C3078" s="5">
        <f>DATE(2025, 12, 9) + TIME(13, 23, 28)</f>
        <v>46000.557962962965</v>
      </c>
      <c r="D3078" s="1" t="s">
        <v>576</v>
      </c>
      <c r="E3078" s="1" t="s">
        <v>327</v>
      </c>
    </row>
    <row r="3079" spans="1:5" x14ac:dyDescent="0.2">
      <c r="A3079" s="1" t="s">
        <v>1276</v>
      </c>
      <c r="B3079" s="1" t="s">
        <v>654</v>
      </c>
      <c r="C3079" s="5">
        <f>DATE(2025, 12, 9) + TIME(13, 17, 31)</f>
        <v>46000.553831018522</v>
      </c>
      <c r="D3079" s="1" t="s">
        <v>320</v>
      </c>
      <c r="E3079" s="1" t="s">
        <v>342</v>
      </c>
    </row>
    <row r="3080" spans="1:5" x14ac:dyDescent="0.2">
      <c r="A3080" s="1" t="s">
        <v>1276</v>
      </c>
      <c r="B3080" s="1" t="s">
        <v>297</v>
      </c>
      <c r="C3080" s="5">
        <f>DATE(2025, 12, 9) + TIME(8, 12, 55)</f>
        <v>46000.342303240737</v>
      </c>
      <c r="D3080" s="1" t="s">
        <v>398</v>
      </c>
      <c r="E3080" s="1" t="s">
        <v>143</v>
      </c>
    </row>
    <row r="3081" spans="1:5" x14ac:dyDescent="0.2">
      <c r="A3081" s="1" t="s">
        <v>1276</v>
      </c>
      <c r="B3081" s="1" t="s">
        <v>932</v>
      </c>
      <c r="C3081" s="5">
        <f>DATE(2025, 12, 8) + TIME(16, 7, 49)</f>
        <v>45999.672094907408</v>
      </c>
      <c r="D3081" s="1" t="s">
        <v>320</v>
      </c>
      <c r="E3081" s="1" t="s">
        <v>406</v>
      </c>
    </row>
    <row r="3082" spans="1:5" x14ac:dyDescent="0.2">
      <c r="A3082" s="1" t="s">
        <v>1276</v>
      </c>
      <c r="B3082" s="1" t="s">
        <v>593</v>
      </c>
      <c r="C3082" s="5">
        <f>DATE(2025, 12, 8) + TIME(16, 7, 49)</f>
        <v>45999.672094907408</v>
      </c>
      <c r="D3082" s="1" t="s">
        <v>320</v>
      </c>
      <c r="E3082" s="1" t="s">
        <v>406</v>
      </c>
    </row>
    <row r="3083" spans="1:5" x14ac:dyDescent="0.2">
      <c r="A3083" s="1" t="s">
        <v>1276</v>
      </c>
      <c r="B3083" s="1" t="s">
        <v>139</v>
      </c>
      <c r="C3083" s="5">
        <f>DATE(2025, 12, 8) + TIME(15, 59, 33)</f>
        <v>45999.666354166664</v>
      </c>
      <c r="D3083" s="1" t="s">
        <v>506</v>
      </c>
      <c r="E3083" s="1" t="s">
        <v>808</v>
      </c>
    </row>
    <row r="3084" spans="1:5" x14ac:dyDescent="0.2">
      <c r="A3084" s="1" t="s">
        <v>1276</v>
      </c>
      <c r="B3084" s="1" t="s">
        <v>864</v>
      </c>
      <c r="C3084" s="5">
        <f>DATE(2025, 12, 8) + TIME(15, 59, 33)</f>
        <v>45999.666354166664</v>
      </c>
      <c r="D3084" s="1" t="s">
        <v>506</v>
      </c>
      <c r="E3084" s="1" t="s">
        <v>808</v>
      </c>
    </row>
    <row r="3085" spans="1:5" x14ac:dyDescent="0.2">
      <c r="A3085" s="1" t="s">
        <v>1276</v>
      </c>
      <c r="B3085" s="1" t="s">
        <v>63</v>
      </c>
      <c r="C3085" s="5">
        <f>DATE(2025, 12, 4) + TIME(15, 32, 13)</f>
        <v>45995.647372685184</v>
      </c>
      <c r="D3085" s="1" t="s">
        <v>148</v>
      </c>
      <c r="E3085" s="1" t="s">
        <v>480</v>
      </c>
    </row>
    <row r="3086" spans="1:5" x14ac:dyDescent="0.2">
      <c r="A3086" s="1" t="s">
        <v>1276</v>
      </c>
      <c r="B3086" s="1" t="s">
        <v>63</v>
      </c>
      <c r="C3086" s="5">
        <f>DATE(2025, 12, 4) + TIME(15, 24, 39)</f>
        <v>45995.642118055555</v>
      </c>
      <c r="D3086" s="1" t="s">
        <v>148</v>
      </c>
      <c r="E3086" s="1" t="s">
        <v>480</v>
      </c>
    </row>
    <row r="3087" spans="1:5" x14ac:dyDescent="0.2">
      <c r="A3087" s="1" t="s">
        <v>1276</v>
      </c>
      <c r="B3087" s="1" t="s">
        <v>420</v>
      </c>
      <c r="C3087" s="5">
        <f>DATE(2025, 12, 4) + TIME(15, 17, 59)</f>
        <v>45995.637488425928</v>
      </c>
      <c r="D3087" s="1" t="s">
        <v>216</v>
      </c>
      <c r="E3087" s="1" t="s">
        <v>321</v>
      </c>
    </row>
    <row r="3088" spans="1:5" x14ac:dyDescent="0.2">
      <c r="A3088" s="1" t="s">
        <v>1276</v>
      </c>
      <c r="B3088" s="1" t="s">
        <v>163</v>
      </c>
      <c r="C3088" s="5">
        <f>DATE(2025, 12, 4) + TIME(15, 10, 56)</f>
        <v>45995.632592592592</v>
      </c>
      <c r="D3088" s="1" t="s">
        <v>341</v>
      </c>
      <c r="E3088" s="1" t="s">
        <v>36</v>
      </c>
    </row>
    <row r="3089" spans="1:5" x14ac:dyDescent="0.2">
      <c r="A3089" s="1" t="s">
        <v>1276</v>
      </c>
      <c r="B3089" s="1" t="s">
        <v>163</v>
      </c>
      <c r="C3089" s="5">
        <f>DATE(2025, 12, 4) + TIME(15, 10, 56)</f>
        <v>45995.632592592592</v>
      </c>
      <c r="D3089" s="1" t="s">
        <v>341</v>
      </c>
      <c r="E3089" s="1" t="s">
        <v>36</v>
      </c>
    </row>
    <row r="3090" spans="1:5" x14ac:dyDescent="0.2">
      <c r="A3090" s="1" t="s">
        <v>1276</v>
      </c>
      <c r="B3090" s="1" t="s">
        <v>593</v>
      </c>
      <c r="C3090" s="5">
        <f>DATE(2025, 12, 4) + TIME(14, 48, 1)</f>
        <v>45995.616678240738</v>
      </c>
      <c r="D3090" s="1" t="s">
        <v>638</v>
      </c>
      <c r="E3090" s="1" t="s">
        <v>85</v>
      </c>
    </row>
    <row r="3091" spans="1:5" x14ac:dyDescent="0.2">
      <c r="A3091" s="1" t="s">
        <v>1276</v>
      </c>
      <c r="B3091" s="1" t="s">
        <v>654</v>
      </c>
      <c r="C3091" s="5">
        <f>DATE(2025, 12, 4) + TIME(13, 21, 18)</f>
        <v>45995.556458333333</v>
      </c>
      <c r="D3091" s="1" t="s">
        <v>640</v>
      </c>
      <c r="E3091" s="1" t="s">
        <v>520</v>
      </c>
    </row>
    <row r="3092" spans="1:5" x14ac:dyDescent="0.2">
      <c r="A3092" s="1" t="s">
        <v>1276</v>
      </c>
      <c r="B3092" s="1" t="s">
        <v>322</v>
      </c>
      <c r="C3092" s="5">
        <f>DATE(2025, 12, 4) + TIME(13, 9, 31)</f>
        <v>45995.548275462963</v>
      </c>
      <c r="D3092" s="1" t="s">
        <v>459</v>
      </c>
      <c r="E3092" s="1" t="s">
        <v>881</v>
      </c>
    </row>
    <row r="3093" spans="1:5" x14ac:dyDescent="0.2">
      <c r="A3093" s="1" t="s">
        <v>1276</v>
      </c>
      <c r="B3093" s="1" t="s">
        <v>864</v>
      </c>
      <c r="C3093" s="5">
        <f>DATE(2025, 12, 4) + TIME(11, 50, 35)</f>
        <v>45995.493460648147</v>
      </c>
      <c r="D3093" s="1" t="s">
        <v>754</v>
      </c>
      <c r="E3093" s="1" t="s">
        <v>330</v>
      </c>
    </row>
    <row r="3094" spans="1:5" x14ac:dyDescent="0.2">
      <c r="A3094" s="1" t="s">
        <v>1276</v>
      </c>
      <c r="B3094" s="1" t="s">
        <v>234</v>
      </c>
      <c r="C3094" s="5">
        <f>DATE(2025, 12, 3) + TIME(14, 12, 2)</f>
        <v>45994.591689814813</v>
      </c>
      <c r="D3094" s="1" t="s">
        <v>148</v>
      </c>
      <c r="E3094" s="1" t="s">
        <v>480</v>
      </c>
    </row>
    <row r="3095" spans="1:5" x14ac:dyDescent="0.2">
      <c r="A3095" s="1" t="s">
        <v>1276</v>
      </c>
      <c r="B3095" s="1" t="s">
        <v>716</v>
      </c>
      <c r="C3095" s="5">
        <f>DATE(2025, 12, 3) + TIME(14, 12, 2)</f>
        <v>45994.591689814813</v>
      </c>
      <c r="D3095" s="1" t="s">
        <v>148</v>
      </c>
      <c r="E3095" s="1" t="s">
        <v>480</v>
      </c>
    </row>
    <row r="3096" spans="1:5" x14ac:dyDescent="0.2">
      <c r="A3096" s="1" t="s">
        <v>1276</v>
      </c>
      <c r="B3096" s="1" t="s">
        <v>179</v>
      </c>
      <c r="C3096" s="5">
        <f>DATE(2025, 12, 3) + TIME(13, 22, 13)</f>
        <v>45994.55709490741</v>
      </c>
      <c r="D3096" s="1" t="s">
        <v>3</v>
      </c>
      <c r="E3096" s="1" t="s">
        <v>684</v>
      </c>
    </row>
    <row r="3097" spans="1:5" x14ac:dyDescent="0.2">
      <c r="A3097" s="1" t="s">
        <v>1276</v>
      </c>
      <c r="B3097" s="1" t="s">
        <v>716</v>
      </c>
      <c r="C3097" s="5">
        <f>DATE(2025, 12, 3) + TIME(13, 13, 32)</f>
        <v>45994.551064814812</v>
      </c>
      <c r="D3097" s="1" t="s">
        <v>5</v>
      </c>
      <c r="E3097" s="1" t="s">
        <v>74</v>
      </c>
    </row>
    <row r="3098" spans="1:5" ht="16" x14ac:dyDescent="0.2">
      <c r="A3098" s="1" t="s">
        <v>1276</v>
      </c>
      <c r="B3098" s="1" t="s">
        <v>420</v>
      </c>
      <c r="C3098" s="5">
        <f>DATE(2025, 12, 3) + TIME(13, 5, 52)</f>
        <v>45994.545740740738</v>
      </c>
      <c r="D3098" s="1" t="s">
        <v>754</v>
      </c>
      <c r="E3098" s="2" t="s">
        <v>87</v>
      </c>
    </row>
    <row r="3099" spans="1:5" ht="16" x14ac:dyDescent="0.2">
      <c r="A3099" s="1" t="s">
        <v>1276</v>
      </c>
      <c r="B3099" s="1" t="s">
        <v>33</v>
      </c>
      <c r="C3099" s="5">
        <f>DATE(2025, 12, 3) + TIME(13, 5, 52)</f>
        <v>45994.545740740738</v>
      </c>
      <c r="D3099" s="1" t="s">
        <v>754</v>
      </c>
      <c r="E3099" s="2" t="s">
        <v>87</v>
      </c>
    </row>
    <row r="3100" spans="1:5" x14ac:dyDescent="0.2">
      <c r="A3100" s="1" t="s">
        <v>1276</v>
      </c>
      <c r="B3100" s="1" t="s">
        <v>238</v>
      </c>
      <c r="C3100" s="5">
        <f>DATE(2025, 12, 3) + TIME(11, 51, 55)</f>
        <v>45994.494386574072</v>
      </c>
      <c r="D3100" s="1" t="s">
        <v>923</v>
      </c>
      <c r="E3100" s="1" t="s">
        <v>462</v>
      </c>
    </row>
    <row r="3101" spans="1:5" x14ac:dyDescent="0.2">
      <c r="A3101" s="1" t="s">
        <v>1276</v>
      </c>
      <c r="B3101" s="1" t="s">
        <v>39</v>
      </c>
      <c r="C3101" s="5">
        <f>DATE(2025, 12, 3) + TIME(11, 51, 55)</f>
        <v>45994.494386574072</v>
      </c>
      <c r="D3101" s="1" t="s">
        <v>923</v>
      </c>
      <c r="E3101" s="1" t="s">
        <v>462</v>
      </c>
    </row>
    <row r="3102" spans="1:5" x14ac:dyDescent="0.2">
      <c r="A3102" s="1" t="s">
        <v>1276</v>
      </c>
      <c r="B3102" s="1" t="s">
        <v>866</v>
      </c>
      <c r="C3102" s="5">
        <f>DATE(2025, 12, 3) + TIME(11, 5, 23)</f>
        <v>45994.462071759262</v>
      </c>
      <c r="D3102" s="1" t="s">
        <v>320</v>
      </c>
      <c r="E3102" s="1" t="s">
        <v>917</v>
      </c>
    </row>
    <row r="3103" spans="1:5" x14ac:dyDescent="0.2">
      <c r="A3103" s="1" t="s">
        <v>1276</v>
      </c>
      <c r="B3103" s="1" t="s">
        <v>328</v>
      </c>
      <c r="C3103" s="5">
        <f>DATE(2025, 12, 3) + TIME(10, 56, 40)</f>
        <v>45994.456018518518</v>
      </c>
      <c r="D3103" s="1" t="s">
        <v>640</v>
      </c>
      <c r="E3103" s="1" t="s">
        <v>20</v>
      </c>
    </row>
    <row r="3104" spans="1:5" x14ac:dyDescent="0.2">
      <c r="A3104" s="1" t="s">
        <v>1276</v>
      </c>
      <c r="B3104" s="1" t="s">
        <v>139</v>
      </c>
      <c r="C3104" s="5">
        <f>DATE(2025, 12, 2) + TIME(12, 42, 19)</f>
        <v>45993.529386574075</v>
      </c>
      <c r="D3104" s="1" t="s">
        <v>320</v>
      </c>
      <c r="E3104" s="1" t="s">
        <v>239</v>
      </c>
    </row>
    <row r="3105" spans="1:5" x14ac:dyDescent="0.2">
      <c r="A3105" s="1" t="s">
        <v>1276</v>
      </c>
      <c r="B3105" s="1" t="s">
        <v>69</v>
      </c>
      <c r="C3105" s="5">
        <f>DATE(2025, 12, 2) + TIME(9, 57, 37)</f>
        <v>45993.415011574078</v>
      </c>
      <c r="D3105" s="1" t="s">
        <v>148</v>
      </c>
      <c r="E3105" s="1" t="s">
        <v>361</v>
      </c>
    </row>
    <row r="3106" spans="1:5" x14ac:dyDescent="0.2">
      <c r="A3106" s="1" t="s">
        <v>1276</v>
      </c>
      <c r="B3106" s="1" t="s">
        <v>179</v>
      </c>
      <c r="C3106" s="5">
        <f>DATE(2025, 12, 2) + TIME(6, 34, 54)</f>
        <v>45993.274236111109</v>
      </c>
      <c r="D3106" s="1" t="s">
        <v>398</v>
      </c>
      <c r="E3106" s="1" t="s">
        <v>143</v>
      </c>
    </row>
    <row r="3107" spans="1:5" x14ac:dyDescent="0.2">
      <c r="A3107" s="1" t="s">
        <v>1276</v>
      </c>
      <c r="B3107" s="1" t="s">
        <v>238</v>
      </c>
      <c r="C3107" s="5">
        <f>DATE(2025, 12, 2) + TIME(4, 30, 35)</f>
        <v>45993.187905092593</v>
      </c>
      <c r="D3107" s="1" t="s">
        <v>65</v>
      </c>
      <c r="E3107" s="1" t="s">
        <v>152</v>
      </c>
    </row>
    <row r="3108" spans="1:5" x14ac:dyDescent="0.2">
      <c r="A3108" s="1" t="s">
        <v>1276</v>
      </c>
      <c r="B3108" s="1" t="s">
        <v>98</v>
      </c>
      <c r="C3108" s="5">
        <f>DATE(2025, 12, 1) + TIME(16, 1, 38)</f>
        <v>45992.667800925927</v>
      </c>
      <c r="D3108" s="1" t="s">
        <v>320</v>
      </c>
      <c r="E3108" s="1" t="s">
        <v>406</v>
      </c>
    </row>
    <row r="3109" spans="1:5" x14ac:dyDescent="0.2">
      <c r="A3109" s="1" t="s">
        <v>1276</v>
      </c>
      <c r="B3109" s="1" t="s">
        <v>824</v>
      </c>
      <c r="C3109" s="5">
        <f>DATE(2025, 12, 1) + TIME(15, 9, 53)</f>
        <v>45992.631863425922</v>
      </c>
      <c r="D3109" s="1" t="s">
        <v>754</v>
      </c>
      <c r="E3109" s="1" t="s">
        <v>870</v>
      </c>
    </row>
    <row r="3110" spans="1:5" x14ac:dyDescent="0.2">
      <c r="A3110" s="1" t="s">
        <v>1276</v>
      </c>
      <c r="B3110" s="1" t="s">
        <v>765</v>
      </c>
      <c r="C3110" s="5">
        <f>DATE(2025, 12, 1) + TIME(14, 54, 28)</f>
        <v>45992.621157407404</v>
      </c>
      <c r="D3110" s="1" t="s">
        <v>506</v>
      </c>
      <c r="E3110" s="1" t="s">
        <v>510</v>
      </c>
    </row>
    <row r="3111" spans="1:5" x14ac:dyDescent="0.2">
      <c r="A3111" s="1" t="s">
        <v>1276</v>
      </c>
      <c r="B3111" s="1" t="s">
        <v>716</v>
      </c>
      <c r="C3111" s="5">
        <f>DATE(2025, 12, 1) + TIME(14, 20, 46)</f>
        <v>45992.597754629627</v>
      </c>
      <c r="D3111" s="1" t="s">
        <v>5</v>
      </c>
      <c r="E3111" s="1" t="s">
        <v>599</v>
      </c>
    </row>
    <row r="3112" spans="1:5" x14ac:dyDescent="0.2">
      <c r="A3112" s="1" t="s">
        <v>1276</v>
      </c>
      <c r="B3112" s="1" t="s">
        <v>682</v>
      </c>
      <c r="C3112" s="5">
        <f>DATE(2025, 12, 1) + TIME(12, 47, 25)</f>
        <v>45992.53292824074</v>
      </c>
      <c r="D3112" s="1" t="s">
        <v>754</v>
      </c>
      <c r="E3112" s="1" t="s">
        <v>330</v>
      </c>
    </row>
    <row r="3113" spans="1:5" x14ac:dyDescent="0.2">
      <c r="A3113" s="1" t="s">
        <v>1276</v>
      </c>
      <c r="B3113" s="1" t="s">
        <v>951</v>
      </c>
      <c r="C3113" s="5">
        <f>DATE(2025, 12, 1) + TIME(12, 20, 5)</f>
        <v>45992.51394675926</v>
      </c>
      <c r="D3113" s="1" t="s">
        <v>869</v>
      </c>
      <c r="E3113" s="1" t="s">
        <v>327</v>
      </c>
    </row>
    <row r="3114" spans="1:5" x14ac:dyDescent="0.2">
      <c r="A3114" s="1" t="s">
        <v>1276</v>
      </c>
      <c r="B3114" s="1" t="s">
        <v>238</v>
      </c>
      <c r="C3114" s="5">
        <f>DATE(2025, 12, 1) + TIME(11, 20, 46)</f>
        <v>45992.472754629627</v>
      </c>
      <c r="D3114" s="1" t="s">
        <v>65</v>
      </c>
      <c r="E3114" s="1" t="s">
        <v>152</v>
      </c>
    </row>
    <row r="3115" spans="1:5" x14ac:dyDescent="0.2">
      <c r="A3115" s="1" t="s">
        <v>1276</v>
      </c>
      <c r="B3115" s="1" t="s">
        <v>654</v>
      </c>
      <c r="C3115" s="5">
        <f>DATE(2025, 12, 1) + TIME(10, 30, 46)</f>
        <v>45992.438032407408</v>
      </c>
      <c r="D3115" s="1" t="s">
        <v>3</v>
      </c>
      <c r="E3115" s="1" t="s">
        <v>168</v>
      </c>
    </row>
    <row r="3116" spans="1:5" x14ac:dyDescent="0.2">
      <c r="A3116" s="1" t="s">
        <v>1276</v>
      </c>
      <c r="B3116" s="1" t="s">
        <v>932</v>
      </c>
      <c r="C3116" s="5">
        <f>DATE(2025, 11, 26) + TIME(15, 16, 4)</f>
        <v>45987.636157407411</v>
      </c>
      <c r="D3116" s="1" t="s">
        <v>396</v>
      </c>
      <c r="E3116" s="1" t="s">
        <v>140</v>
      </c>
    </row>
    <row r="3117" spans="1:5" x14ac:dyDescent="0.2">
      <c r="A3117" s="1" t="s">
        <v>1276</v>
      </c>
      <c r="B3117" s="1" t="s">
        <v>4</v>
      </c>
      <c r="C3117" s="5">
        <f>DATE(2025, 11, 26) + TIME(15, 16, 4)</f>
        <v>45987.636157407411</v>
      </c>
      <c r="D3117" s="1" t="s">
        <v>396</v>
      </c>
      <c r="E3117" s="1" t="s">
        <v>140</v>
      </c>
    </row>
    <row r="3118" spans="1:5" x14ac:dyDescent="0.2">
      <c r="A3118" s="1" t="s">
        <v>1276</v>
      </c>
      <c r="B3118" s="1" t="s">
        <v>422</v>
      </c>
      <c r="C3118" s="5">
        <f>DATE(2025, 11, 26) + TIME(14, 25, 42)</f>
        <v>45987.601180555554</v>
      </c>
      <c r="D3118" s="1" t="s">
        <v>269</v>
      </c>
      <c r="E3118" s="1" t="s">
        <v>299</v>
      </c>
    </row>
    <row r="3119" spans="1:5" x14ac:dyDescent="0.2">
      <c r="A3119" s="1" t="s">
        <v>1276</v>
      </c>
      <c r="B3119" s="1" t="s">
        <v>234</v>
      </c>
      <c r="C3119" s="5">
        <f>DATE(2025, 11, 26) + TIME(13, 44, 14)</f>
        <v>45987.572384259256</v>
      </c>
      <c r="D3119" s="1" t="s">
        <v>148</v>
      </c>
      <c r="E3119" s="1" t="s">
        <v>480</v>
      </c>
    </row>
    <row r="3120" spans="1:5" x14ac:dyDescent="0.2">
      <c r="A3120" s="1" t="s">
        <v>1276</v>
      </c>
      <c r="B3120" s="1" t="s">
        <v>716</v>
      </c>
      <c r="C3120" s="5">
        <f>DATE(2025, 11, 26) + TIME(13, 44, 14)</f>
        <v>45987.572384259256</v>
      </c>
      <c r="D3120" s="1" t="s">
        <v>148</v>
      </c>
      <c r="E3120" s="1" t="s">
        <v>480</v>
      </c>
    </row>
    <row r="3121" spans="1:5" x14ac:dyDescent="0.2">
      <c r="A3121" s="1" t="s">
        <v>1276</v>
      </c>
      <c r="B3121" s="1" t="s">
        <v>139</v>
      </c>
      <c r="C3121" s="5">
        <f>DATE(2025, 11, 26) + TIME(12, 35, 16)</f>
        <v>45987.52449074074</v>
      </c>
      <c r="D3121" s="1" t="s">
        <v>320</v>
      </c>
      <c r="E3121" s="1" t="s">
        <v>698</v>
      </c>
    </row>
    <row r="3122" spans="1:5" x14ac:dyDescent="0.2">
      <c r="A3122" s="1" t="s">
        <v>1276</v>
      </c>
      <c r="B3122" s="1" t="s">
        <v>655</v>
      </c>
      <c r="C3122" s="5">
        <f>DATE(2025, 11, 25) + TIME(16, 12, 37)</f>
        <v>45986.675428240742</v>
      </c>
      <c r="D3122" s="1" t="s">
        <v>506</v>
      </c>
      <c r="E3122" s="1" t="s">
        <v>158</v>
      </c>
    </row>
    <row r="3123" spans="1:5" x14ac:dyDescent="0.2">
      <c r="A3123" s="1" t="s">
        <v>1276</v>
      </c>
      <c r="B3123" s="1" t="s">
        <v>238</v>
      </c>
      <c r="C3123" s="5">
        <f>DATE(2025, 11, 25) + TIME(15, 30, 2)</f>
        <v>45986.645856481482</v>
      </c>
      <c r="D3123" s="1" t="s">
        <v>65</v>
      </c>
      <c r="E3123" s="1" t="s">
        <v>918</v>
      </c>
    </row>
    <row r="3124" spans="1:5" x14ac:dyDescent="0.2">
      <c r="A3124" s="1" t="s">
        <v>1276</v>
      </c>
      <c r="B3124" s="1" t="s">
        <v>34</v>
      </c>
      <c r="C3124" s="5">
        <f>DATE(2025, 11, 25) + TIME(15, 10, 27)</f>
        <v>45986.632256944446</v>
      </c>
      <c r="D3124" s="1" t="s">
        <v>65</v>
      </c>
      <c r="E3124" s="1" t="s">
        <v>918</v>
      </c>
    </row>
    <row r="3125" spans="1:5" x14ac:dyDescent="0.2">
      <c r="A3125" s="1" t="s">
        <v>1276</v>
      </c>
      <c r="B3125" s="1" t="s">
        <v>716</v>
      </c>
      <c r="C3125" s="5">
        <f>DATE(2025, 11, 25) + TIME(15, 10, 27)</f>
        <v>45986.632256944446</v>
      </c>
      <c r="D3125" s="1" t="s">
        <v>65</v>
      </c>
      <c r="E3125" s="1" t="s">
        <v>918</v>
      </c>
    </row>
    <row r="3126" spans="1:5" x14ac:dyDescent="0.2">
      <c r="A3126" s="1" t="s">
        <v>1276</v>
      </c>
      <c r="B3126" s="1" t="s">
        <v>34</v>
      </c>
      <c r="C3126" s="5">
        <f>DATE(2025, 11, 25) + TIME(12, 28, 51)</f>
        <v>45986.52003472222</v>
      </c>
      <c r="D3126" s="1" t="s">
        <v>754</v>
      </c>
      <c r="E3126" s="1" t="s">
        <v>363</v>
      </c>
    </row>
    <row r="3127" spans="1:5" x14ac:dyDescent="0.2">
      <c r="A3127" s="1" t="s">
        <v>1276</v>
      </c>
      <c r="B3127" s="1" t="s">
        <v>425</v>
      </c>
      <c r="C3127" s="5">
        <f>DATE(2025, 11, 25) + TIME(12, 10, 46)</f>
        <v>45986.507476851853</v>
      </c>
      <c r="D3127" s="1" t="s">
        <v>923</v>
      </c>
      <c r="E3127" s="1" t="s">
        <v>462</v>
      </c>
    </row>
    <row r="3128" spans="1:5" x14ac:dyDescent="0.2">
      <c r="A3128" s="1" t="s">
        <v>1276</v>
      </c>
      <c r="B3128" s="1" t="s">
        <v>425</v>
      </c>
      <c r="C3128" s="5">
        <f>DATE(2025, 11, 25) + TIME(11, 41, 7)</f>
        <v>45986.486886574072</v>
      </c>
      <c r="D3128" s="1" t="s">
        <v>923</v>
      </c>
      <c r="E3128" s="1" t="s">
        <v>462</v>
      </c>
    </row>
    <row r="3129" spans="1:5" x14ac:dyDescent="0.2">
      <c r="A3129" s="1" t="s">
        <v>1276</v>
      </c>
      <c r="B3129" s="1" t="s">
        <v>178</v>
      </c>
      <c r="C3129" s="5">
        <f>DATE(2025, 11, 25) + TIME(11, 9, 19)</f>
        <v>45986.464803240742</v>
      </c>
      <c r="D3129" s="1" t="s">
        <v>566</v>
      </c>
      <c r="E3129" s="1" t="s">
        <v>888</v>
      </c>
    </row>
    <row r="3130" spans="1:5" x14ac:dyDescent="0.2">
      <c r="A3130" s="1" t="s">
        <v>1276</v>
      </c>
      <c r="B3130" s="1" t="s">
        <v>139</v>
      </c>
      <c r="C3130" s="5">
        <f>DATE(2025, 11, 25) + TIME(11, 9, 19)</f>
        <v>45986.464803240742</v>
      </c>
      <c r="D3130" s="1" t="s">
        <v>566</v>
      </c>
      <c r="E3130" s="1" t="s">
        <v>888</v>
      </c>
    </row>
    <row r="3131" spans="1:5" x14ac:dyDescent="0.2">
      <c r="A3131" s="1" t="s">
        <v>1276</v>
      </c>
      <c r="B3131" s="1" t="s">
        <v>100</v>
      </c>
      <c r="C3131" s="5">
        <f>DATE(2025, 11, 25) + TIME(10, 47, 8)</f>
        <v>45986.44939814815</v>
      </c>
      <c r="D3131" s="1" t="s">
        <v>216</v>
      </c>
      <c r="E3131" s="1" t="s">
        <v>321</v>
      </c>
    </row>
    <row r="3132" spans="1:5" x14ac:dyDescent="0.2">
      <c r="A3132" s="1" t="s">
        <v>1276</v>
      </c>
      <c r="B3132" s="1" t="s">
        <v>60</v>
      </c>
      <c r="C3132" s="5">
        <f>DATE(2025, 11, 24) + TIME(16, 2, 32)</f>
        <v>45985.668425925927</v>
      </c>
      <c r="D3132" s="1" t="s">
        <v>269</v>
      </c>
      <c r="E3132" s="1" t="s">
        <v>511</v>
      </c>
    </row>
    <row r="3133" spans="1:5" x14ac:dyDescent="0.2">
      <c r="A3133" s="1" t="s">
        <v>1276</v>
      </c>
      <c r="B3133" s="1" t="s">
        <v>835</v>
      </c>
      <c r="C3133" s="5">
        <f>DATE(2025, 11, 24) + TIME(15, 47, 47)</f>
        <v>45985.658182870371</v>
      </c>
      <c r="D3133" s="1" t="s">
        <v>398</v>
      </c>
      <c r="E3133" s="1" t="s">
        <v>143</v>
      </c>
    </row>
    <row r="3134" spans="1:5" x14ac:dyDescent="0.2">
      <c r="A3134" s="1" t="s">
        <v>1276</v>
      </c>
      <c r="B3134" s="1" t="s">
        <v>468</v>
      </c>
      <c r="C3134" s="5">
        <f>DATE(2025, 11, 24) + TIME(15, 47, 47)</f>
        <v>45985.658182870371</v>
      </c>
      <c r="D3134" s="1" t="s">
        <v>398</v>
      </c>
      <c r="E3134" s="1" t="s">
        <v>143</v>
      </c>
    </row>
    <row r="3135" spans="1:5" x14ac:dyDescent="0.2">
      <c r="A3135" s="1" t="s">
        <v>1276</v>
      </c>
      <c r="B3135" s="1" t="s">
        <v>952</v>
      </c>
      <c r="C3135" s="5">
        <f>DATE(2025, 11, 24) + TIME(15, 45, 3)</f>
        <v>45985.656284722223</v>
      </c>
      <c r="D3135" s="1" t="s">
        <v>3</v>
      </c>
      <c r="E3135" s="1" t="s">
        <v>73</v>
      </c>
    </row>
    <row r="3136" spans="1:5" x14ac:dyDescent="0.2">
      <c r="A3136" s="1" t="s">
        <v>1276</v>
      </c>
      <c r="B3136" s="1" t="s">
        <v>422</v>
      </c>
      <c r="C3136" s="5">
        <f>DATE(2025, 11, 24) + TIME(15, 26, 2)</f>
        <v>45985.643078703702</v>
      </c>
      <c r="D3136" s="1" t="s">
        <v>320</v>
      </c>
      <c r="E3136" s="1" t="s">
        <v>406</v>
      </c>
    </row>
    <row r="3137" spans="1:5" x14ac:dyDescent="0.2">
      <c r="A3137" s="1" t="s">
        <v>1276</v>
      </c>
      <c r="B3137" s="1" t="s">
        <v>328</v>
      </c>
      <c r="C3137" s="5">
        <f>DATE(2025, 11, 24) + TIME(15, 26, 2)</f>
        <v>45985.643078703702</v>
      </c>
      <c r="D3137" s="1" t="s">
        <v>320</v>
      </c>
      <c r="E3137" s="1" t="s">
        <v>406</v>
      </c>
    </row>
    <row r="3138" spans="1:5" x14ac:dyDescent="0.2">
      <c r="A3138" s="1" t="s">
        <v>1276</v>
      </c>
      <c r="B3138" s="1" t="s">
        <v>100</v>
      </c>
      <c r="C3138" s="5">
        <f>DATE(2025, 11, 24) + TIME(14, 44, 14)</f>
        <v>45985.614050925928</v>
      </c>
      <c r="D3138" s="1" t="s">
        <v>216</v>
      </c>
      <c r="E3138" s="1" t="s">
        <v>873</v>
      </c>
    </row>
    <row r="3139" spans="1:5" x14ac:dyDescent="0.2">
      <c r="A3139" s="1" t="s">
        <v>1276</v>
      </c>
      <c r="B3139" s="1" t="s">
        <v>411</v>
      </c>
      <c r="C3139" s="5">
        <f>DATE(2025, 11, 24) + TIME(13, 56, 37)</f>
        <v>45985.580983796295</v>
      </c>
      <c r="D3139" s="1" t="s">
        <v>3</v>
      </c>
      <c r="E3139" s="1" t="s">
        <v>211</v>
      </c>
    </row>
    <row r="3140" spans="1:5" x14ac:dyDescent="0.2">
      <c r="A3140" s="1" t="s">
        <v>1276</v>
      </c>
      <c r="B3140" s="1" t="s">
        <v>4</v>
      </c>
      <c r="C3140" s="5">
        <f>DATE(2025, 11, 24) + TIME(13, 40, 42)</f>
        <v>45985.569930555554</v>
      </c>
      <c r="D3140" s="1" t="s">
        <v>459</v>
      </c>
      <c r="E3140" s="1" t="s">
        <v>836</v>
      </c>
    </row>
    <row r="3141" spans="1:5" x14ac:dyDescent="0.2">
      <c r="A3141" s="1" t="s">
        <v>1276</v>
      </c>
      <c r="B3141" s="1" t="s">
        <v>322</v>
      </c>
      <c r="C3141" s="5">
        <f>DATE(2025, 11, 24) + TIME(12, 31, 5)</f>
        <v>45985.521585648145</v>
      </c>
      <c r="D3141" s="1" t="s">
        <v>506</v>
      </c>
      <c r="E3141" s="1" t="s">
        <v>101</v>
      </c>
    </row>
    <row r="3142" spans="1:5" x14ac:dyDescent="0.2">
      <c r="A3142" s="1" t="s">
        <v>1276</v>
      </c>
      <c r="B3142" s="1" t="s">
        <v>427</v>
      </c>
      <c r="C3142" s="5">
        <f>DATE(2025, 11, 24) + TIME(11, 54, 47)</f>
        <v>45985.496377314812</v>
      </c>
      <c r="D3142" s="1" t="s">
        <v>869</v>
      </c>
      <c r="E3142" s="1" t="s">
        <v>16</v>
      </c>
    </row>
    <row r="3143" spans="1:5" x14ac:dyDescent="0.2">
      <c r="A3143" s="1" t="s">
        <v>1276</v>
      </c>
      <c r="B3143" s="1" t="s">
        <v>178</v>
      </c>
      <c r="C3143" s="5">
        <f>DATE(2025, 11, 24) + TIME(11, 54, 47)</f>
        <v>45985.496377314812</v>
      </c>
      <c r="D3143" s="1" t="s">
        <v>869</v>
      </c>
      <c r="E3143" s="1" t="s">
        <v>16</v>
      </c>
    </row>
    <row r="3144" spans="1:5" x14ac:dyDescent="0.2">
      <c r="A3144" s="1" t="s">
        <v>1276</v>
      </c>
      <c r="B3144" s="1" t="s">
        <v>422</v>
      </c>
      <c r="C3144" s="5">
        <f>DATE(2025, 11, 24) + TIME(9, 2, 26)</f>
        <v>45985.376689814817</v>
      </c>
      <c r="D3144" s="1" t="s">
        <v>216</v>
      </c>
      <c r="E3144" s="1" t="s">
        <v>873</v>
      </c>
    </row>
    <row r="3145" spans="1:5" x14ac:dyDescent="0.2">
      <c r="A3145" s="1" t="s">
        <v>1276</v>
      </c>
      <c r="B3145" s="1" t="s">
        <v>422</v>
      </c>
      <c r="C3145" s="5">
        <f>DATE(2025, 11, 24) + TIME(9, 2, 25)</f>
        <v>45985.37667824074</v>
      </c>
      <c r="D3145" s="1" t="s">
        <v>216</v>
      </c>
      <c r="E3145" s="1" t="s">
        <v>11</v>
      </c>
    </row>
    <row r="3146" spans="1:5" x14ac:dyDescent="0.2">
      <c r="A3146" s="1" t="s">
        <v>1276</v>
      </c>
      <c r="B3146" s="1" t="s">
        <v>177</v>
      </c>
      <c r="C3146" s="5">
        <f>DATE(2025, 11, 24) + TIME(7, 36, 41)</f>
        <v>45985.317141203705</v>
      </c>
      <c r="D3146" s="1" t="s">
        <v>398</v>
      </c>
      <c r="E3146" s="1" t="s">
        <v>143</v>
      </c>
    </row>
    <row r="3147" spans="1:5" x14ac:dyDescent="0.2">
      <c r="A3147" s="1" t="s">
        <v>1276</v>
      </c>
      <c r="B3147" s="1" t="s">
        <v>350</v>
      </c>
      <c r="C3147" s="5">
        <f>DATE(2025, 11, 24) + TIME(7, 36, 40)</f>
        <v>45985.317129629628</v>
      </c>
      <c r="D3147" s="1" t="s">
        <v>398</v>
      </c>
      <c r="E3147" s="1" t="s">
        <v>143</v>
      </c>
    </row>
    <row r="3148" spans="1:5" x14ac:dyDescent="0.2">
      <c r="A3148" s="1" t="s">
        <v>1276</v>
      </c>
      <c r="B3148" s="1" t="s">
        <v>183</v>
      </c>
      <c r="C3148" s="5">
        <f>DATE(2025, 11, 23) + TIME(13, 11, 52)</f>
        <v>45984.549907407411</v>
      </c>
      <c r="D3148" s="1" t="s">
        <v>269</v>
      </c>
      <c r="E3148" s="1" t="s">
        <v>299</v>
      </c>
    </row>
    <row r="3149" spans="1:5" x14ac:dyDescent="0.2">
      <c r="A3149" s="1" t="s">
        <v>1276</v>
      </c>
      <c r="B3149" s="1" t="s">
        <v>716</v>
      </c>
      <c r="C3149" s="5">
        <f>DATE(2025, 11, 23) + TIME(12, 30, 22)</f>
        <v>45984.521087962959</v>
      </c>
      <c r="D3149" s="1" t="s">
        <v>869</v>
      </c>
      <c r="E3149" s="1" t="s">
        <v>217</v>
      </c>
    </row>
    <row r="3150" spans="1:5" x14ac:dyDescent="0.2">
      <c r="A3150" s="1" t="s">
        <v>1276</v>
      </c>
      <c r="B3150" s="1" t="s">
        <v>328</v>
      </c>
      <c r="C3150" s="5">
        <f>DATE(2025, 11, 22) + TIME(10, 31, 30)</f>
        <v>45983.43854166667</v>
      </c>
      <c r="D3150" s="1" t="s">
        <v>459</v>
      </c>
      <c r="E3150" s="1" t="s">
        <v>428</v>
      </c>
    </row>
    <row r="3151" spans="1:5" x14ac:dyDescent="0.2">
      <c r="A3151" s="1" t="s">
        <v>1276</v>
      </c>
      <c r="B3151" s="1" t="s">
        <v>41</v>
      </c>
      <c r="C3151" s="5">
        <f>DATE(2025, 11, 22) + TIME(10, 31, 30)</f>
        <v>45983.43854166667</v>
      </c>
      <c r="D3151" s="1" t="s">
        <v>459</v>
      </c>
      <c r="E3151" s="1" t="s">
        <v>428</v>
      </c>
    </row>
    <row r="3152" spans="1:5" x14ac:dyDescent="0.2">
      <c r="A3152" s="1" t="s">
        <v>1276</v>
      </c>
      <c r="B3152" s="1" t="s">
        <v>338</v>
      </c>
      <c r="C3152" s="5">
        <f>DATE(2025, 11, 22) + TIME(10, 31, 29)</f>
        <v>45983.438530092593</v>
      </c>
      <c r="D3152" s="1" t="s">
        <v>459</v>
      </c>
      <c r="E3152" s="1" t="s">
        <v>428</v>
      </c>
    </row>
    <row r="3153" spans="1:5" x14ac:dyDescent="0.2">
      <c r="A3153" s="1" t="s">
        <v>1276</v>
      </c>
      <c r="B3153" s="1" t="s">
        <v>364</v>
      </c>
      <c r="C3153" s="5">
        <f>DATE(2025, 11, 22) + TIME(10, 31, 29)</f>
        <v>45983.438530092593</v>
      </c>
      <c r="D3153" s="1" t="s">
        <v>459</v>
      </c>
      <c r="E3153" s="1" t="s">
        <v>428</v>
      </c>
    </row>
    <row r="3154" spans="1:5" x14ac:dyDescent="0.2">
      <c r="A3154" s="1" t="s">
        <v>1276</v>
      </c>
      <c r="B3154" s="1" t="s">
        <v>409</v>
      </c>
      <c r="C3154" s="5">
        <f>DATE(2025, 11, 22) + TIME(10, 31, 29)</f>
        <v>45983.438530092593</v>
      </c>
      <c r="D3154" s="1" t="s">
        <v>459</v>
      </c>
      <c r="E3154" s="1" t="s">
        <v>428</v>
      </c>
    </row>
    <row r="3155" spans="1:5" x14ac:dyDescent="0.2">
      <c r="A3155" s="1" t="s">
        <v>1276</v>
      </c>
      <c r="B3155" s="1" t="s">
        <v>866</v>
      </c>
      <c r="C3155" s="5">
        <f>DATE(2025, 11, 20) + TIME(15, 24, 59)</f>
        <v>45981.64234953704</v>
      </c>
      <c r="D3155" s="1" t="s">
        <v>754</v>
      </c>
      <c r="E3155" s="1" t="s">
        <v>601</v>
      </c>
    </row>
    <row r="3156" spans="1:5" x14ac:dyDescent="0.2">
      <c r="A3156" s="1" t="s">
        <v>1276</v>
      </c>
      <c r="B3156" s="1" t="s">
        <v>716</v>
      </c>
      <c r="C3156" s="5">
        <f>DATE(2025, 11, 20) + TIME(14, 3, 47)</f>
        <v>45981.585960648146</v>
      </c>
      <c r="D3156" s="1" t="s">
        <v>563</v>
      </c>
      <c r="E3156" s="1" t="s">
        <v>210</v>
      </c>
    </row>
    <row r="3157" spans="1:5" x14ac:dyDescent="0.2">
      <c r="A3157" s="1" t="s">
        <v>1276</v>
      </c>
      <c r="B3157" s="1" t="s">
        <v>951</v>
      </c>
      <c r="C3157" s="5">
        <f>DATE(2025, 11, 20) + TIME(13, 16, 13)</f>
        <v>45981.552928240744</v>
      </c>
      <c r="D3157" s="1" t="s">
        <v>638</v>
      </c>
      <c r="E3157" s="1" t="s">
        <v>147</v>
      </c>
    </row>
    <row r="3158" spans="1:5" x14ac:dyDescent="0.2">
      <c r="A3158" s="1" t="s">
        <v>1276</v>
      </c>
      <c r="B3158" s="1" t="s">
        <v>864</v>
      </c>
      <c r="C3158" s="5">
        <f>DATE(2025, 11, 20) + TIME(13, 16, 9)</f>
        <v>45981.552881944444</v>
      </c>
      <c r="D3158" s="1" t="s">
        <v>506</v>
      </c>
      <c r="E3158" s="1" t="s">
        <v>82</v>
      </c>
    </row>
    <row r="3159" spans="1:5" x14ac:dyDescent="0.2">
      <c r="A3159" s="1" t="s">
        <v>1276</v>
      </c>
      <c r="B3159" s="1" t="s">
        <v>602</v>
      </c>
      <c r="C3159" s="5">
        <f>DATE(2025, 11, 20) + TIME(13, 13, 48)</f>
        <v>45981.551249999997</v>
      </c>
      <c r="D3159" s="1" t="s">
        <v>3</v>
      </c>
      <c r="E3159" s="1" t="s">
        <v>684</v>
      </c>
    </row>
    <row r="3160" spans="1:5" x14ac:dyDescent="0.2">
      <c r="A3160" s="1" t="s">
        <v>1276</v>
      </c>
      <c r="B3160" s="1" t="s">
        <v>409</v>
      </c>
      <c r="C3160" s="5">
        <f>DATE(2025, 11, 20) + TIME(12, 23, 35)</f>
        <v>45981.516377314816</v>
      </c>
      <c r="D3160" s="1" t="s">
        <v>506</v>
      </c>
      <c r="E3160" s="1" t="s">
        <v>867</v>
      </c>
    </row>
    <row r="3161" spans="1:5" x14ac:dyDescent="0.2">
      <c r="A3161" s="1" t="s">
        <v>1276</v>
      </c>
      <c r="B3161" s="1" t="s">
        <v>139</v>
      </c>
      <c r="C3161" s="5">
        <f>DATE(2025, 11, 20) + TIME(12, 23, 35)</f>
        <v>45981.516377314816</v>
      </c>
      <c r="D3161" s="1" t="s">
        <v>506</v>
      </c>
      <c r="E3161" s="1" t="s">
        <v>867</v>
      </c>
    </row>
    <row r="3162" spans="1:5" x14ac:dyDescent="0.2">
      <c r="A3162" s="1" t="s">
        <v>1276</v>
      </c>
      <c r="B3162" s="1" t="s">
        <v>944</v>
      </c>
      <c r="C3162" s="5">
        <f>DATE(2025, 11, 20) + TIME(12, 23, 35)</f>
        <v>45981.516377314816</v>
      </c>
      <c r="D3162" s="1" t="s">
        <v>506</v>
      </c>
      <c r="E3162" s="1" t="s">
        <v>867</v>
      </c>
    </row>
    <row r="3163" spans="1:5" x14ac:dyDescent="0.2">
      <c r="A3163" s="1" t="s">
        <v>1276</v>
      </c>
      <c r="B3163" s="1" t="s">
        <v>824</v>
      </c>
      <c r="C3163" s="5">
        <f>DATE(2025, 11, 20) + TIME(11, 11, 49)</f>
        <v>45981.466539351852</v>
      </c>
      <c r="D3163" s="1" t="s">
        <v>754</v>
      </c>
      <c r="E3163" s="1" t="s">
        <v>330</v>
      </c>
    </row>
    <row r="3164" spans="1:5" x14ac:dyDescent="0.2">
      <c r="A3164" s="1" t="s">
        <v>1276</v>
      </c>
      <c r="B3164" s="1" t="s">
        <v>944</v>
      </c>
      <c r="C3164" s="5">
        <f>DATE(2025, 11, 20) + TIME(5, 38, 55)</f>
        <v>45981.235358796293</v>
      </c>
      <c r="D3164" s="1" t="s">
        <v>779</v>
      </c>
      <c r="E3164" s="1" t="s">
        <v>889</v>
      </c>
    </row>
    <row r="3165" spans="1:5" x14ac:dyDescent="0.2">
      <c r="A3165" s="1" t="s">
        <v>1276</v>
      </c>
      <c r="B3165" s="1" t="s">
        <v>411</v>
      </c>
      <c r="C3165" s="5">
        <f>DATE(2025, 11, 19) + TIME(15, 53, 1)</f>
        <v>45980.661817129629</v>
      </c>
      <c r="D3165" s="1" t="s">
        <v>3</v>
      </c>
      <c r="E3165" s="1" t="s">
        <v>73</v>
      </c>
    </row>
    <row r="3166" spans="1:5" x14ac:dyDescent="0.2">
      <c r="A3166" s="1" t="s">
        <v>1276</v>
      </c>
      <c r="B3166" s="1" t="s">
        <v>139</v>
      </c>
      <c r="C3166" s="5">
        <f>DATE(2025, 11, 19) + TIME(15, 32, 14)</f>
        <v>45980.64738425926</v>
      </c>
      <c r="D3166" s="1" t="s">
        <v>320</v>
      </c>
      <c r="E3166" s="1" t="s">
        <v>565</v>
      </c>
    </row>
    <row r="3167" spans="1:5" x14ac:dyDescent="0.2">
      <c r="A3167" s="1" t="s">
        <v>1276</v>
      </c>
      <c r="B3167" s="1" t="s">
        <v>931</v>
      </c>
      <c r="C3167" s="5">
        <f>DATE(2025, 11, 19) + TIME(14, 0, 27)</f>
        <v>45980.583645833336</v>
      </c>
      <c r="D3167" s="1" t="s">
        <v>148</v>
      </c>
      <c r="E3167" s="1" t="s">
        <v>466</v>
      </c>
    </row>
    <row r="3168" spans="1:5" x14ac:dyDescent="0.2">
      <c r="A3168" s="1" t="s">
        <v>1276</v>
      </c>
      <c r="B3168" s="1" t="s">
        <v>716</v>
      </c>
      <c r="C3168" s="5">
        <f>DATE(2025, 11, 19) + TIME(14, 0, 27)</f>
        <v>45980.583645833336</v>
      </c>
      <c r="D3168" s="1" t="s">
        <v>148</v>
      </c>
      <c r="E3168" s="1" t="s">
        <v>466</v>
      </c>
    </row>
    <row r="3169" spans="1:5" x14ac:dyDescent="0.2">
      <c r="A3169" s="1" t="s">
        <v>1276</v>
      </c>
      <c r="B3169" s="1" t="s">
        <v>24</v>
      </c>
      <c r="C3169" s="5">
        <f>DATE(2025, 11, 19) + TIME(13, 33, 41)</f>
        <v>45980.565057870372</v>
      </c>
      <c r="D3169" s="1" t="s">
        <v>3</v>
      </c>
      <c r="E3169" s="1" t="s">
        <v>890</v>
      </c>
    </row>
    <row r="3170" spans="1:5" x14ac:dyDescent="0.2">
      <c r="A3170" s="1" t="s">
        <v>1276</v>
      </c>
      <c r="B3170" s="1" t="s">
        <v>716</v>
      </c>
      <c r="C3170" s="5">
        <f>DATE(2025, 11, 19) + TIME(12, 57, 31)</f>
        <v>45980.539942129632</v>
      </c>
      <c r="D3170" s="1" t="s">
        <v>396</v>
      </c>
      <c r="E3170" s="1" t="s">
        <v>507</v>
      </c>
    </row>
    <row r="3171" spans="1:5" x14ac:dyDescent="0.2">
      <c r="A3171" s="1" t="s">
        <v>1276</v>
      </c>
      <c r="B3171" s="1" t="s">
        <v>919</v>
      </c>
      <c r="C3171" s="5">
        <f>DATE(2025, 11, 19) + TIME(11, 49, 13)</f>
        <v>45980.492511574077</v>
      </c>
      <c r="D3171" s="1" t="s">
        <v>459</v>
      </c>
      <c r="E3171" s="1" t="s">
        <v>536</v>
      </c>
    </row>
    <row r="3172" spans="1:5" x14ac:dyDescent="0.2">
      <c r="A3172" s="1" t="s">
        <v>1276</v>
      </c>
      <c r="B3172" s="1" t="s">
        <v>285</v>
      </c>
      <c r="C3172" s="5">
        <f>DATE(2025, 11, 18) + TIME(12, 27, 39)</f>
        <v>45979.519201388888</v>
      </c>
      <c r="D3172" s="1" t="s">
        <v>640</v>
      </c>
      <c r="E3172" s="1" t="s">
        <v>77</v>
      </c>
    </row>
    <row r="3173" spans="1:5" x14ac:dyDescent="0.2">
      <c r="A3173" s="1" t="s">
        <v>1276</v>
      </c>
      <c r="B3173" s="1" t="s">
        <v>72</v>
      </c>
      <c r="C3173" s="5">
        <f>DATE(2025, 11, 18) + TIME(12, 27, 39)</f>
        <v>45979.519201388888</v>
      </c>
      <c r="D3173" s="1" t="s">
        <v>640</v>
      </c>
      <c r="E3173" s="1" t="s">
        <v>77</v>
      </c>
    </row>
    <row r="3174" spans="1:5" x14ac:dyDescent="0.2">
      <c r="A3174" s="1" t="s">
        <v>1276</v>
      </c>
      <c r="B3174" s="1" t="s">
        <v>654</v>
      </c>
      <c r="C3174" s="5">
        <f>DATE(2025, 11, 18) + TIME(12, 27, 38)</f>
        <v>45979.519189814811</v>
      </c>
      <c r="D3174" s="1" t="s">
        <v>640</v>
      </c>
      <c r="E3174" s="1" t="s">
        <v>77</v>
      </c>
    </row>
    <row r="3175" spans="1:5" x14ac:dyDescent="0.2">
      <c r="A3175" s="1" t="s">
        <v>1276</v>
      </c>
      <c r="B3175" s="1" t="s">
        <v>34</v>
      </c>
      <c r="C3175" s="5">
        <f>DATE(2025, 11, 18) + TIME(11, 1, 20)</f>
        <v>45979.45925925926</v>
      </c>
      <c r="D3175" s="1" t="s">
        <v>396</v>
      </c>
      <c r="E3175" s="1" t="s">
        <v>276</v>
      </c>
    </row>
    <row r="3176" spans="1:5" x14ac:dyDescent="0.2">
      <c r="A3176" s="1" t="s">
        <v>1276</v>
      </c>
      <c r="B3176" s="1" t="s">
        <v>716</v>
      </c>
      <c r="C3176" s="5">
        <f>DATE(2025, 11, 18) + TIME(10, 12, 1)</f>
        <v>45979.425011574072</v>
      </c>
      <c r="D3176" s="1" t="s">
        <v>216</v>
      </c>
      <c r="E3176" s="1" t="s">
        <v>337</v>
      </c>
    </row>
    <row r="3177" spans="1:5" x14ac:dyDescent="0.2">
      <c r="A3177" s="1" t="s">
        <v>1276</v>
      </c>
      <c r="B3177" s="1" t="s">
        <v>716</v>
      </c>
      <c r="C3177" s="5">
        <f>DATE(2025, 11, 18) + TIME(10, 1, 15)</f>
        <v>45979.417534722219</v>
      </c>
      <c r="D3177" s="1" t="s">
        <v>216</v>
      </c>
      <c r="E3177" s="1" t="s">
        <v>873</v>
      </c>
    </row>
    <row r="3178" spans="1:5" x14ac:dyDescent="0.2">
      <c r="A3178" s="1" t="s">
        <v>1276</v>
      </c>
      <c r="B3178" s="1" t="s">
        <v>417</v>
      </c>
      <c r="C3178" s="5">
        <f>DATE(2025, 11, 17) + TIME(18, 8, 34)</f>
        <v>45978.755949074075</v>
      </c>
      <c r="D3178" s="1" t="s">
        <v>65</v>
      </c>
      <c r="E3178" s="1" t="s">
        <v>400</v>
      </c>
    </row>
    <row r="3179" spans="1:5" x14ac:dyDescent="0.2">
      <c r="A3179" s="1" t="s">
        <v>1276</v>
      </c>
      <c r="B3179" s="1" t="s">
        <v>837</v>
      </c>
      <c r="C3179" s="5">
        <f>DATE(2025, 11, 17) + TIME(18, 8, 34)</f>
        <v>45978.755949074075</v>
      </c>
      <c r="D3179" s="1" t="s">
        <v>65</v>
      </c>
      <c r="E3179" s="1" t="s">
        <v>400</v>
      </c>
    </row>
    <row r="3180" spans="1:5" x14ac:dyDescent="0.2">
      <c r="A3180" s="1" t="s">
        <v>1276</v>
      </c>
      <c r="B3180" s="1" t="s">
        <v>765</v>
      </c>
      <c r="C3180" s="5">
        <f>DATE(2025, 11, 17) + TIME(18, 8, 34)</f>
        <v>45978.755949074075</v>
      </c>
      <c r="D3180" s="1" t="s">
        <v>65</v>
      </c>
      <c r="E3180" s="1" t="s">
        <v>400</v>
      </c>
    </row>
    <row r="3181" spans="1:5" x14ac:dyDescent="0.2">
      <c r="A3181" s="1" t="s">
        <v>1276</v>
      </c>
      <c r="B3181" s="1" t="s">
        <v>60</v>
      </c>
      <c r="C3181" s="5">
        <f>DATE(2025, 11, 17) + TIME(18, 8, 34)</f>
        <v>45978.755949074075</v>
      </c>
      <c r="D3181" s="1" t="s">
        <v>65</v>
      </c>
      <c r="E3181" s="1" t="s">
        <v>400</v>
      </c>
    </row>
    <row r="3182" spans="1:5" x14ac:dyDescent="0.2">
      <c r="A3182" s="1" t="s">
        <v>1276</v>
      </c>
      <c r="B3182" s="1" t="s">
        <v>334</v>
      </c>
      <c r="C3182" s="5">
        <f>DATE(2025, 11, 17) + TIME(16, 24, 51)</f>
        <v>45978.683923611112</v>
      </c>
      <c r="D3182" s="1" t="s">
        <v>216</v>
      </c>
      <c r="E3182" s="1" t="s">
        <v>519</v>
      </c>
    </row>
    <row r="3183" spans="1:5" x14ac:dyDescent="0.2">
      <c r="A3183" s="1" t="s">
        <v>1276</v>
      </c>
      <c r="B3183" s="1" t="s">
        <v>580</v>
      </c>
      <c r="C3183" s="5">
        <f>DATE(2025, 11, 17) + TIME(15, 45, 19)</f>
        <v>45978.656469907408</v>
      </c>
      <c r="D3183" s="1" t="s">
        <v>5</v>
      </c>
      <c r="E3183" s="1" t="s">
        <v>722</v>
      </c>
    </row>
    <row r="3184" spans="1:5" x14ac:dyDescent="0.2">
      <c r="A3184" s="1" t="s">
        <v>1276</v>
      </c>
      <c r="B3184" s="1" t="s">
        <v>864</v>
      </c>
      <c r="C3184" s="5">
        <f>DATE(2025, 11, 17) + TIME(15, 14, 27)</f>
        <v>45978.635034722225</v>
      </c>
      <c r="D3184" s="1" t="s">
        <v>3</v>
      </c>
      <c r="E3184" s="1" t="s">
        <v>401</v>
      </c>
    </row>
    <row r="3185" spans="1:5" x14ac:dyDescent="0.2">
      <c r="A3185" s="1" t="s">
        <v>1276</v>
      </c>
      <c r="B3185" s="1" t="s">
        <v>430</v>
      </c>
      <c r="C3185" s="5">
        <f>DATE(2025, 11, 17) + TIME(12, 43, 23)</f>
        <v>45978.530127314814</v>
      </c>
      <c r="D3185" s="1" t="s">
        <v>869</v>
      </c>
      <c r="E3185" s="1" t="s">
        <v>16</v>
      </c>
    </row>
    <row r="3186" spans="1:5" x14ac:dyDescent="0.2">
      <c r="A3186" s="1" t="s">
        <v>1276</v>
      </c>
      <c r="B3186" s="1" t="s">
        <v>580</v>
      </c>
      <c r="C3186" s="5">
        <f>DATE(2025, 11, 17) + TIME(12, 29, 55)</f>
        <v>45978.520775462966</v>
      </c>
      <c r="D3186" s="1" t="s">
        <v>5</v>
      </c>
      <c r="E3186" s="1" t="s">
        <v>599</v>
      </c>
    </row>
    <row r="3187" spans="1:5" x14ac:dyDescent="0.2">
      <c r="A3187" s="1" t="s">
        <v>1276</v>
      </c>
      <c r="B3187" s="1" t="s">
        <v>161</v>
      </c>
      <c r="C3187" s="5">
        <f>DATE(2025, 11, 17) + TIME(12, 20, 18)</f>
        <v>45978.514097222222</v>
      </c>
      <c r="D3187" s="1" t="s">
        <v>269</v>
      </c>
      <c r="E3187" s="1" t="s">
        <v>537</v>
      </c>
    </row>
    <row r="3188" spans="1:5" x14ac:dyDescent="0.2">
      <c r="A3188" s="1" t="s">
        <v>1276</v>
      </c>
      <c r="B3188" s="1" t="s">
        <v>817</v>
      </c>
      <c r="C3188" s="5">
        <f>DATE(2025, 11, 17) + TIME(11, 47, 48)</f>
        <v>45978.491527777776</v>
      </c>
      <c r="D3188" s="1" t="s">
        <v>398</v>
      </c>
      <c r="E3188" s="1" t="s">
        <v>289</v>
      </c>
    </row>
    <row r="3189" spans="1:5" x14ac:dyDescent="0.2">
      <c r="A3189" s="1" t="s">
        <v>1276</v>
      </c>
      <c r="B3189" s="1" t="s">
        <v>651</v>
      </c>
      <c r="C3189" s="5">
        <f>DATE(2025, 11, 17) + TIME(11, 41, 58)</f>
        <v>45978.487476851849</v>
      </c>
      <c r="D3189" s="1" t="s">
        <v>506</v>
      </c>
      <c r="E3189" s="1" t="s">
        <v>659</v>
      </c>
    </row>
    <row r="3190" spans="1:5" x14ac:dyDescent="0.2">
      <c r="A3190" s="1" t="s">
        <v>1276</v>
      </c>
      <c r="B3190" s="1" t="s">
        <v>409</v>
      </c>
      <c r="C3190" s="5">
        <f>DATE(2025, 11, 17) + TIME(11, 10, 8)</f>
        <v>45978.465370370373</v>
      </c>
      <c r="D3190" s="1" t="s">
        <v>65</v>
      </c>
      <c r="E3190" s="1" t="s">
        <v>219</v>
      </c>
    </row>
    <row r="3191" spans="1:5" x14ac:dyDescent="0.2">
      <c r="A3191" s="1" t="s">
        <v>1276</v>
      </c>
      <c r="B3191" s="1" t="s">
        <v>577</v>
      </c>
      <c r="C3191" s="5">
        <f>DATE(2025, 11, 17) + TIME(10, 49, 21)</f>
        <v>45978.450937499998</v>
      </c>
      <c r="D3191" s="1" t="s">
        <v>269</v>
      </c>
      <c r="E3191" s="1" t="s">
        <v>299</v>
      </c>
    </row>
    <row r="3192" spans="1:5" x14ac:dyDescent="0.2">
      <c r="A3192" s="1" t="s">
        <v>1276</v>
      </c>
      <c r="B3192" s="1" t="s">
        <v>716</v>
      </c>
      <c r="C3192" s="5">
        <f>DATE(2025, 11, 17) + TIME(10, 49, 21)</f>
        <v>45978.450937499998</v>
      </c>
      <c r="D3192" s="1" t="s">
        <v>269</v>
      </c>
      <c r="E3192" s="1" t="s">
        <v>299</v>
      </c>
    </row>
    <row r="3193" spans="1:5" x14ac:dyDescent="0.2">
      <c r="A3193" s="1" t="s">
        <v>1276</v>
      </c>
      <c r="B3193" s="1" t="s">
        <v>228</v>
      </c>
      <c r="C3193" s="5">
        <f>DATE(2025, 11, 17) + TIME(10, 49, 21)</f>
        <v>45978.450937499998</v>
      </c>
      <c r="D3193" s="1" t="s">
        <v>269</v>
      </c>
      <c r="E3193" s="1" t="s">
        <v>299</v>
      </c>
    </row>
    <row r="3194" spans="1:5" x14ac:dyDescent="0.2">
      <c r="A3194" s="1" t="s">
        <v>1276</v>
      </c>
      <c r="B3194" s="1" t="s">
        <v>4</v>
      </c>
      <c r="C3194" s="5">
        <f>DATE(2025, 11, 16) + TIME(15, 18, 55)</f>
        <v>45977.638136574074</v>
      </c>
      <c r="D3194" s="1" t="s">
        <v>563</v>
      </c>
      <c r="E3194" s="1" t="s">
        <v>68</v>
      </c>
    </row>
    <row r="3195" spans="1:5" x14ac:dyDescent="0.2">
      <c r="A3195" s="1" t="s">
        <v>1276</v>
      </c>
      <c r="B3195" s="1" t="s">
        <v>42</v>
      </c>
      <c r="C3195" s="5">
        <f>DATE(2025, 11, 16) + TIME(15, 14, 23)</f>
        <v>45977.634988425925</v>
      </c>
      <c r="D3195" s="1" t="s">
        <v>869</v>
      </c>
      <c r="E3195" s="1" t="s">
        <v>220</v>
      </c>
    </row>
    <row r="3196" spans="1:5" x14ac:dyDescent="0.2">
      <c r="A3196" s="1" t="s">
        <v>1276</v>
      </c>
      <c r="B3196" s="1" t="s">
        <v>34</v>
      </c>
      <c r="C3196" s="5">
        <f>DATE(2025, 11, 16) + TIME(15, 12, 3)</f>
        <v>45977.633368055554</v>
      </c>
      <c r="D3196" s="1" t="s">
        <v>65</v>
      </c>
      <c r="E3196" s="1" t="s">
        <v>404</v>
      </c>
    </row>
    <row r="3197" spans="1:5" x14ac:dyDescent="0.2">
      <c r="A3197" s="1" t="s">
        <v>1276</v>
      </c>
      <c r="B3197" s="1" t="s">
        <v>69</v>
      </c>
      <c r="C3197" s="5">
        <f>DATE(2025, 11, 13) + TIME(15, 28, 13)</f>
        <v>45974.644594907404</v>
      </c>
      <c r="D3197" s="1" t="s">
        <v>226</v>
      </c>
      <c r="E3197" s="1" t="s">
        <v>32</v>
      </c>
    </row>
    <row r="3198" spans="1:5" x14ac:dyDescent="0.2">
      <c r="A3198" s="1" t="s">
        <v>1276</v>
      </c>
      <c r="B3198" s="1" t="s">
        <v>72</v>
      </c>
      <c r="C3198" s="5">
        <f>DATE(2025, 11, 13) + TIME(14, 52, 5)</f>
        <v>45974.619502314818</v>
      </c>
      <c r="D3198" s="1" t="s">
        <v>459</v>
      </c>
      <c r="E3198" s="1" t="s">
        <v>881</v>
      </c>
    </row>
    <row r="3199" spans="1:5" x14ac:dyDescent="0.2">
      <c r="A3199" s="1" t="s">
        <v>1276</v>
      </c>
      <c r="B3199" s="1" t="s">
        <v>29</v>
      </c>
      <c r="C3199" s="5">
        <f>DATE(2025, 11, 13) + TIME(14, 29, 15)</f>
        <v>45974.603645833333</v>
      </c>
      <c r="D3199" s="1" t="s">
        <v>506</v>
      </c>
      <c r="E3199" s="1" t="s">
        <v>538</v>
      </c>
    </row>
    <row r="3200" spans="1:5" x14ac:dyDescent="0.2">
      <c r="A3200" s="1" t="s">
        <v>1276</v>
      </c>
      <c r="B3200" s="1" t="s">
        <v>69</v>
      </c>
      <c r="C3200" s="5">
        <f>DATE(2025, 11, 13) + TIME(13, 51, 33)</f>
        <v>45974.577465277776</v>
      </c>
      <c r="D3200" s="1" t="s">
        <v>640</v>
      </c>
      <c r="E3200" s="1" t="s">
        <v>32</v>
      </c>
    </row>
    <row r="3201" spans="1:5" x14ac:dyDescent="0.2">
      <c r="A3201" s="1" t="s">
        <v>1276</v>
      </c>
      <c r="B3201" s="1" t="s">
        <v>468</v>
      </c>
      <c r="C3201" s="5">
        <f>DATE(2025, 11, 13) + TIME(13, 13, 3)</f>
        <v>45974.550729166665</v>
      </c>
      <c r="D3201" s="1" t="s">
        <v>506</v>
      </c>
      <c r="E3201" s="1" t="s">
        <v>347</v>
      </c>
    </row>
    <row r="3202" spans="1:5" x14ac:dyDescent="0.2">
      <c r="A3202" s="1" t="s">
        <v>1276</v>
      </c>
      <c r="B3202" s="1" t="s">
        <v>866</v>
      </c>
      <c r="C3202" s="5">
        <f>DATE(2025, 11, 13) + TIME(13, 3, 21)</f>
        <v>45974.543993055559</v>
      </c>
      <c r="D3202" s="1" t="s">
        <v>396</v>
      </c>
      <c r="E3202" s="1" t="s">
        <v>482</v>
      </c>
    </row>
    <row r="3203" spans="1:5" x14ac:dyDescent="0.2">
      <c r="A3203" s="1" t="s">
        <v>1276</v>
      </c>
      <c r="B3203" s="1" t="s">
        <v>15</v>
      </c>
      <c r="C3203" s="5">
        <f>DATE(2025, 11, 13) + TIME(12, 56, 8)</f>
        <v>45974.538981481484</v>
      </c>
      <c r="D3203" s="1" t="s">
        <v>506</v>
      </c>
      <c r="E3203" s="1" t="s">
        <v>867</v>
      </c>
    </row>
    <row r="3204" spans="1:5" x14ac:dyDescent="0.2">
      <c r="A3204" s="1" t="s">
        <v>1276</v>
      </c>
      <c r="B3204" s="1" t="s">
        <v>178</v>
      </c>
      <c r="C3204" s="5">
        <f>DATE(2025, 11, 13) + TIME(12, 53, 42)</f>
        <v>45974.537291666667</v>
      </c>
      <c r="D3204" s="1" t="s">
        <v>506</v>
      </c>
      <c r="E3204" s="1" t="s">
        <v>867</v>
      </c>
    </row>
    <row r="3205" spans="1:5" x14ac:dyDescent="0.2">
      <c r="A3205" s="1" t="s">
        <v>1276</v>
      </c>
      <c r="B3205" s="1" t="s">
        <v>84</v>
      </c>
      <c r="C3205" s="5">
        <f>DATE(2025, 11, 13) + TIME(12, 46, 44)</f>
        <v>45974.532453703701</v>
      </c>
      <c r="D3205" s="1" t="s">
        <v>148</v>
      </c>
      <c r="E3205" s="1" t="s">
        <v>480</v>
      </c>
    </row>
    <row r="3206" spans="1:5" x14ac:dyDescent="0.2">
      <c r="A3206" s="1" t="s">
        <v>1276</v>
      </c>
      <c r="B3206" s="1" t="s">
        <v>866</v>
      </c>
      <c r="C3206" s="5">
        <f>DATE(2025, 11, 13) + TIME(12, 46, 24)</f>
        <v>45974.532222222224</v>
      </c>
      <c r="D3206" s="1" t="s">
        <v>269</v>
      </c>
      <c r="E3206" s="1" t="s">
        <v>748</v>
      </c>
    </row>
    <row r="3207" spans="1:5" x14ac:dyDescent="0.2">
      <c r="A3207" s="1" t="s">
        <v>1276</v>
      </c>
      <c r="B3207" s="1" t="s">
        <v>716</v>
      </c>
      <c r="C3207" s="5">
        <f>DATE(2025, 11, 13) + TIME(11, 57, 31)</f>
        <v>45974.49827546296</v>
      </c>
      <c r="D3207" s="1" t="s">
        <v>754</v>
      </c>
      <c r="E3207" s="1" t="s">
        <v>330</v>
      </c>
    </row>
    <row r="3208" spans="1:5" x14ac:dyDescent="0.2">
      <c r="A3208" s="1" t="s">
        <v>1276</v>
      </c>
      <c r="B3208" s="1" t="s">
        <v>483</v>
      </c>
      <c r="C3208" s="5">
        <f>DATE(2025, 11, 12) + TIME(16, 24, 2)</f>
        <v>45973.683356481481</v>
      </c>
      <c r="D3208" s="1" t="s">
        <v>506</v>
      </c>
      <c r="E3208" s="1" t="s">
        <v>158</v>
      </c>
    </row>
    <row r="3209" spans="1:5" x14ac:dyDescent="0.2">
      <c r="A3209" s="1" t="s">
        <v>1276</v>
      </c>
      <c r="B3209" s="1" t="s">
        <v>69</v>
      </c>
      <c r="C3209" s="5">
        <f>DATE(2025, 11, 12) + TIME(16, 16, 34)</f>
        <v>45973.678171296298</v>
      </c>
      <c r="D3209" s="1" t="s">
        <v>506</v>
      </c>
      <c r="E3209" s="1" t="s">
        <v>712</v>
      </c>
    </row>
    <row r="3210" spans="1:5" x14ac:dyDescent="0.2">
      <c r="A3210" s="1" t="s">
        <v>1276</v>
      </c>
      <c r="B3210" s="1" t="s">
        <v>15</v>
      </c>
      <c r="C3210" s="5">
        <f>DATE(2025, 11, 12) + TIME(15, 2, 12)</f>
        <v>45973.626527777778</v>
      </c>
      <c r="D3210" s="1" t="s">
        <v>269</v>
      </c>
      <c r="E3210" s="1" t="s">
        <v>781</v>
      </c>
    </row>
    <row r="3211" spans="1:5" x14ac:dyDescent="0.2">
      <c r="A3211" s="1" t="s">
        <v>1276</v>
      </c>
      <c r="B3211" s="1" t="s">
        <v>654</v>
      </c>
      <c r="C3211" s="5">
        <f>DATE(2025, 11, 12) + TIME(14, 51, 48)</f>
        <v>45973.619305555556</v>
      </c>
      <c r="D3211" s="1" t="s">
        <v>638</v>
      </c>
      <c r="E3211" s="1" t="s">
        <v>518</v>
      </c>
    </row>
    <row r="3212" spans="1:5" x14ac:dyDescent="0.2">
      <c r="A3212" s="1" t="s">
        <v>1276</v>
      </c>
      <c r="B3212" s="1" t="s">
        <v>484</v>
      </c>
      <c r="C3212" s="5">
        <f>DATE(2025, 11, 12) + TIME(13, 57, 9)</f>
        <v>45973.581354166665</v>
      </c>
      <c r="D3212" s="1" t="s">
        <v>506</v>
      </c>
      <c r="E3212" s="1" t="s">
        <v>158</v>
      </c>
    </row>
    <row r="3213" spans="1:5" x14ac:dyDescent="0.2">
      <c r="A3213" s="1" t="s">
        <v>1276</v>
      </c>
      <c r="B3213" s="1" t="s">
        <v>485</v>
      </c>
      <c r="C3213" s="5">
        <f>DATE(2025, 11, 12) + TIME(13, 33, 5)</f>
        <v>45973.564641203702</v>
      </c>
      <c r="D3213" s="1" t="s">
        <v>566</v>
      </c>
      <c r="E3213" s="1" t="s">
        <v>888</v>
      </c>
    </row>
    <row r="3214" spans="1:5" x14ac:dyDescent="0.2">
      <c r="A3214" s="1" t="s">
        <v>1276</v>
      </c>
      <c r="B3214" s="1" t="s">
        <v>431</v>
      </c>
      <c r="C3214" s="5">
        <f>DATE(2025, 11, 12) + TIME(13, 33, 5)</f>
        <v>45973.564641203702</v>
      </c>
      <c r="D3214" s="1" t="s">
        <v>566</v>
      </c>
      <c r="E3214" s="1" t="s">
        <v>888</v>
      </c>
    </row>
    <row r="3215" spans="1:5" x14ac:dyDescent="0.2">
      <c r="A3215" s="1" t="s">
        <v>1276</v>
      </c>
      <c r="B3215" s="1" t="s">
        <v>72</v>
      </c>
      <c r="C3215" s="5">
        <f>DATE(2025, 11, 12) + TIME(13, 18, 20)</f>
        <v>45973.554398148146</v>
      </c>
      <c r="D3215" s="1" t="s">
        <v>144</v>
      </c>
      <c r="E3215" s="1" t="s">
        <v>660</v>
      </c>
    </row>
    <row r="3216" spans="1:5" x14ac:dyDescent="0.2">
      <c r="A3216" s="1" t="s">
        <v>1276</v>
      </c>
      <c r="B3216" s="1" t="s">
        <v>69</v>
      </c>
      <c r="C3216" s="5">
        <f>DATE(2025, 11, 12) + TIME(13, 12, 27)</f>
        <v>45973.550312500003</v>
      </c>
      <c r="D3216" s="1" t="s">
        <v>566</v>
      </c>
      <c r="E3216" s="1" t="s">
        <v>893</v>
      </c>
    </row>
    <row r="3217" spans="1:5" ht="16" x14ac:dyDescent="0.2">
      <c r="A3217" s="1" t="s">
        <v>1276</v>
      </c>
      <c r="B3217" s="1" t="s">
        <v>932</v>
      </c>
      <c r="C3217" s="5">
        <f>DATE(2025, 11, 12) + TIME(13, 11, 17)</f>
        <v>45973.549502314818</v>
      </c>
      <c r="D3217" s="1" t="s">
        <v>754</v>
      </c>
      <c r="E3217" s="2" t="s">
        <v>87</v>
      </c>
    </row>
    <row r="3218" spans="1:5" ht="16" x14ac:dyDescent="0.2">
      <c r="A3218" s="1" t="s">
        <v>1276</v>
      </c>
      <c r="B3218" s="1" t="s">
        <v>300</v>
      </c>
      <c r="C3218" s="5">
        <f>DATE(2025, 11, 12) + TIME(13, 11, 17)</f>
        <v>45973.549502314818</v>
      </c>
      <c r="D3218" s="1" t="s">
        <v>754</v>
      </c>
      <c r="E3218" s="2" t="s">
        <v>87</v>
      </c>
    </row>
    <row r="3219" spans="1:5" ht="16" x14ac:dyDescent="0.2">
      <c r="A3219" s="1" t="s">
        <v>1276</v>
      </c>
      <c r="B3219" s="1" t="s">
        <v>686</v>
      </c>
      <c r="C3219" s="5">
        <f>DATE(2025, 11, 12) + TIME(13, 11, 17)</f>
        <v>45973.549502314818</v>
      </c>
      <c r="D3219" s="1" t="s">
        <v>754</v>
      </c>
      <c r="E3219" s="2" t="s">
        <v>87</v>
      </c>
    </row>
    <row r="3220" spans="1:5" x14ac:dyDescent="0.2">
      <c r="A3220" s="1" t="s">
        <v>1276</v>
      </c>
      <c r="B3220" s="1" t="s">
        <v>409</v>
      </c>
      <c r="C3220" s="5">
        <f>DATE(2025, 11, 12) + TIME(12, 16, 5)</f>
        <v>45973.51116898148</v>
      </c>
      <c r="D3220" s="1" t="s">
        <v>65</v>
      </c>
      <c r="E3220" s="1" t="s">
        <v>432</v>
      </c>
    </row>
    <row r="3221" spans="1:5" x14ac:dyDescent="0.2">
      <c r="A3221" s="1" t="s">
        <v>1276</v>
      </c>
      <c r="B3221" s="1" t="s">
        <v>290</v>
      </c>
      <c r="C3221" s="5">
        <f>DATE(2025, 11, 12) + TIME(11, 53, 11)</f>
        <v>45973.495266203703</v>
      </c>
      <c r="D3221" s="1" t="s">
        <v>320</v>
      </c>
      <c r="E3221" s="1" t="s">
        <v>2</v>
      </c>
    </row>
    <row r="3222" spans="1:5" x14ac:dyDescent="0.2">
      <c r="A3222" s="1" t="s">
        <v>1276</v>
      </c>
      <c r="B3222" s="1" t="s">
        <v>587</v>
      </c>
      <c r="C3222" s="5">
        <f>DATE(2025, 11, 12) + TIME(11, 53, 11)</f>
        <v>45973.495266203703</v>
      </c>
      <c r="D3222" s="1" t="s">
        <v>320</v>
      </c>
      <c r="E3222" s="1" t="s">
        <v>2</v>
      </c>
    </row>
    <row r="3223" spans="1:5" x14ac:dyDescent="0.2">
      <c r="A3223" s="1" t="s">
        <v>1276</v>
      </c>
      <c r="B3223" s="1" t="s">
        <v>242</v>
      </c>
      <c r="C3223" s="5">
        <f>DATE(2025, 11, 12) + TIME(11, 53, 11)</f>
        <v>45973.495266203703</v>
      </c>
      <c r="D3223" s="1" t="s">
        <v>320</v>
      </c>
      <c r="E3223" s="1" t="s">
        <v>2</v>
      </c>
    </row>
    <row r="3224" spans="1:5" x14ac:dyDescent="0.2">
      <c r="A3224" s="1" t="s">
        <v>1276</v>
      </c>
      <c r="B3224" s="1" t="s">
        <v>688</v>
      </c>
      <c r="C3224" s="5">
        <f>DATE(2025, 11, 12) + TIME(10, 40, 57)</f>
        <v>45973.445104166669</v>
      </c>
      <c r="D3224" s="1" t="s">
        <v>5</v>
      </c>
      <c r="E3224" s="1" t="s">
        <v>74</v>
      </c>
    </row>
    <row r="3225" spans="1:5" x14ac:dyDescent="0.2">
      <c r="A3225" s="1" t="s">
        <v>1276</v>
      </c>
      <c r="B3225" s="1" t="s">
        <v>9</v>
      </c>
      <c r="C3225" s="5">
        <f>DATE(2025, 11, 12) + TIME(7, 1, 11)</f>
        <v>45973.292488425926</v>
      </c>
      <c r="D3225" s="1" t="s">
        <v>398</v>
      </c>
      <c r="E3225" s="1" t="s">
        <v>541</v>
      </c>
    </row>
    <row r="3226" spans="1:5" x14ac:dyDescent="0.2">
      <c r="A3226" s="1" t="s">
        <v>1276</v>
      </c>
      <c r="B3226" s="1" t="s">
        <v>682</v>
      </c>
      <c r="C3226" s="5">
        <f>DATE(2025, 11, 12) + TIME(7, 1, 11)</f>
        <v>45973.292488425926</v>
      </c>
      <c r="D3226" s="1" t="s">
        <v>398</v>
      </c>
      <c r="E3226" s="1" t="s">
        <v>541</v>
      </c>
    </row>
    <row r="3227" spans="1:5" x14ac:dyDescent="0.2">
      <c r="A3227" s="1" t="s">
        <v>1276</v>
      </c>
      <c r="B3227" s="1" t="s">
        <v>654</v>
      </c>
      <c r="C3227" s="5">
        <f>DATE(2025, 11, 11) + TIME(16, 43, 20)</f>
        <v>45972.696759259263</v>
      </c>
      <c r="D3227" s="1" t="s">
        <v>320</v>
      </c>
      <c r="E3227" s="1" t="s">
        <v>342</v>
      </c>
    </row>
    <row r="3228" spans="1:5" x14ac:dyDescent="0.2">
      <c r="A3228" s="1" t="s">
        <v>1276</v>
      </c>
      <c r="B3228" s="1" t="s">
        <v>69</v>
      </c>
      <c r="C3228" s="5">
        <f>DATE(2025, 11, 11) + TIME(15, 28, 25)</f>
        <v>45972.644733796296</v>
      </c>
      <c r="D3228" s="1" t="s">
        <v>320</v>
      </c>
      <c r="E3228" s="1" t="s">
        <v>214</v>
      </c>
    </row>
    <row r="3229" spans="1:5" x14ac:dyDescent="0.2">
      <c r="A3229" s="1" t="s">
        <v>1276</v>
      </c>
      <c r="B3229" s="1" t="s">
        <v>178</v>
      </c>
      <c r="C3229" s="5">
        <f>DATE(2025, 11, 11) + TIME(14, 31, 15)</f>
        <v>45972.605034722219</v>
      </c>
      <c r="D3229" s="1" t="s">
        <v>863</v>
      </c>
      <c r="E3229" s="1" t="s">
        <v>43</v>
      </c>
    </row>
    <row r="3230" spans="1:5" x14ac:dyDescent="0.2">
      <c r="A3230" s="1" t="s">
        <v>1276</v>
      </c>
      <c r="B3230" s="1" t="s">
        <v>817</v>
      </c>
      <c r="C3230" s="5">
        <f>DATE(2025, 11, 11) + TIME(13, 38, 45)</f>
        <v>45972.568576388891</v>
      </c>
      <c r="D3230" s="1" t="s">
        <v>566</v>
      </c>
      <c r="E3230" s="1" t="s">
        <v>924</v>
      </c>
    </row>
    <row r="3231" spans="1:5" x14ac:dyDescent="0.2">
      <c r="A3231" s="1" t="s">
        <v>1276</v>
      </c>
      <c r="B3231" s="1" t="s">
        <v>234</v>
      </c>
      <c r="C3231" s="5">
        <f>DATE(2025, 11, 11) + TIME(13, 22, 52)</f>
        <v>45972.557546296295</v>
      </c>
      <c r="D3231" s="1" t="s">
        <v>148</v>
      </c>
      <c r="E3231" s="1" t="s">
        <v>471</v>
      </c>
    </row>
    <row r="3232" spans="1:5" x14ac:dyDescent="0.2">
      <c r="A3232" s="1" t="s">
        <v>1276</v>
      </c>
      <c r="B3232" s="1" t="s">
        <v>944</v>
      </c>
      <c r="C3232" s="5">
        <f>DATE(2025, 11, 11) + TIME(11, 36, 8)</f>
        <v>45972.483425925922</v>
      </c>
      <c r="D3232" s="1" t="s">
        <v>467</v>
      </c>
      <c r="E3232" s="1" t="s">
        <v>143</v>
      </c>
    </row>
    <row r="3233" spans="1:5" x14ac:dyDescent="0.2">
      <c r="A3233" s="1" t="s">
        <v>1276</v>
      </c>
      <c r="B3233" s="1" t="s">
        <v>301</v>
      </c>
      <c r="C3233" s="5">
        <f>DATE(2025, 11, 10) + TIME(16, 51, 42)</f>
        <v>45971.702569444446</v>
      </c>
      <c r="D3233" s="1" t="s">
        <v>320</v>
      </c>
      <c r="E3233" s="1" t="s">
        <v>406</v>
      </c>
    </row>
    <row r="3234" spans="1:5" x14ac:dyDescent="0.2">
      <c r="A3234" s="1" t="s">
        <v>1276</v>
      </c>
      <c r="B3234" s="1" t="s">
        <v>34</v>
      </c>
      <c r="C3234" s="5">
        <f>DATE(2025, 11, 10) + TIME(16, 51, 42)</f>
        <v>45971.702569444446</v>
      </c>
      <c r="D3234" s="1" t="s">
        <v>320</v>
      </c>
      <c r="E3234" s="1" t="s">
        <v>406</v>
      </c>
    </row>
    <row r="3235" spans="1:5" x14ac:dyDescent="0.2">
      <c r="A3235" s="1" t="s">
        <v>1276</v>
      </c>
      <c r="B3235" s="1" t="s">
        <v>932</v>
      </c>
      <c r="C3235" s="5">
        <f>DATE(2025, 11, 10) + TIME(15, 18, 38)</f>
        <v>45971.637939814813</v>
      </c>
      <c r="D3235" s="1" t="s">
        <v>65</v>
      </c>
      <c r="E3235" s="1" t="s">
        <v>103</v>
      </c>
    </row>
    <row r="3236" spans="1:5" x14ac:dyDescent="0.2">
      <c r="A3236" s="1" t="s">
        <v>1276</v>
      </c>
      <c r="B3236" s="1" t="s">
        <v>163</v>
      </c>
      <c r="C3236" s="5">
        <f>DATE(2025, 11, 10) + TIME(15, 18, 38)</f>
        <v>45971.637939814813</v>
      </c>
      <c r="D3236" s="1" t="s">
        <v>65</v>
      </c>
      <c r="E3236" s="1" t="s">
        <v>103</v>
      </c>
    </row>
    <row r="3237" spans="1:5" x14ac:dyDescent="0.2">
      <c r="A3237" s="1" t="s">
        <v>1276</v>
      </c>
      <c r="B3237" s="1" t="s">
        <v>9</v>
      </c>
      <c r="C3237" s="5">
        <f>DATE(2025, 11, 10) + TIME(14, 21, 4)</f>
        <v>45971.597962962966</v>
      </c>
      <c r="D3237" s="1" t="s">
        <v>869</v>
      </c>
      <c r="E3237" s="1" t="s">
        <v>91</v>
      </c>
    </row>
    <row r="3238" spans="1:5" x14ac:dyDescent="0.2">
      <c r="A3238" s="1" t="s">
        <v>1276</v>
      </c>
      <c r="B3238" s="1" t="s">
        <v>682</v>
      </c>
      <c r="C3238" s="5">
        <f>DATE(2025, 11, 10) + TIME(13, 59, 1)</f>
        <v>45971.582650462966</v>
      </c>
      <c r="D3238" s="1" t="s">
        <v>226</v>
      </c>
      <c r="E3238" s="1" t="s">
        <v>520</v>
      </c>
    </row>
    <row r="3239" spans="1:5" x14ac:dyDescent="0.2">
      <c r="A3239" s="1" t="s">
        <v>1276</v>
      </c>
      <c r="B3239" s="1" t="s">
        <v>580</v>
      </c>
      <c r="C3239" s="5">
        <f>DATE(2025, 11, 10) + TIME(11, 47, 14)</f>
        <v>45971.49113425926</v>
      </c>
      <c r="D3239" s="1" t="s">
        <v>320</v>
      </c>
      <c r="E3239" s="1" t="s">
        <v>948</v>
      </c>
    </row>
    <row r="3240" spans="1:5" x14ac:dyDescent="0.2">
      <c r="A3240" s="1" t="s">
        <v>1276</v>
      </c>
      <c r="B3240" s="1" t="s">
        <v>866</v>
      </c>
      <c r="C3240" s="5">
        <f>DATE(2025, 11, 10) + TIME(11, 41, 52)</f>
        <v>45971.487407407411</v>
      </c>
      <c r="D3240" s="1" t="s">
        <v>269</v>
      </c>
      <c r="E3240" s="1" t="s">
        <v>537</v>
      </c>
    </row>
    <row r="3241" spans="1:5" x14ac:dyDescent="0.2">
      <c r="A3241" s="1" t="s">
        <v>1276</v>
      </c>
      <c r="B3241" s="1" t="s">
        <v>72</v>
      </c>
      <c r="C3241" s="5">
        <f>DATE(2025, 11, 10) + TIME(10, 33, 40)</f>
        <v>45971.440046296295</v>
      </c>
      <c r="D3241" s="1" t="s">
        <v>563</v>
      </c>
      <c r="E3241" s="1" t="s">
        <v>68</v>
      </c>
    </row>
    <row r="3242" spans="1:5" x14ac:dyDescent="0.2">
      <c r="A3242" s="1" t="s">
        <v>1276</v>
      </c>
      <c r="B3242" s="1" t="s">
        <v>486</v>
      </c>
      <c r="C3242" s="5">
        <f>DATE(2025, 11, 6) + TIME(16, 8, 7)</f>
        <v>45967.672303240739</v>
      </c>
      <c r="D3242" s="1" t="s">
        <v>269</v>
      </c>
      <c r="E3242" s="1" t="s">
        <v>299</v>
      </c>
    </row>
    <row r="3243" spans="1:5" x14ac:dyDescent="0.2">
      <c r="A3243" s="1" t="s">
        <v>1276</v>
      </c>
      <c r="B3243" s="1" t="s">
        <v>716</v>
      </c>
      <c r="C3243" s="5">
        <f>DATE(2025, 11, 6) + TIME(15, 17, 19)</f>
        <v>45967.637025462966</v>
      </c>
      <c r="D3243" s="1" t="s">
        <v>563</v>
      </c>
      <c r="E3243" s="1" t="s">
        <v>210</v>
      </c>
    </row>
    <row r="3244" spans="1:5" x14ac:dyDescent="0.2">
      <c r="A3244" s="1" t="s">
        <v>1276</v>
      </c>
      <c r="B3244" s="1" t="s">
        <v>234</v>
      </c>
      <c r="C3244" s="5">
        <f>DATE(2025, 11, 6) + TIME(15, 4, 19)</f>
        <v>45967.627997685187</v>
      </c>
      <c r="D3244" s="1" t="s">
        <v>467</v>
      </c>
      <c r="E3244" s="1" t="s">
        <v>324</v>
      </c>
    </row>
    <row r="3245" spans="1:5" x14ac:dyDescent="0.2">
      <c r="A3245" s="1" t="s">
        <v>1276</v>
      </c>
      <c r="B3245" s="1" t="s">
        <v>24</v>
      </c>
      <c r="C3245" s="5">
        <f>DATE(2025, 11, 6) + TIME(15, 4, 19)</f>
        <v>45967.627997685187</v>
      </c>
      <c r="D3245" s="1" t="s">
        <v>467</v>
      </c>
      <c r="E3245" s="1" t="s">
        <v>324</v>
      </c>
    </row>
    <row r="3246" spans="1:5" x14ac:dyDescent="0.2">
      <c r="A3246" s="1" t="s">
        <v>1276</v>
      </c>
      <c r="B3246" s="1" t="s">
        <v>782</v>
      </c>
      <c r="C3246" s="5">
        <f>DATE(2025, 11, 6) + TIME(13, 50, 2)</f>
        <v>45967.576412037037</v>
      </c>
      <c r="D3246" s="1" t="s">
        <v>269</v>
      </c>
      <c r="E3246" s="1" t="s">
        <v>477</v>
      </c>
    </row>
    <row r="3247" spans="1:5" x14ac:dyDescent="0.2">
      <c r="A3247" s="1" t="s">
        <v>1276</v>
      </c>
      <c r="B3247" s="1" t="s">
        <v>104</v>
      </c>
      <c r="C3247" s="5">
        <f>DATE(2025, 11, 6) + TIME(12, 58, 12)</f>
        <v>45967.540416666663</v>
      </c>
      <c r="D3247" s="1" t="s">
        <v>754</v>
      </c>
      <c r="E3247" s="1" t="s">
        <v>330</v>
      </c>
    </row>
    <row r="3248" spans="1:5" x14ac:dyDescent="0.2">
      <c r="A3248" s="1" t="s">
        <v>1276</v>
      </c>
      <c r="B3248" s="1" t="s">
        <v>178</v>
      </c>
      <c r="C3248" s="5">
        <f>DATE(2025, 11, 6) + TIME(12, 41, 6)</f>
        <v>45967.528541666667</v>
      </c>
      <c r="D3248" s="1" t="s">
        <v>64</v>
      </c>
      <c r="E3248" s="1" t="s">
        <v>367</v>
      </c>
    </row>
    <row r="3249" spans="1:5" x14ac:dyDescent="0.2">
      <c r="A3249" s="1" t="s">
        <v>1276</v>
      </c>
      <c r="B3249" s="1" t="s">
        <v>654</v>
      </c>
      <c r="C3249" s="5">
        <f>DATE(2025, 11, 6) + TIME(12, 23, 34)</f>
        <v>45967.516365740739</v>
      </c>
      <c r="D3249" s="1" t="s">
        <v>3</v>
      </c>
      <c r="E3249" s="1" t="s">
        <v>684</v>
      </c>
    </row>
    <row r="3250" spans="1:5" x14ac:dyDescent="0.2">
      <c r="A3250" s="1" t="s">
        <v>1276</v>
      </c>
      <c r="B3250" s="1" t="s">
        <v>716</v>
      </c>
      <c r="C3250" s="5">
        <f>DATE(2025, 11, 6) + TIME(12, 16, 34)</f>
        <v>45967.511504629627</v>
      </c>
      <c r="D3250" s="1" t="s">
        <v>640</v>
      </c>
      <c r="E3250" s="1" t="s">
        <v>32</v>
      </c>
    </row>
    <row r="3251" spans="1:5" x14ac:dyDescent="0.2">
      <c r="A3251" s="1" t="s">
        <v>1276</v>
      </c>
      <c r="B3251" s="1" t="s">
        <v>139</v>
      </c>
      <c r="C3251" s="5">
        <f>DATE(2025, 11, 6) + TIME(12, 16, 34)</f>
        <v>45967.511504629627</v>
      </c>
      <c r="D3251" s="1" t="s">
        <v>640</v>
      </c>
      <c r="E3251" s="1" t="s">
        <v>838</v>
      </c>
    </row>
    <row r="3252" spans="1:5" x14ac:dyDescent="0.2">
      <c r="A3252" s="1" t="s">
        <v>1276</v>
      </c>
      <c r="B3252" s="1" t="s">
        <v>139</v>
      </c>
      <c r="C3252" s="5">
        <f>DATE(2025, 11, 5) + TIME(16, 32, 31)</f>
        <v>45966.689247685186</v>
      </c>
      <c r="D3252" s="1" t="s">
        <v>216</v>
      </c>
      <c r="E3252" s="1" t="s">
        <v>410</v>
      </c>
    </row>
    <row r="3253" spans="1:5" x14ac:dyDescent="0.2">
      <c r="A3253" s="1" t="s">
        <v>1276</v>
      </c>
      <c r="B3253" s="1" t="s">
        <v>408</v>
      </c>
      <c r="C3253" s="5">
        <f>DATE(2025, 11, 5) + TIME(16, 13, 42)</f>
        <v>45966.676180555558</v>
      </c>
      <c r="D3253" s="1" t="s">
        <v>269</v>
      </c>
      <c r="E3253" s="1" t="s">
        <v>336</v>
      </c>
    </row>
    <row r="3254" spans="1:5" x14ac:dyDescent="0.2">
      <c r="A3254" s="1" t="s">
        <v>1276</v>
      </c>
      <c r="B3254" s="1" t="s">
        <v>716</v>
      </c>
      <c r="C3254" s="5">
        <f>DATE(2025, 11, 5) + TIME(15, 39, 30)</f>
        <v>45966.652430555558</v>
      </c>
      <c r="D3254" s="1" t="s">
        <v>869</v>
      </c>
      <c r="E3254" s="1" t="s">
        <v>243</v>
      </c>
    </row>
    <row r="3255" spans="1:5" x14ac:dyDescent="0.2">
      <c r="A3255" s="1" t="s">
        <v>1276</v>
      </c>
      <c r="B3255" s="1" t="s">
        <v>489</v>
      </c>
      <c r="C3255" s="5">
        <f>DATE(2025, 11, 5) + TIME(13, 54, 36)</f>
        <v>45966.579583333332</v>
      </c>
      <c r="D3255" s="1" t="s">
        <v>506</v>
      </c>
      <c r="E3255" s="1" t="s">
        <v>158</v>
      </c>
    </row>
    <row r="3256" spans="1:5" x14ac:dyDescent="0.2">
      <c r="A3256" s="1" t="s">
        <v>1276</v>
      </c>
      <c r="B3256" s="1" t="s">
        <v>234</v>
      </c>
      <c r="C3256" s="5">
        <f>DATE(2025, 11, 5) + TIME(13, 12, 57)</f>
        <v>45966.550659722219</v>
      </c>
      <c r="D3256" s="1" t="s">
        <v>269</v>
      </c>
      <c r="E3256" s="1" t="s">
        <v>781</v>
      </c>
    </row>
    <row r="3257" spans="1:5" x14ac:dyDescent="0.2">
      <c r="A3257" s="1" t="s">
        <v>1276</v>
      </c>
      <c r="B3257" s="1" t="s">
        <v>654</v>
      </c>
      <c r="C3257" s="5">
        <f>DATE(2025, 11, 5) + TIME(13, 6, 59)</f>
        <v>45966.546516203707</v>
      </c>
      <c r="D3257" s="1" t="s">
        <v>566</v>
      </c>
      <c r="E3257" s="1" t="s">
        <v>938</v>
      </c>
    </row>
    <row r="3258" spans="1:5" x14ac:dyDescent="0.2">
      <c r="A3258" s="1" t="s">
        <v>1276</v>
      </c>
      <c r="B3258" s="1" t="s">
        <v>864</v>
      </c>
      <c r="C3258" s="5">
        <f>DATE(2025, 11, 5) + TIME(12, 30, 37)</f>
        <v>45966.521261574075</v>
      </c>
      <c r="D3258" s="1" t="s">
        <v>320</v>
      </c>
      <c r="E3258" s="1" t="s">
        <v>872</v>
      </c>
    </row>
    <row r="3259" spans="1:5" x14ac:dyDescent="0.2">
      <c r="A3259" s="1" t="s">
        <v>1276</v>
      </c>
      <c r="B3259" s="1" t="s">
        <v>817</v>
      </c>
      <c r="C3259" s="5">
        <f>DATE(2025, 11, 5) + TIME(12, 30, 37)</f>
        <v>45966.521261574075</v>
      </c>
      <c r="D3259" s="1" t="s">
        <v>320</v>
      </c>
      <c r="E3259" s="1" t="s">
        <v>872</v>
      </c>
    </row>
    <row r="3260" spans="1:5" x14ac:dyDescent="0.2">
      <c r="A3260" s="1" t="s">
        <v>1276</v>
      </c>
      <c r="B3260" s="1" t="s">
        <v>178</v>
      </c>
      <c r="C3260" s="5">
        <f>DATE(2025, 11, 5) + TIME(11, 52, 56)</f>
        <v>45966.495092592595</v>
      </c>
      <c r="D3260" s="1" t="s">
        <v>923</v>
      </c>
      <c r="E3260" s="1" t="s">
        <v>462</v>
      </c>
    </row>
    <row r="3261" spans="1:5" x14ac:dyDescent="0.2">
      <c r="A3261" s="1" t="s">
        <v>1276</v>
      </c>
      <c r="B3261" s="1" t="s">
        <v>716</v>
      </c>
      <c r="C3261" s="5">
        <f>DATE(2025, 11, 5) + TIME(11, 52, 56)</f>
        <v>45966.495092592595</v>
      </c>
      <c r="D3261" s="1" t="s">
        <v>923</v>
      </c>
      <c r="E3261" s="1" t="s">
        <v>462</v>
      </c>
    </row>
    <row r="3262" spans="1:5" x14ac:dyDescent="0.2">
      <c r="A3262" s="1" t="s">
        <v>1276</v>
      </c>
      <c r="B3262" s="1" t="s">
        <v>654</v>
      </c>
      <c r="C3262" s="5">
        <f>DATE(2025, 11, 5) + TIME(11, 30, 1)</f>
        <v>45966.479178240741</v>
      </c>
      <c r="D3262" s="1" t="s">
        <v>216</v>
      </c>
      <c r="E3262" s="1" t="s">
        <v>321</v>
      </c>
    </row>
    <row r="3263" spans="1:5" x14ac:dyDescent="0.2">
      <c r="A3263" s="1" t="s">
        <v>1276</v>
      </c>
      <c r="B3263" s="1" t="s">
        <v>866</v>
      </c>
      <c r="C3263" s="5">
        <f>DATE(2025, 11, 5) + TIME(11, 7, 59)</f>
        <v>45966.463877314818</v>
      </c>
      <c r="D3263" s="1" t="s">
        <v>921</v>
      </c>
      <c r="E3263" s="1" t="s">
        <v>78</v>
      </c>
    </row>
    <row r="3264" spans="1:5" x14ac:dyDescent="0.2">
      <c r="A3264" s="1" t="s">
        <v>1276</v>
      </c>
      <c r="B3264" s="1" t="s">
        <v>932</v>
      </c>
      <c r="C3264" s="5">
        <f>DATE(2025, 11, 5) + TIME(11, 3, 34)</f>
        <v>45966.460810185185</v>
      </c>
      <c r="D3264" s="1" t="s">
        <v>320</v>
      </c>
      <c r="E3264" s="1" t="s">
        <v>724</v>
      </c>
    </row>
    <row r="3265" spans="1:5" x14ac:dyDescent="0.2">
      <c r="A3265" s="1" t="s">
        <v>1276</v>
      </c>
      <c r="B3265" s="1" t="s">
        <v>228</v>
      </c>
      <c r="C3265" s="5">
        <f>DATE(2025, 11, 5) + TIME(9, 45, 11)</f>
        <v>45966.406377314815</v>
      </c>
      <c r="D3265" s="1" t="s">
        <v>64</v>
      </c>
      <c r="E3265" s="1" t="s">
        <v>639</v>
      </c>
    </row>
    <row r="3266" spans="1:5" x14ac:dyDescent="0.2">
      <c r="A3266" s="1" t="s">
        <v>1276</v>
      </c>
      <c r="B3266" s="1" t="s">
        <v>944</v>
      </c>
      <c r="C3266" s="5">
        <f>DATE(2025, 11, 4) + TIME(16, 38, 8)</f>
        <v>45965.693148148152</v>
      </c>
      <c r="D3266" s="1" t="s">
        <v>869</v>
      </c>
      <c r="E3266" s="1" t="s">
        <v>880</v>
      </c>
    </row>
    <row r="3267" spans="1:5" x14ac:dyDescent="0.2">
      <c r="A3267" s="1" t="s">
        <v>1276</v>
      </c>
      <c r="B3267" s="1" t="s">
        <v>542</v>
      </c>
      <c r="C3267" s="5">
        <f>DATE(2025, 11, 4) + TIME(12, 37, 58)</f>
        <v>45965.526365740741</v>
      </c>
      <c r="D3267" s="1" t="s">
        <v>216</v>
      </c>
      <c r="E3267" s="1" t="s">
        <v>873</v>
      </c>
    </row>
    <row r="3268" spans="1:5" x14ac:dyDescent="0.2">
      <c r="A3268" s="1" t="s">
        <v>1276</v>
      </c>
      <c r="B3268" s="1" t="s">
        <v>587</v>
      </c>
      <c r="C3268" s="5">
        <f>DATE(2025, 11, 4) + TIME(12, 37, 58)</f>
        <v>45965.526365740741</v>
      </c>
      <c r="D3268" s="1" t="s">
        <v>216</v>
      </c>
      <c r="E3268" s="1" t="s">
        <v>873</v>
      </c>
    </row>
    <row r="3269" spans="1:5" x14ac:dyDescent="0.2">
      <c r="A3269" s="1" t="s">
        <v>1276</v>
      </c>
      <c r="B3269" s="1" t="s">
        <v>716</v>
      </c>
      <c r="C3269" s="5">
        <f>DATE(2025, 11, 4) + TIME(12, 6, 32)</f>
        <v>45965.504537037035</v>
      </c>
      <c r="D3269" s="1" t="s">
        <v>467</v>
      </c>
      <c r="E3269" s="1" t="s">
        <v>143</v>
      </c>
    </row>
    <row r="3270" spans="1:5" x14ac:dyDescent="0.2">
      <c r="A3270" s="1" t="s">
        <v>1276</v>
      </c>
      <c r="B3270" s="1" t="s">
        <v>411</v>
      </c>
      <c r="C3270" s="5">
        <f>DATE(2025, 11, 4) + TIME(11, 5, 35)</f>
        <v>45965.462210648147</v>
      </c>
      <c r="D3270" s="1" t="s">
        <v>226</v>
      </c>
      <c r="E3270" s="1" t="s">
        <v>160</v>
      </c>
    </row>
    <row r="3271" spans="1:5" x14ac:dyDescent="0.2">
      <c r="A3271" s="1" t="s">
        <v>1276</v>
      </c>
      <c r="B3271" s="1" t="s">
        <v>716</v>
      </c>
      <c r="C3271" s="5">
        <f>DATE(2025, 11, 4) + TIME(9, 54, 27)</f>
        <v>45965.412812499999</v>
      </c>
      <c r="D3271" s="1" t="s">
        <v>921</v>
      </c>
      <c r="E3271" s="1" t="s">
        <v>292</v>
      </c>
    </row>
    <row r="3272" spans="1:5" x14ac:dyDescent="0.2">
      <c r="A3272" s="1" t="s">
        <v>1276</v>
      </c>
      <c r="B3272" s="1" t="s">
        <v>951</v>
      </c>
      <c r="C3272" s="5">
        <f>DATE(2025, 11, 3) + TIME(16, 3, 30)</f>
        <v>45964.66909722222</v>
      </c>
      <c r="D3272" s="1" t="s">
        <v>871</v>
      </c>
      <c r="E3272" s="1" t="s">
        <v>839</v>
      </c>
    </row>
    <row r="3273" spans="1:5" x14ac:dyDescent="0.2">
      <c r="A3273" s="1" t="s">
        <v>1276</v>
      </c>
      <c r="B3273" s="1" t="s">
        <v>716</v>
      </c>
      <c r="C3273" s="5">
        <f>DATE(2025, 11, 3) + TIME(14, 38, 22)</f>
        <v>45964.609976851854</v>
      </c>
      <c r="D3273" s="1" t="s">
        <v>647</v>
      </c>
      <c r="E3273" s="1" t="s">
        <v>567</v>
      </c>
    </row>
    <row r="3274" spans="1:5" x14ac:dyDescent="0.2">
      <c r="A3274" s="1" t="s">
        <v>1276</v>
      </c>
      <c r="B3274" s="1" t="s">
        <v>411</v>
      </c>
      <c r="C3274" s="5">
        <f>DATE(2025, 11, 3) + TIME(13, 51, 43)</f>
        <v>45964.577581018515</v>
      </c>
      <c r="D3274" s="1" t="s">
        <v>467</v>
      </c>
      <c r="E3274" s="1" t="s">
        <v>288</v>
      </c>
    </row>
    <row r="3275" spans="1:5" x14ac:dyDescent="0.2">
      <c r="A3275" s="1" t="s">
        <v>1276</v>
      </c>
      <c r="B3275" s="1" t="s">
        <v>34</v>
      </c>
      <c r="C3275" s="5">
        <f>DATE(2025, 11, 3) + TIME(13, 41, 18)</f>
        <v>45964.570347222223</v>
      </c>
      <c r="D3275" s="1" t="s">
        <v>754</v>
      </c>
      <c r="E3275" s="1" t="s">
        <v>330</v>
      </c>
    </row>
    <row r="3276" spans="1:5" x14ac:dyDescent="0.2">
      <c r="A3276" s="1" t="s">
        <v>1276</v>
      </c>
      <c r="B3276" s="1" t="s">
        <v>303</v>
      </c>
      <c r="C3276" s="5">
        <f>DATE(2025, 11, 3) + TIME(13, 5, 44)</f>
        <v>45964.545648148145</v>
      </c>
      <c r="D3276" s="1" t="s">
        <v>320</v>
      </c>
      <c r="E3276" s="1" t="s">
        <v>406</v>
      </c>
    </row>
    <row r="3277" spans="1:5" x14ac:dyDescent="0.2">
      <c r="A3277" s="1" t="s">
        <v>1276</v>
      </c>
      <c r="B3277" s="1" t="s">
        <v>661</v>
      </c>
      <c r="C3277" s="5">
        <f>DATE(2025, 11, 3) + TIME(13, 5, 44)</f>
        <v>45964.545648148145</v>
      </c>
      <c r="D3277" s="1" t="s">
        <v>320</v>
      </c>
      <c r="E3277" s="1" t="s">
        <v>406</v>
      </c>
    </row>
    <row r="3278" spans="1:5" x14ac:dyDescent="0.2">
      <c r="A3278" s="1" t="s">
        <v>1276</v>
      </c>
      <c r="B3278" s="1" t="s">
        <v>34</v>
      </c>
      <c r="C3278" s="5">
        <f>DATE(2025, 11, 3) + TIME(13, 5, 44)</f>
        <v>45964.545648148145</v>
      </c>
      <c r="D3278" s="1" t="s">
        <v>320</v>
      </c>
      <c r="E3278" s="1" t="s">
        <v>406</v>
      </c>
    </row>
    <row r="3279" spans="1:5" x14ac:dyDescent="0.2">
      <c r="A3279" s="1" t="s">
        <v>1276</v>
      </c>
      <c r="B3279" s="1" t="s">
        <v>161</v>
      </c>
      <c r="C3279" s="5">
        <f>DATE(2025, 11, 3) + TIME(13, 5, 43)</f>
        <v>45964.545636574076</v>
      </c>
      <c r="D3279" s="1" t="s">
        <v>320</v>
      </c>
      <c r="E3279" s="1" t="s">
        <v>406</v>
      </c>
    </row>
    <row r="3280" spans="1:5" x14ac:dyDescent="0.2">
      <c r="A3280" s="1" t="s">
        <v>1276</v>
      </c>
      <c r="B3280" s="1" t="s">
        <v>786</v>
      </c>
      <c r="C3280" s="5">
        <f>DATE(2025, 11, 2) + TIME(12, 30, 8)</f>
        <v>45963.520925925928</v>
      </c>
      <c r="D3280" s="1" t="s">
        <v>869</v>
      </c>
      <c r="E3280" s="1" t="s">
        <v>220</v>
      </c>
    </row>
    <row r="3281" spans="1:5" x14ac:dyDescent="0.2">
      <c r="A3281" s="1" t="s">
        <v>1276</v>
      </c>
      <c r="B3281" s="1" t="s">
        <v>69</v>
      </c>
      <c r="C3281" s="5">
        <f>DATE(2025, 10, 30) + TIME(15, 57, 28)</f>
        <v>45960.664907407408</v>
      </c>
      <c r="D3281" s="1" t="s">
        <v>638</v>
      </c>
      <c r="E3281" s="1" t="s">
        <v>362</v>
      </c>
    </row>
    <row r="3282" spans="1:5" x14ac:dyDescent="0.2">
      <c r="A3282" s="1" t="s">
        <v>1276</v>
      </c>
      <c r="B3282" s="1" t="s">
        <v>34</v>
      </c>
      <c r="C3282" s="5">
        <f>DATE(2025, 10, 30) + TIME(15, 33, 33)</f>
        <v>45960.648298611108</v>
      </c>
      <c r="D3282" s="1" t="s">
        <v>269</v>
      </c>
      <c r="E3282" s="1" t="s">
        <v>299</v>
      </c>
    </row>
    <row r="3283" spans="1:5" x14ac:dyDescent="0.2">
      <c r="A3283" s="1" t="s">
        <v>1276</v>
      </c>
      <c r="B3283" s="1" t="s">
        <v>104</v>
      </c>
      <c r="C3283" s="5">
        <f>DATE(2025, 10, 30) + TIME(15, 33, 33)</f>
        <v>45960.648298611108</v>
      </c>
      <c r="D3283" s="1" t="s">
        <v>269</v>
      </c>
      <c r="E3283" s="1" t="s">
        <v>299</v>
      </c>
    </row>
    <row r="3284" spans="1:5" x14ac:dyDescent="0.2">
      <c r="A3284" s="1" t="s">
        <v>1276</v>
      </c>
      <c r="B3284" s="1" t="s">
        <v>34</v>
      </c>
      <c r="C3284" s="5">
        <f>DATE(2025, 10, 30) + TIME(15, 24, 5)</f>
        <v>45960.641724537039</v>
      </c>
      <c r="D3284" s="1" t="s">
        <v>754</v>
      </c>
      <c r="E3284" s="1" t="s">
        <v>755</v>
      </c>
    </row>
    <row r="3285" spans="1:5" x14ac:dyDescent="0.2">
      <c r="A3285" s="1" t="s">
        <v>1276</v>
      </c>
      <c r="B3285" s="1" t="s">
        <v>544</v>
      </c>
      <c r="C3285" s="5">
        <f>DATE(2025, 10, 30) + TIME(15, 15, 57)</f>
        <v>45960.636076388888</v>
      </c>
      <c r="D3285" s="1" t="s">
        <v>566</v>
      </c>
      <c r="E3285" s="1" t="s">
        <v>324</v>
      </c>
    </row>
    <row r="3286" spans="1:5" x14ac:dyDescent="0.2">
      <c r="A3286" s="1" t="s">
        <v>1276</v>
      </c>
      <c r="B3286" s="1" t="s">
        <v>787</v>
      </c>
      <c r="C3286" s="5">
        <f>DATE(2025, 10, 30) + TIME(15, 15, 57)</f>
        <v>45960.636076388888</v>
      </c>
      <c r="D3286" s="1" t="s">
        <v>566</v>
      </c>
      <c r="E3286" s="1" t="s">
        <v>324</v>
      </c>
    </row>
    <row r="3287" spans="1:5" x14ac:dyDescent="0.2">
      <c r="A3287" s="1" t="s">
        <v>1276</v>
      </c>
      <c r="B3287" s="1" t="s">
        <v>34</v>
      </c>
      <c r="C3287" s="5">
        <f>DATE(2025, 10, 30) + TIME(14, 45, 1)</f>
        <v>45960.614594907405</v>
      </c>
      <c r="D3287" s="1" t="s">
        <v>754</v>
      </c>
      <c r="E3287" s="1" t="s">
        <v>282</v>
      </c>
    </row>
    <row r="3288" spans="1:5" x14ac:dyDescent="0.2">
      <c r="A3288" s="1" t="s">
        <v>1276</v>
      </c>
      <c r="B3288" s="1" t="s">
        <v>491</v>
      </c>
      <c r="C3288" s="5">
        <f>DATE(2025, 10, 30) + TIME(14, 32, 57)</f>
        <v>45960.606215277781</v>
      </c>
      <c r="D3288" s="1" t="s">
        <v>754</v>
      </c>
      <c r="E3288" s="1" t="s">
        <v>870</v>
      </c>
    </row>
    <row r="3289" spans="1:5" x14ac:dyDescent="0.2">
      <c r="A3289" s="1" t="s">
        <v>1276</v>
      </c>
      <c r="B3289" s="1" t="s">
        <v>34</v>
      </c>
      <c r="C3289" s="5">
        <f>DATE(2025, 10, 30) + TIME(14, 32, 57)</f>
        <v>45960.606215277781</v>
      </c>
      <c r="D3289" s="1" t="s">
        <v>754</v>
      </c>
      <c r="E3289" s="1" t="s">
        <v>870</v>
      </c>
    </row>
    <row r="3290" spans="1:5" x14ac:dyDescent="0.2">
      <c r="A3290" s="1" t="s">
        <v>1276</v>
      </c>
      <c r="B3290" s="1" t="s">
        <v>163</v>
      </c>
      <c r="C3290" s="5">
        <f>DATE(2025, 10, 30) + TIME(14, 32, 57)</f>
        <v>45960.606215277781</v>
      </c>
      <c r="D3290" s="1" t="s">
        <v>754</v>
      </c>
      <c r="E3290" s="1" t="s">
        <v>870</v>
      </c>
    </row>
    <row r="3291" spans="1:5" x14ac:dyDescent="0.2">
      <c r="A3291" s="1" t="s">
        <v>1276</v>
      </c>
      <c r="B3291" s="1" t="s">
        <v>34</v>
      </c>
      <c r="C3291" s="5">
        <f>DATE(2025, 10, 30) + TIME(14, 29, 57)</f>
        <v>45960.604131944441</v>
      </c>
      <c r="D3291" s="1" t="s">
        <v>396</v>
      </c>
      <c r="E3291" s="1" t="s">
        <v>652</v>
      </c>
    </row>
    <row r="3292" spans="1:5" x14ac:dyDescent="0.2">
      <c r="A3292" s="1" t="s">
        <v>1276</v>
      </c>
      <c r="B3292" s="1" t="s">
        <v>4</v>
      </c>
      <c r="C3292" s="5">
        <f>DATE(2025, 10, 30) + TIME(13, 56, 0)</f>
        <v>45960.580555555556</v>
      </c>
      <c r="D3292" s="1" t="s">
        <v>396</v>
      </c>
      <c r="E3292" s="1" t="s">
        <v>140</v>
      </c>
    </row>
    <row r="3293" spans="1:5" x14ac:dyDescent="0.2">
      <c r="A3293" s="1" t="s">
        <v>1276</v>
      </c>
      <c r="B3293" s="1" t="s">
        <v>866</v>
      </c>
      <c r="C3293" s="5">
        <f>DATE(2025, 10, 30) + TIME(12, 57, 27)</f>
        <v>45960.539895833332</v>
      </c>
      <c r="D3293" s="1" t="s">
        <v>563</v>
      </c>
      <c r="E3293" s="1" t="s">
        <v>657</v>
      </c>
    </row>
    <row r="3294" spans="1:5" x14ac:dyDescent="0.2">
      <c r="A3294" s="1" t="s">
        <v>1276</v>
      </c>
      <c r="B3294" s="1" t="s">
        <v>84</v>
      </c>
      <c r="C3294" s="5">
        <f>DATE(2025, 10, 30) + TIME(12, 18, 47)</f>
        <v>45960.513043981482</v>
      </c>
      <c r="D3294" s="1" t="s">
        <v>506</v>
      </c>
      <c r="E3294" s="1" t="s">
        <v>808</v>
      </c>
    </row>
    <row r="3295" spans="1:5" x14ac:dyDescent="0.2">
      <c r="A3295" s="1" t="s">
        <v>1276</v>
      </c>
      <c r="B3295" s="1" t="s">
        <v>346</v>
      </c>
      <c r="C3295" s="5">
        <f>DATE(2025, 10, 30) + TIME(11, 37, 47)</f>
        <v>45960.484571759262</v>
      </c>
      <c r="D3295" s="1" t="s">
        <v>754</v>
      </c>
      <c r="E3295" s="1" t="s">
        <v>330</v>
      </c>
    </row>
    <row r="3296" spans="1:5" x14ac:dyDescent="0.2">
      <c r="A3296" s="1" t="s">
        <v>1276</v>
      </c>
      <c r="B3296" s="1" t="s">
        <v>72</v>
      </c>
      <c r="C3296" s="5">
        <f>DATE(2025, 10, 30) + TIME(11, 19, 8)</f>
        <v>45960.471620370372</v>
      </c>
      <c r="D3296" s="1" t="s">
        <v>226</v>
      </c>
      <c r="E3296" s="1" t="s">
        <v>881</v>
      </c>
    </row>
    <row r="3297" spans="1:5" x14ac:dyDescent="0.2">
      <c r="A3297" s="1" t="s">
        <v>1276</v>
      </c>
      <c r="B3297" s="1" t="s">
        <v>944</v>
      </c>
      <c r="C3297" s="5">
        <f>DATE(2025, 10, 29) + TIME(17, 5, 57)</f>
        <v>45959.712465277778</v>
      </c>
      <c r="D3297" s="1" t="s">
        <v>64</v>
      </c>
      <c r="E3297" s="1" t="s">
        <v>889</v>
      </c>
    </row>
    <row r="3298" spans="1:5" x14ac:dyDescent="0.2">
      <c r="A3298" s="1" t="s">
        <v>1276</v>
      </c>
      <c r="B3298" s="1" t="s">
        <v>577</v>
      </c>
      <c r="C3298" s="5">
        <f>DATE(2025, 10, 29) + TIME(15, 32, 48)</f>
        <v>45959.647777777776</v>
      </c>
      <c r="D3298" s="1" t="s">
        <v>5</v>
      </c>
      <c r="E3298" s="1" t="s">
        <v>568</v>
      </c>
    </row>
    <row r="3299" spans="1:5" x14ac:dyDescent="0.2">
      <c r="A3299" s="1" t="s">
        <v>1276</v>
      </c>
      <c r="B3299" s="1" t="s">
        <v>817</v>
      </c>
      <c r="C3299" s="5">
        <f>DATE(2025, 10, 29) + TIME(15, 20, 24)</f>
        <v>45959.639166666668</v>
      </c>
      <c r="D3299" s="1" t="s">
        <v>341</v>
      </c>
      <c r="E3299" s="1" t="s">
        <v>872</v>
      </c>
    </row>
    <row r="3300" spans="1:5" x14ac:dyDescent="0.2">
      <c r="A3300" s="1" t="s">
        <v>1276</v>
      </c>
      <c r="B3300" s="1" t="s">
        <v>932</v>
      </c>
      <c r="C3300" s="5">
        <f>DATE(2025, 10, 29) + TIME(15, 15, 21)</f>
        <v>45959.635659722226</v>
      </c>
      <c r="D3300" s="1" t="s">
        <v>638</v>
      </c>
      <c r="E3300" s="1" t="s">
        <v>535</v>
      </c>
    </row>
    <row r="3301" spans="1:5" x14ac:dyDescent="0.2">
      <c r="A3301" s="1" t="s">
        <v>1276</v>
      </c>
      <c r="B3301" s="1" t="s">
        <v>417</v>
      </c>
      <c r="C3301" s="5">
        <f>DATE(2025, 10, 29) + TIME(15, 10, 34)</f>
        <v>45959.632337962961</v>
      </c>
      <c r="D3301" s="1" t="s">
        <v>3</v>
      </c>
      <c r="E3301" s="1" t="s">
        <v>890</v>
      </c>
    </row>
    <row r="3302" spans="1:5" x14ac:dyDescent="0.2">
      <c r="A3302" s="1" t="s">
        <v>1276</v>
      </c>
      <c r="B3302" s="1" t="s">
        <v>944</v>
      </c>
      <c r="C3302" s="5">
        <f>DATE(2025, 10, 29) + TIME(14, 48, 27)</f>
        <v>45959.616979166669</v>
      </c>
      <c r="D3302" s="1" t="s">
        <v>566</v>
      </c>
      <c r="E3302" s="1" t="s">
        <v>888</v>
      </c>
    </row>
    <row r="3303" spans="1:5" x14ac:dyDescent="0.2">
      <c r="A3303" s="1" t="s">
        <v>1276</v>
      </c>
      <c r="B3303" s="1" t="s">
        <v>34</v>
      </c>
      <c r="C3303" s="5">
        <f>DATE(2025, 10, 29) + TIME(13, 49, 4)</f>
        <v>45959.575740740744</v>
      </c>
      <c r="D3303" s="1" t="s">
        <v>216</v>
      </c>
      <c r="E3303" s="1" t="s">
        <v>321</v>
      </c>
    </row>
    <row r="3304" spans="1:5" x14ac:dyDescent="0.2">
      <c r="A3304" s="1" t="s">
        <v>1276</v>
      </c>
      <c r="B3304" s="1" t="s">
        <v>34</v>
      </c>
      <c r="C3304" s="5">
        <f>DATE(2025, 10, 29) + TIME(13, 44, 29)</f>
        <v>45959.572557870371</v>
      </c>
      <c r="D3304" s="1" t="s">
        <v>923</v>
      </c>
      <c r="E3304" s="1" t="s">
        <v>462</v>
      </c>
    </row>
    <row r="3305" spans="1:5" x14ac:dyDescent="0.2">
      <c r="A3305" s="1" t="s">
        <v>1276</v>
      </c>
      <c r="B3305" s="1" t="s">
        <v>686</v>
      </c>
      <c r="C3305" s="5">
        <f>DATE(2025, 10, 29) + TIME(13, 44, 28)</f>
        <v>45959.572546296295</v>
      </c>
      <c r="D3305" s="1" t="s">
        <v>923</v>
      </c>
      <c r="E3305" s="1" t="s">
        <v>462</v>
      </c>
    </row>
    <row r="3306" spans="1:5" x14ac:dyDescent="0.2">
      <c r="A3306" s="1" t="s">
        <v>1276</v>
      </c>
      <c r="B3306" s="1" t="s">
        <v>223</v>
      </c>
      <c r="C3306" s="5">
        <f>DATE(2025, 10, 29) + TIME(13, 44, 28)</f>
        <v>45959.572546296295</v>
      </c>
      <c r="D3306" s="1" t="s">
        <v>923</v>
      </c>
      <c r="E3306" s="1" t="s">
        <v>462</v>
      </c>
    </row>
    <row r="3307" spans="1:5" x14ac:dyDescent="0.2">
      <c r="A3307" s="1" t="s">
        <v>1276</v>
      </c>
      <c r="B3307" s="1" t="s">
        <v>34</v>
      </c>
      <c r="C3307" s="5">
        <f>DATE(2025, 10, 29) + TIME(13, 27, 14)</f>
        <v>45959.560578703706</v>
      </c>
      <c r="D3307" s="1" t="s">
        <v>467</v>
      </c>
      <c r="E3307" s="1" t="s">
        <v>473</v>
      </c>
    </row>
    <row r="3308" spans="1:5" x14ac:dyDescent="0.2">
      <c r="A3308" s="1" t="s">
        <v>1276</v>
      </c>
      <c r="B3308" s="1" t="s">
        <v>409</v>
      </c>
      <c r="C3308" s="5">
        <f>DATE(2025, 10, 29) + TIME(13, 11, 14)</f>
        <v>45959.549467592595</v>
      </c>
      <c r="D3308" s="1" t="s">
        <v>3</v>
      </c>
      <c r="E3308" s="1" t="s">
        <v>684</v>
      </c>
    </row>
    <row r="3309" spans="1:5" x14ac:dyDescent="0.2">
      <c r="A3309" s="1" t="s">
        <v>1276</v>
      </c>
      <c r="B3309" s="1" t="s">
        <v>688</v>
      </c>
      <c r="C3309" s="5">
        <f>DATE(2025, 10, 29) + TIME(12, 59, 59)</f>
        <v>45959.541655092595</v>
      </c>
      <c r="D3309" s="1" t="s">
        <v>566</v>
      </c>
      <c r="E3309" s="1" t="s">
        <v>945</v>
      </c>
    </row>
    <row r="3310" spans="1:5" x14ac:dyDescent="0.2">
      <c r="A3310" s="1" t="s">
        <v>1276</v>
      </c>
      <c r="B3310" s="1" t="s">
        <v>866</v>
      </c>
      <c r="C3310" s="5">
        <f>DATE(2025, 10, 29) + TIME(11, 36, 11)</f>
        <v>45959.483460648145</v>
      </c>
      <c r="D3310" s="1" t="s">
        <v>64</v>
      </c>
      <c r="E3310" s="1" t="s">
        <v>873</v>
      </c>
    </row>
    <row r="3311" spans="1:5" x14ac:dyDescent="0.2">
      <c r="A3311" s="1" t="s">
        <v>1276</v>
      </c>
      <c r="B3311" s="1" t="s">
        <v>752</v>
      </c>
      <c r="C3311" s="5">
        <f>DATE(2025, 10, 29) + TIME(11, 36, 11)</f>
        <v>45959.483460648145</v>
      </c>
      <c r="D3311" s="1" t="s">
        <v>64</v>
      </c>
      <c r="E3311" s="1" t="s">
        <v>873</v>
      </c>
    </row>
    <row r="3312" spans="1:5" x14ac:dyDescent="0.2">
      <c r="A3312" s="1" t="s">
        <v>1276</v>
      </c>
      <c r="B3312" s="1" t="s">
        <v>69</v>
      </c>
      <c r="C3312" s="5">
        <f>DATE(2025, 10, 29) + TIME(11, 14, 18)</f>
        <v>45959.468263888892</v>
      </c>
      <c r="D3312" s="1" t="s">
        <v>64</v>
      </c>
      <c r="E3312" s="1" t="s">
        <v>337</v>
      </c>
    </row>
    <row r="3313" spans="1:5" x14ac:dyDescent="0.2">
      <c r="A3313" s="1" t="s">
        <v>1276</v>
      </c>
      <c r="B3313" s="1" t="s">
        <v>411</v>
      </c>
      <c r="C3313" s="5">
        <f>DATE(2025, 10, 28) + TIME(15, 35, 6)</f>
        <v>45958.649375000001</v>
      </c>
      <c r="D3313" s="1" t="s">
        <v>467</v>
      </c>
      <c r="E3313" s="1" t="s">
        <v>894</v>
      </c>
    </row>
    <row r="3314" spans="1:5" x14ac:dyDescent="0.2">
      <c r="A3314" s="1" t="s">
        <v>1276</v>
      </c>
      <c r="B3314" s="1" t="s">
        <v>34</v>
      </c>
      <c r="C3314" s="5">
        <f>DATE(2025, 10, 28) + TIME(15, 7, 47)</f>
        <v>45958.63040509259</v>
      </c>
      <c r="D3314" s="1" t="s">
        <v>467</v>
      </c>
      <c r="E3314" s="1" t="s">
        <v>894</v>
      </c>
    </row>
    <row r="3315" spans="1:5" x14ac:dyDescent="0.2">
      <c r="A3315" s="1" t="s">
        <v>1276</v>
      </c>
      <c r="B3315" s="1" t="s">
        <v>34</v>
      </c>
      <c r="C3315" s="5">
        <f>DATE(2025, 10, 28) + TIME(14, 34, 31)</f>
        <v>45958.607303240744</v>
      </c>
      <c r="D3315" s="1" t="s">
        <v>871</v>
      </c>
      <c r="E3315" s="1" t="s">
        <v>107</v>
      </c>
    </row>
    <row r="3316" spans="1:5" x14ac:dyDescent="0.2">
      <c r="A3316" s="1" t="s">
        <v>1276</v>
      </c>
      <c r="B3316" s="1" t="s">
        <v>34</v>
      </c>
      <c r="C3316" s="5">
        <f>DATE(2025, 10, 28) + TIME(13, 4, 34)</f>
        <v>45958.54483796296</v>
      </c>
      <c r="D3316" s="1" t="s">
        <v>396</v>
      </c>
      <c r="E3316" s="1" t="s">
        <v>276</v>
      </c>
    </row>
    <row r="3317" spans="1:5" x14ac:dyDescent="0.2">
      <c r="A3317" s="1" t="s">
        <v>1276</v>
      </c>
      <c r="B3317" s="1" t="s">
        <v>866</v>
      </c>
      <c r="C3317" s="5">
        <f>DATE(2025, 10, 28) + TIME(13, 2, 26)</f>
        <v>45958.543356481481</v>
      </c>
      <c r="D3317" s="1" t="s">
        <v>64</v>
      </c>
      <c r="E3317" s="1" t="s">
        <v>433</v>
      </c>
    </row>
    <row r="3318" spans="1:5" x14ac:dyDescent="0.2">
      <c r="A3318" s="1" t="s">
        <v>1276</v>
      </c>
      <c r="B3318" s="1" t="s">
        <v>96</v>
      </c>
      <c r="C3318" s="5">
        <f>DATE(2025, 10, 28) + TIME(8, 11, 16)</f>
        <v>45958.341157407405</v>
      </c>
      <c r="D3318" s="1" t="s">
        <v>467</v>
      </c>
      <c r="E3318" s="1" t="s">
        <v>143</v>
      </c>
    </row>
    <row r="3319" spans="1:5" x14ac:dyDescent="0.2">
      <c r="A3319" s="1" t="s">
        <v>1276</v>
      </c>
      <c r="B3319" s="1" t="s">
        <v>34</v>
      </c>
      <c r="C3319" s="5">
        <f>DATE(2025, 10, 27) + TIME(16, 4, 32)</f>
        <v>45957.669814814813</v>
      </c>
      <c r="D3319" s="1" t="s">
        <v>871</v>
      </c>
      <c r="E3319" s="1" t="s">
        <v>414</v>
      </c>
    </row>
    <row r="3320" spans="1:5" x14ac:dyDescent="0.2">
      <c r="A3320" s="1" t="s">
        <v>1276</v>
      </c>
      <c r="B3320" s="1" t="s">
        <v>84</v>
      </c>
      <c r="C3320" s="5">
        <f>DATE(2025, 10, 27) + TIME(15, 28, 35)</f>
        <v>45957.644849537035</v>
      </c>
      <c r="D3320" s="1" t="s">
        <v>64</v>
      </c>
      <c r="E3320" s="1" t="s">
        <v>727</v>
      </c>
    </row>
    <row r="3321" spans="1:5" x14ac:dyDescent="0.2">
      <c r="A3321" s="1" t="s">
        <v>1276</v>
      </c>
      <c r="B3321" s="1" t="s">
        <v>944</v>
      </c>
      <c r="C3321" s="5">
        <f>DATE(2025, 10, 27) + TIME(15, 8, 36)</f>
        <v>45957.630972222221</v>
      </c>
      <c r="D3321" s="1" t="s">
        <v>3</v>
      </c>
      <c r="E3321" s="1" t="s">
        <v>401</v>
      </c>
    </row>
    <row r="3322" spans="1:5" x14ac:dyDescent="0.2">
      <c r="A3322" s="1" t="s">
        <v>1276</v>
      </c>
      <c r="B3322" s="1" t="s">
        <v>108</v>
      </c>
      <c r="C3322" s="5">
        <f>DATE(2025, 10, 27) + TIME(14, 57, 16)</f>
        <v>45957.623101851852</v>
      </c>
      <c r="D3322" s="1" t="s">
        <v>320</v>
      </c>
      <c r="E3322" s="1" t="s">
        <v>406</v>
      </c>
    </row>
    <row r="3323" spans="1:5" x14ac:dyDescent="0.2">
      <c r="A3323" s="1" t="s">
        <v>1276</v>
      </c>
      <c r="B3323" s="1" t="s">
        <v>484</v>
      </c>
      <c r="C3323" s="5">
        <f>DATE(2025, 10, 27) + TIME(14, 41, 19)</f>
        <v>45957.612025462964</v>
      </c>
      <c r="D3323" s="1" t="s">
        <v>396</v>
      </c>
      <c r="E3323" s="1" t="s">
        <v>567</v>
      </c>
    </row>
    <row r="3324" spans="1:5" x14ac:dyDescent="0.2">
      <c r="A3324" s="1" t="s">
        <v>1276</v>
      </c>
      <c r="B3324" s="1" t="s">
        <v>542</v>
      </c>
      <c r="C3324" s="5">
        <f>DATE(2025, 10, 27) + TIME(14, 16, 36)</f>
        <v>45957.594861111109</v>
      </c>
      <c r="D3324" s="1" t="s">
        <v>754</v>
      </c>
      <c r="E3324" s="1" t="s">
        <v>870</v>
      </c>
    </row>
    <row r="3325" spans="1:5" x14ac:dyDescent="0.2">
      <c r="A3325" s="1" t="s">
        <v>1276</v>
      </c>
      <c r="B3325" s="1" t="s">
        <v>545</v>
      </c>
      <c r="C3325" s="5">
        <f>DATE(2025, 10, 27) + TIME(14, 16, 35)</f>
        <v>45957.594849537039</v>
      </c>
      <c r="D3325" s="1" t="s">
        <v>754</v>
      </c>
      <c r="E3325" s="1" t="s">
        <v>870</v>
      </c>
    </row>
    <row r="3326" spans="1:5" x14ac:dyDescent="0.2">
      <c r="A3326" s="1" t="s">
        <v>1276</v>
      </c>
      <c r="B3326" s="1" t="s">
        <v>932</v>
      </c>
      <c r="C3326" s="5">
        <f>DATE(2025, 10, 27) + TIME(13, 36, 37)</f>
        <v>45957.567094907405</v>
      </c>
      <c r="D3326" s="1" t="s">
        <v>754</v>
      </c>
      <c r="E3326" s="1" t="s">
        <v>75</v>
      </c>
    </row>
    <row r="3327" spans="1:5" x14ac:dyDescent="0.2">
      <c r="A3327" s="1" t="s">
        <v>1276</v>
      </c>
      <c r="B3327" s="1" t="s">
        <v>951</v>
      </c>
      <c r="C3327" s="5">
        <f>DATE(2025, 10, 27) + TIME(13, 15, 56)</f>
        <v>45957.552731481483</v>
      </c>
      <c r="D3327" s="1" t="s">
        <v>754</v>
      </c>
      <c r="E3327" s="1" t="s">
        <v>75</v>
      </c>
    </row>
    <row r="3328" spans="1:5" x14ac:dyDescent="0.2">
      <c r="A3328" s="1" t="s">
        <v>1276</v>
      </c>
      <c r="B3328" s="1" t="s">
        <v>29</v>
      </c>
      <c r="C3328" s="5">
        <f>DATE(2025, 10, 27) + TIME(12, 15, 28)</f>
        <v>45957.510740740741</v>
      </c>
      <c r="D3328" s="1" t="s">
        <v>3</v>
      </c>
      <c r="E3328" s="1" t="s">
        <v>926</v>
      </c>
    </row>
    <row r="3329" spans="1:5" x14ac:dyDescent="0.2">
      <c r="A3329" s="1" t="s">
        <v>1276</v>
      </c>
      <c r="B3329" s="1" t="s">
        <v>932</v>
      </c>
      <c r="C3329" s="5">
        <f>DATE(2025, 10, 27) + TIME(12, 10, 2)</f>
        <v>45957.506967592592</v>
      </c>
      <c r="D3329" s="1" t="s">
        <v>640</v>
      </c>
      <c r="E3329" s="1" t="s">
        <v>608</v>
      </c>
    </row>
    <row r="3330" spans="1:5" x14ac:dyDescent="0.2">
      <c r="A3330" s="1" t="s">
        <v>1276</v>
      </c>
      <c r="B3330" s="1" t="s">
        <v>34</v>
      </c>
      <c r="C3330" s="5">
        <f>DATE(2025, 10, 23) + TIME(16, 58, 18)</f>
        <v>45953.707152777781</v>
      </c>
      <c r="D3330" s="1" t="s">
        <v>269</v>
      </c>
      <c r="E3330" s="1" t="s">
        <v>492</v>
      </c>
    </row>
    <row r="3331" spans="1:5" x14ac:dyDescent="0.2">
      <c r="A3331" s="1" t="s">
        <v>1276</v>
      </c>
      <c r="B3331" s="1" t="s">
        <v>434</v>
      </c>
      <c r="C3331" s="5">
        <f>DATE(2025, 10, 23) + TIME(16, 38, 37)</f>
        <v>45953.693483796298</v>
      </c>
      <c r="D3331" s="1" t="s">
        <v>269</v>
      </c>
      <c r="E3331" s="1" t="s">
        <v>461</v>
      </c>
    </row>
    <row r="3332" spans="1:5" x14ac:dyDescent="0.2">
      <c r="A3332" s="1" t="s">
        <v>1276</v>
      </c>
      <c r="B3332" s="1" t="s">
        <v>271</v>
      </c>
      <c r="C3332" s="5">
        <f>DATE(2025, 10, 23) + TIME(16, 2, 43)</f>
        <v>45953.668553240743</v>
      </c>
      <c r="D3332" s="1" t="s">
        <v>144</v>
      </c>
      <c r="E3332" s="1" t="s">
        <v>728</v>
      </c>
    </row>
    <row r="3333" spans="1:5" x14ac:dyDescent="0.2">
      <c r="A3333" s="1" t="s">
        <v>1276</v>
      </c>
      <c r="B3333" s="1" t="s">
        <v>34</v>
      </c>
      <c r="C3333" s="5">
        <f>DATE(2025, 10, 23) + TIME(15, 57, 38)</f>
        <v>45953.665023148147</v>
      </c>
      <c r="D3333" s="1" t="s">
        <v>3</v>
      </c>
      <c r="E3333" s="1" t="s">
        <v>211</v>
      </c>
    </row>
    <row r="3334" spans="1:5" x14ac:dyDescent="0.2">
      <c r="A3334" s="1" t="s">
        <v>1276</v>
      </c>
      <c r="B3334" s="1" t="s">
        <v>409</v>
      </c>
      <c r="C3334" s="5">
        <f>DATE(2025, 10, 23) + TIME(15, 7, 9)</f>
        <v>45953.629965277774</v>
      </c>
      <c r="D3334" s="1" t="s">
        <v>506</v>
      </c>
      <c r="E3334" s="1" t="s">
        <v>867</v>
      </c>
    </row>
    <row r="3335" spans="1:5" x14ac:dyDescent="0.2">
      <c r="A3335" s="1" t="s">
        <v>1276</v>
      </c>
      <c r="B3335" s="1" t="s">
        <v>234</v>
      </c>
      <c r="C3335" s="5">
        <f>DATE(2025, 10, 23) + TIME(15, 7, 9)</f>
        <v>45953.629965277774</v>
      </c>
      <c r="D3335" s="1" t="s">
        <v>506</v>
      </c>
      <c r="E3335" s="1" t="s">
        <v>867</v>
      </c>
    </row>
    <row r="3336" spans="1:5" x14ac:dyDescent="0.2">
      <c r="A3336" s="1" t="s">
        <v>1276</v>
      </c>
      <c r="B3336" s="1" t="s">
        <v>580</v>
      </c>
      <c r="C3336" s="5">
        <f>DATE(2025, 10, 23) + TIME(14, 57, 32)</f>
        <v>45953.623287037037</v>
      </c>
      <c r="D3336" s="1" t="s">
        <v>269</v>
      </c>
      <c r="E3336" s="1" t="s">
        <v>299</v>
      </c>
    </row>
    <row r="3337" spans="1:5" x14ac:dyDescent="0.2">
      <c r="A3337" s="1" t="s">
        <v>1276</v>
      </c>
      <c r="B3337" s="1" t="s">
        <v>84</v>
      </c>
      <c r="C3337" s="5">
        <f>DATE(2025, 10, 23) + TIME(14, 8, 58)</f>
        <v>45953.589560185188</v>
      </c>
      <c r="D3337" s="1" t="s">
        <v>563</v>
      </c>
      <c r="E3337" s="1" t="s">
        <v>878</v>
      </c>
    </row>
    <row r="3338" spans="1:5" x14ac:dyDescent="0.2">
      <c r="A3338" s="1" t="s">
        <v>1276</v>
      </c>
      <c r="B3338" s="1" t="s">
        <v>609</v>
      </c>
      <c r="C3338" s="5">
        <f>DATE(2025, 10, 23) + TIME(13, 48, 2)</f>
        <v>45953.575023148151</v>
      </c>
      <c r="D3338" s="1" t="s">
        <v>563</v>
      </c>
      <c r="E3338" s="1" t="s">
        <v>210</v>
      </c>
    </row>
    <row r="3339" spans="1:5" x14ac:dyDescent="0.2">
      <c r="A3339" s="1" t="s">
        <v>1276</v>
      </c>
      <c r="B3339" s="1" t="s">
        <v>491</v>
      </c>
      <c r="C3339" s="5">
        <f>DATE(2025, 10, 23) + TIME(13, 20, 11)</f>
        <v>45953.55568287037</v>
      </c>
      <c r="D3339" s="1" t="s">
        <v>3</v>
      </c>
      <c r="E3339" s="1" t="s">
        <v>936</v>
      </c>
    </row>
    <row r="3340" spans="1:5" x14ac:dyDescent="0.2">
      <c r="A3340" s="1" t="s">
        <v>1276</v>
      </c>
      <c r="B3340" s="1" t="s">
        <v>84</v>
      </c>
      <c r="C3340" s="5">
        <f>DATE(2025, 10, 22) + TIME(16, 11, 31)</f>
        <v>45952.674664351849</v>
      </c>
      <c r="D3340" s="1" t="s">
        <v>216</v>
      </c>
      <c r="E3340" s="1" t="s">
        <v>519</v>
      </c>
    </row>
    <row r="3341" spans="1:5" x14ac:dyDescent="0.2">
      <c r="A3341" s="1" t="s">
        <v>1276</v>
      </c>
      <c r="B3341" s="1" t="s">
        <v>29</v>
      </c>
      <c r="C3341" s="5">
        <f>DATE(2025, 10, 22) + TIME(15, 54, 27)</f>
        <v>45952.662812499999</v>
      </c>
      <c r="D3341" s="1" t="s">
        <v>3</v>
      </c>
      <c r="E3341" s="1" t="s">
        <v>73</v>
      </c>
    </row>
    <row r="3342" spans="1:5" x14ac:dyDescent="0.2">
      <c r="A3342" s="1" t="s">
        <v>1276</v>
      </c>
      <c r="B3342" s="1" t="s">
        <v>729</v>
      </c>
      <c r="C3342" s="5">
        <f>DATE(2025, 10, 22) + TIME(15, 51, 14)</f>
        <v>45952.660578703704</v>
      </c>
      <c r="D3342" s="1" t="s">
        <v>566</v>
      </c>
      <c r="E3342" s="1" t="s">
        <v>888</v>
      </c>
    </row>
    <row r="3343" spans="1:5" x14ac:dyDescent="0.2">
      <c r="A3343" s="1" t="s">
        <v>1276</v>
      </c>
      <c r="B3343" s="1" t="s">
        <v>484</v>
      </c>
      <c r="C3343" s="5">
        <f>DATE(2025, 10, 22) + TIME(15, 51, 14)</f>
        <v>45952.660578703704</v>
      </c>
      <c r="D3343" s="1" t="s">
        <v>566</v>
      </c>
      <c r="E3343" s="1" t="s">
        <v>888</v>
      </c>
    </row>
    <row r="3344" spans="1:5" x14ac:dyDescent="0.2">
      <c r="A3344" s="1" t="s">
        <v>1276</v>
      </c>
      <c r="B3344" s="1" t="s">
        <v>951</v>
      </c>
      <c r="C3344" s="5">
        <f>DATE(2025, 10, 22) + TIME(15, 51, 14)</f>
        <v>45952.660578703704</v>
      </c>
      <c r="D3344" s="1" t="s">
        <v>566</v>
      </c>
      <c r="E3344" s="1" t="s">
        <v>888</v>
      </c>
    </row>
    <row r="3345" spans="1:5" x14ac:dyDescent="0.2">
      <c r="A3345" s="1" t="s">
        <v>1276</v>
      </c>
      <c r="B3345" s="1" t="s">
        <v>63</v>
      </c>
      <c r="C3345" s="5">
        <f>DATE(2025, 10, 22) + TIME(15, 21, 25)</f>
        <v>45952.639872685184</v>
      </c>
      <c r="D3345" s="1" t="s">
        <v>5</v>
      </c>
      <c r="E3345" s="1" t="s">
        <v>304</v>
      </c>
    </row>
    <row r="3346" spans="1:5" x14ac:dyDescent="0.2">
      <c r="A3346" s="1" t="s">
        <v>1276</v>
      </c>
      <c r="B3346" s="1" t="s">
        <v>44</v>
      </c>
      <c r="C3346" s="5">
        <f>DATE(2025, 10, 22) + TIME(15, 4, 41)</f>
        <v>45952.628252314818</v>
      </c>
      <c r="D3346" s="1" t="s">
        <v>64</v>
      </c>
      <c r="E3346" s="1" t="s">
        <v>11</v>
      </c>
    </row>
    <row r="3347" spans="1:5" x14ac:dyDescent="0.2">
      <c r="A3347" s="1" t="s">
        <v>1276</v>
      </c>
      <c r="B3347" s="1" t="s">
        <v>69</v>
      </c>
      <c r="C3347" s="5">
        <f>DATE(2025, 10, 22) + TIME(14, 58, 17)</f>
        <v>45952.623807870368</v>
      </c>
      <c r="D3347" s="1" t="s">
        <v>64</v>
      </c>
      <c r="E3347" s="1" t="s">
        <v>213</v>
      </c>
    </row>
    <row r="3348" spans="1:5" x14ac:dyDescent="0.2">
      <c r="A3348" s="1" t="s">
        <v>1276</v>
      </c>
      <c r="B3348" s="1" t="s">
        <v>161</v>
      </c>
      <c r="C3348" s="5">
        <f>DATE(2025, 10, 22) + TIME(14, 55, 1)</f>
        <v>45952.621539351851</v>
      </c>
      <c r="D3348" s="1" t="s">
        <v>320</v>
      </c>
      <c r="E3348" s="1" t="s">
        <v>2</v>
      </c>
    </row>
    <row r="3349" spans="1:5" x14ac:dyDescent="0.2">
      <c r="A3349" s="1" t="s">
        <v>1276</v>
      </c>
      <c r="B3349" s="1" t="s">
        <v>354</v>
      </c>
      <c r="C3349" s="5">
        <f>DATE(2025, 10, 22) + TIME(13, 25, 41)</f>
        <v>45952.559502314813</v>
      </c>
      <c r="D3349" s="1" t="s">
        <v>226</v>
      </c>
      <c r="E3349" s="1" t="s">
        <v>918</v>
      </c>
    </row>
    <row r="3350" spans="1:5" x14ac:dyDescent="0.2">
      <c r="A3350" s="1" t="s">
        <v>1276</v>
      </c>
      <c r="B3350" s="1" t="s">
        <v>33</v>
      </c>
      <c r="C3350" s="5">
        <f>DATE(2025, 10, 22) + TIME(13, 25, 41)</f>
        <v>45952.559502314813</v>
      </c>
      <c r="D3350" s="1" t="s">
        <v>226</v>
      </c>
      <c r="E3350" s="1" t="s">
        <v>918</v>
      </c>
    </row>
    <row r="3351" spans="1:5" x14ac:dyDescent="0.2">
      <c r="A3351" s="1" t="s">
        <v>1276</v>
      </c>
      <c r="B3351" s="1" t="s">
        <v>98</v>
      </c>
      <c r="C3351" s="5">
        <f>DATE(2025, 10, 22) + TIME(13, 20, 34)</f>
        <v>45952.555949074071</v>
      </c>
      <c r="D3351" s="1" t="s">
        <v>459</v>
      </c>
      <c r="E3351" s="1" t="s">
        <v>19</v>
      </c>
    </row>
    <row r="3352" spans="1:5" x14ac:dyDescent="0.2">
      <c r="A3352" s="1" t="s">
        <v>1276</v>
      </c>
      <c r="B3352" s="1" t="s">
        <v>951</v>
      </c>
      <c r="C3352" s="5">
        <f>DATE(2025, 10, 22) + TIME(13, 14, 55)</f>
        <v>45952.552025462966</v>
      </c>
      <c r="D3352" s="1" t="s">
        <v>320</v>
      </c>
      <c r="E3352" s="1" t="s">
        <v>2</v>
      </c>
    </row>
    <row r="3353" spans="1:5" x14ac:dyDescent="0.2">
      <c r="A3353" s="1" t="s">
        <v>1276</v>
      </c>
      <c r="B3353" s="1" t="s">
        <v>305</v>
      </c>
      <c r="C3353" s="5">
        <f>DATE(2025, 10, 22) + TIME(12, 53, 11)</f>
        <v>45952.536932870367</v>
      </c>
      <c r="D3353" s="1" t="s">
        <v>566</v>
      </c>
      <c r="E3353" s="1" t="s">
        <v>938</v>
      </c>
    </row>
    <row r="3354" spans="1:5" x14ac:dyDescent="0.2">
      <c r="A3354" s="1" t="s">
        <v>1276</v>
      </c>
      <c r="B3354" s="1" t="s">
        <v>569</v>
      </c>
      <c r="C3354" s="5">
        <f>DATE(2025, 10, 22) + TIME(11, 45, 57)</f>
        <v>45952.490243055552</v>
      </c>
      <c r="D3354" s="1" t="s">
        <v>320</v>
      </c>
      <c r="E3354" s="1" t="s">
        <v>2</v>
      </c>
    </row>
    <row r="3355" spans="1:5" x14ac:dyDescent="0.2">
      <c r="A3355" s="1" t="s">
        <v>1276</v>
      </c>
      <c r="B3355" s="1" t="s">
        <v>896</v>
      </c>
      <c r="C3355" s="5">
        <f>DATE(2025, 10, 22) + TIME(11, 45, 57)</f>
        <v>45952.490243055552</v>
      </c>
      <c r="D3355" s="1" t="s">
        <v>320</v>
      </c>
      <c r="E3355" s="1" t="s">
        <v>2</v>
      </c>
    </row>
    <row r="3356" spans="1:5" x14ac:dyDescent="0.2">
      <c r="A3356" s="1" t="s">
        <v>1276</v>
      </c>
      <c r="B3356" s="1" t="s">
        <v>109</v>
      </c>
      <c r="C3356" s="5">
        <f>DATE(2025, 10, 22) + TIME(11, 45, 56)</f>
        <v>45952.490231481483</v>
      </c>
      <c r="D3356" s="1" t="s">
        <v>320</v>
      </c>
      <c r="E3356" s="1" t="s">
        <v>2</v>
      </c>
    </row>
    <row r="3357" spans="1:5" x14ac:dyDescent="0.2">
      <c r="A3357" s="1" t="s">
        <v>1276</v>
      </c>
      <c r="B3357" s="1" t="s">
        <v>951</v>
      </c>
      <c r="C3357" s="5">
        <f>DATE(2025, 10, 22) + TIME(11, 36, 4)</f>
        <v>45952.48337962963</v>
      </c>
      <c r="D3357" s="1" t="s">
        <v>640</v>
      </c>
      <c r="E3357" s="1" t="s">
        <v>700</v>
      </c>
    </row>
    <row r="3358" spans="1:5" x14ac:dyDescent="0.2">
      <c r="A3358" s="1" t="s">
        <v>1276</v>
      </c>
      <c r="B3358" s="1" t="s">
        <v>817</v>
      </c>
      <c r="C3358" s="5">
        <f>DATE(2025, 10, 22) + TIME(11, 35, 19)</f>
        <v>45952.482858796298</v>
      </c>
      <c r="D3358" s="1" t="s">
        <v>269</v>
      </c>
      <c r="E3358" s="1" t="s">
        <v>110</v>
      </c>
    </row>
    <row r="3359" spans="1:5" x14ac:dyDescent="0.2">
      <c r="A3359" s="1" t="s">
        <v>1276</v>
      </c>
      <c r="B3359" s="1" t="s">
        <v>879</v>
      </c>
      <c r="C3359" s="5">
        <f>DATE(2025, 10, 21) + TIME(15, 31, 58)</f>
        <v>45951.647199074076</v>
      </c>
      <c r="D3359" s="1" t="s">
        <v>467</v>
      </c>
      <c r="E3359" s="1" t="s">
        <v>612</v>
      </c>
    </row>
    <row r="3360" spans="1:5" x14ac:dyDescent="0.2">
      <c r="A3360" s="1" t="s">
        <v>1276</v>
      </c>
      <c r="B3360" s="1" t="s">
        <v>951</v>
      </c>
      <c r="C3360" s="5">
        <f>DATE(2025, 10, 21) + TIME(14, 42, 15)</f>
        <v>45951.612673611111</v>
      </c>
      <c r="D3360" s="1" t="s">
        <v>467</v>
      </c>
      <c r="E3360" s="1" t="s">
        <v>143</v>
      </c>
    </row>
    <row r="3361" spans="1:5" x14ac:dyDescent="0.2">
      <c r="A3361" s="1" t="s">
        <v>1276</v>
      </c>
      <c r="B3361" s="1" t="s">
        <v>247</v>
      </c>
      <c r="C3361" s="5">
        <f>DATE(2025, 10, 21) + TIME(14, 32, 39)</f>
        <v>45951.606006944443</v>
      </c>
      <c r="D3361" s="1" t="s">
        <v>64</v>
      </c>
      <c r="E3361" s="1" t="s">
        <v>190</v>
      </c>
    </row>
    <row r="3362" spans="1:5" x14ac:dyDescent="0.2">
      <c r="A3362" s="1" t="s">
        <v>1276</v>
      </c>
      <c r="B3362" s="1" t="s">
        <v>864</v>
      </c>
      <c r="C3362" s="5">
        <f>DATE(2025, 10, 21) + TIME(14, 32, 39)</f>
        <v>45951.606006944443</v>
      </c>
      <c r="D3362" s="1" t="s">
        <v>64</v>
      </c>
      <c r="E3362" s="1" t="s">
        <v>190</v>
      </c>
    </row>
    <row r="3363" spans="1:5" x14ac:dyDescent="0.2">
      <c r="A3363" s="1" t="s">
        <v>1276</v>
      </c>
      <c r="B3363" s="1" t="s">
        <v>663</v>
      </c>
      <c r="C3363" s="5">
        <f>DATE(2025, 10, 21) + TIME(14, 32, 39)</f>
        <v>45951.606006944443</v>
      </c>
      <c r="D3363" s="1" t="s">
        <v>64</v>
      </c>
      <c r="E3363" s="1" t="s">
        <v>190</v>
      </c>
    </row>
    <row r="3364" spans="1:5" x14ac:dyDescent="0.2">
      <c r="A3364" s="1" t="s">
        <v>1276</v>
      </c>
      <c r="B3364" s="1" t="s">
        <v>730</v>
      </c>
      <c r="C3364" s="5">
        <f>DATE(2025, 10, 21) + TIME(14, 12, 7)</f>
        <v>45951.591747685183</v>
      </c>
      <c r="D3364" s="1" t="s">
        <v>869</v>
      </c>
      <c r="E3364" s="1" t="s">
        <v>832</v>
      </c>
    </row>
    <row r="3365" spans="1:5" x14ac:dyDescent="0.2">
      <c r="A3365" s="1" t="s">
        <v>1276</v>
      </c>
      <c r="B3365" s="1" t="s">
        <v>434</v>
      </c>
      <c r="C3365" s="5">
        <f>DATE(2025, 10, 21) + TIME(14, 11, 17)</f>
        <v>45951.591168981482</v>
      </c>
      <c r="D3365" s="1" t="s">
        <v>731</v>
      </c>
      <c r="E3365" s="1" t="s">
        <v>400</v>
      </c>
    </row>
    <row r="3366" spans="1:5" x14ac:dyDescent="0.2">
      <c r="A3366" s="1" t="s">
        <v>1276</v>
      </c>
      <c r="B3366" s="1" t="s">
        <v>896</v>
      </c>
      <c r="C3366" s="5">
        <f>DATE(2025, 10, 21) + TIME(13, 59, 37)</f>
        <v>45951.583067129628</v>
      </c>
      <c r="D3366" s="1" t="s">
        <v>467</v>
      </c>
      <c r="E3366" s="1" t="s">
        <v>143</v>
      </c>
    </row>
    <row r="3367" spans="1:5" x14ac:dyDescent="0.2">
      <c r="A3367" s="1" t="s">
        <v>1276</v>
      </c>
      <c r="B3367" s="1" t="s">
        <v>876</v>
      </c>
      <c r="C3367" s="5">
        <f>DATE(2025, 10, 21) + TIME(13, 59, 37)</f>
        <v>45951.583067129628</v>
      </c>
      <c r="D3367" s="1" t="s">
        <v>467</v>
      </c>
      <c r="E3367" s="1" t="s">
        <v>143</v>
      </c>
    </row>
    <row r="3368" spans="1:5" x14ac:dyDescent="0.2">
      <c r="A3368" s="1" t="s">
        <v>1276</v>
      </c>
      <c r="B3368" s="1" t="s">
        <v>944</v>
      </c>
      <c r="C3368" s="5">
        <f>DATE(2025, 10, 21) + TIME(13, 34, 43)</f>
        <v>45951.565775462965</v>
      </c>
      <c r="D3368" s="1" t="s">
        <v>731</v>
      </c>
      <c r="E3368" s="1" t="s">
        <v>400</v>
      </c>
    </row>
    <row r="3369" spans="1:5" x14ac:dyDescent="0.2">
      <c r="A3369" s="1" t="s">
        <v>1276</v>
      </c>
      <c r="B3369" s="1" t="s">
        <v>817</v>
      </c>
      <c r="C3369" s="5">
        <f>DATE(2025, 10, 21) + TIME(13, 32, 48)</f>
        <v>45951.564444444448</v>
      </c>
      <c r="D3369" s="1" t="s">
        <v>731</v>
      </c>
      <c r="E3369" s="1" t="s">
        <v>329</v>
      </c>
    </row>
    <row r="3370" spans="1:5" x14ac:dyDescent="0.2">
      <c r="A3370" s="1" t="s">
        <v>1276</v>
      </c>
      <c r="B3370" s="1" t="s">
        <v>234</v>
      </c>
      <c r="C3370" s="5">
        <f>DATE(2025, 10, 21) + TIME(12, 49, 56)</f>
        <v>45951.534675925926</v>
      </c>
      <c r="D3370" s="1" t="s">
        <v>396</v>
      </c>
      <c r="E3370" s="1" t="s">
        <v>276</v>
      </c>
    </row>
    <row r="3371" spans="1:5" x14ac:dyDescent="0.2">
      <c r="A3371" s="1" t="s">
        <v>1276</v>
      </c>
      <c r="B3371" s="1" t="s">
        <v>234</v>
      </c>
      <c r="C3371" s="5">
        <f>DATE(2025, 10, 21) + TIME(12, 41, 9)</f>
        <v>45951.52857638889</v>
      </c>
      <c r="D3371" s="1" t="s">
        <v>148</v>
      </c>
      <c r="E3371" s="1" t="s">
        <v>471</v>
      </c>
    </row>
    <row r="3372" spans="1:5" x14ac:dyDescent="0.2">
      <c r="A3372" s="1" t="s">
        <v>1276</v>
      </c>
      <c r="B3372" s="1" t="s">
        <v>9</v>
      </c>
      <c r="C3372" s="5">
        <f>DATE(2025, 10, 21) + TIME(12, 39, 30)</f>
        <v>45951.527430555558</v>
      </c>
      <c r="D3372" s="1" t="s">
        <v>467</v>
      </c>
      <c r="E3372" s="1" t="s">
        <v>281</v>
      </c>
    </row>
    <row r="3373" spans="1:5" x14ac:dyDescent="0.2">
      <c r="A3373" s="1" t="s">
        <v>1276</v>
      </c>
      <c r="B3373" s="1" t="s">
        <v>864</v>
      </c>
      <c r="C3373" s="5">
        <f>DATE(2025, 10, 21) + TIME(12, 9, 2)</f>
        <v>45951.506273148145</v>
      </c>
      <c r="D3373" s="1" t="s">
        <v>459</v>
      </c>
      <c r="E3373" s="1" t="s">
        <v>160</v>
      </c>
    </row>
    <row r="3374" spans="1:5" x14ac:dyDescent="0.2">
      <c r="A3374" s="1" t="s">
        <v>1276</v>
      </c>
      <c r="B3374" s="1" t="s">
        <v>436</v>
      </c>
      <c r="C3374" s="5">
        <f>DATE(2025, 10, 21) + TIME(10, 59, 27)</f>
        <v>45951.457951388889</v>
      </c>
      <c r="D3374" s="1" t="s">
        <v>320</v>
      </c>
      <c r="E3374" s="1" t="s">
        <v>239</v>
      </c>
    </row>
    <row r="3375" spans="1:5" x14ac:dyDescent="0.2">
      <c r="A3375" s="1" t="s">
        <v>1276</v>
      </c>
      <c r="B3375" s="1" t="s">
        <v>29</v>
      </c>
      <c r="C3375" s="5">
        <f>DATE(2025, 10, 21) + TIME(10, 33, 3)</f>
        <v>45951.439618055556</v>
      </c>
      <c r="D3375" s="1" t="s">
        <v>869</v>
      </c>
      <c r="E3375" s="1" t="s">
        <v>830</v>
      </c>
    </row>
    <row r="3376" spans="1:5" x14ac:dyDescent="0.2">
      <c r="A3376" s="1" t="s">
        <v>1276</v>
      </c>
      <c r="B3376" s="1" t="s">
        <v>60</v>
      </c>
      <c r="C3376" s="5">
        <f>DATE(2025, 10, 20) + TIME(16, 54, 40)</f>
        <v>45950.704629629632</v>
      </c>
      <c r="D3376" s="1" t="s">
        <v>144</v>
      </c>
      <c r="E3376" s="1" t="s">
        <v>613</v>
      </c>
    </row>
    <row r="3377" spans="1:5" x14ac:dyDescent="0.2">
      <c r="A3377" s="1" t="s">
        <v>1276</v>
      </c>
      <c r="B3377" s="1" t="s">
        <v>951</v>
      </c>
      <c r="C3377" s="5">
        <f>DATE(2025, 10, 20) + TIME(16, 16, 14)</f>
        <v>45950.677939814814</v>
      </c>
      <c r="D3377" s="1" t="s">
        <v>144</v>
      </c>
      <c r="E3377" s="1" t="s">
        <v>806</v>
      </c>
    </row>
    <row r="3378" spans="1:5" x14ac:dyDescent="0.2">
      <c r="A3378" s="1" t="s">
        <v>1276</v>
      </c>
      <c r="B3378" s="1" t="s">
        <v>951</v>
      </c>
      <c r="C3378" s="5">
        <f>DATE(2025, 10, 20) + TIME(16, 16, 13)</f>
        <v>45950.677928240744</v>
      </c>
      <c r="D3378" s="1" t="s">
        <v>356</v>
      </c>
      <c r="E3378" s="1" t="s">
        <v>218</v>
      </c>
    </row>
    <row r="3379" spans="1:5" x14ac:dyDescent="0.2">
      <c r="A3379" s="1" t="s">
        <v>1276</v>
      </c>
      <c r="B3379" s="1" t="s">
        <v>29</v>
      </c>
      <c r="C3379" s="5">
        <f>DATE(2025, 10, 20) + TIME(15, 43, 3)</f>
        <v>45950.654895833337</v>
      </c>
      <c r="D3379" s="1" t="s">
        <v>3</v>
      </c>
      <c r="E3379" s="1" t="s">
        <v>696</v>
      </c>
    </row>
    <row r="3380" spans="1:5" x14ac:dyDescent="0.2">
      <c r="A3380" s="1" t="s">
        <v>1276</v>
      </c>
      <c r="B3380" s="1" t="s">
        <v>163</v>
      </c>
      <c r="C3380" s="5">
        <f>DATE(2025, 10, 20) + TIME(15, 34, 49)</f>
        <v>45950.649178240739</v>
      </c>
      <c r="D3380" s="1" t="s">
        <v>356</v>
      </c>
      <c r="E3380" s="1" t="s">
        <v>874</v>
      </c>
    </row>
    <row r="3381" spans="1:5" x14ac:dyDescent="0.2">
      <c r="A3381" s="1" t="s">
        <v>1276</v>
      </c>
      <c r="B3381" s="1" t="s">
        <v>951</v>
      </c>
      <c r="C3381" s="5">
        <f>DATE(2025, 10, 20) + TIME(14, 46, 42)</f>
        <v>45950.615763888891</v>
      </c>
      <c r="D3381" s="1" t="s">
        <v>356</v>
      </c>
      <c r="E3381" s="1" t="s">
        <v>839</v>
      </c>
    </row>
    <row r="3382" spans="1:5" x14ac:dyDescent="0.2">
      <c r="A3382" s="1" t="s">
        <v>1276</v>
      </c>
      <c r="B3382" s="1" t="s">
        <v>434</v>
      </c>
      <c r="C3382" s="5">
        <f>DATE(2025, 10, 20) + TIME(14, 42, 57)</f>
        <v>45950.613159722219</v>
      </c>
      <c r="D3382" s="1" t="s">
        <v>320</v>
      </c>
      <c r="E3382" s="1" t="s">
        <v>406</v>
      </c>
    </row>
    <row r="3383" spans="1:5" x14ac:dyDescent="0.2">
      <c r="A3383" s="1" t="s">
        <v>1276</v>
      </c>
      <c r="B3383" s="1" t="s">
        <v>951</v>
      </c>
      <c r="C3383" s="5">
        <f>DATE(2025, 10, 20) + TIME(14, 28, 28)</f>
        <v>45950.603101851855</v>
      </c>
      <c r="D3383" s="1" t="s">
        <v>356</v>
      </c>
      <c r="E3383" s="1" t="s">
        <v>414</v>
      </c>
    </row>
    <row r="3384" spans="1:5" x14ac:dyDescent="0.2">
      <c r="A3384" s="1" t="s">
        <v>1276</v>
      </c>
      <c r="B3384" s="1" t="s">
        <v>944</v>
      </c>
      <c r="C3384" s="5">
        <f>DATE(2025, 10, 20) + TIME(14, 11, 50)</f>
        <v>45950.591550925928</v>
      </c>
      <c r="D3384" s="1" t="s">
        <v>356</v>
      </c>
      <c r="E3384" s="1" t="s">
        <v>839</v>
      </c>
    </row>
    <row r="3385" spans="1:5" x14ac:dyDescent="0.2">
      <c r="A3385" s="1" t="s">
        <v>1276</v>
      </c>
      <c r="B3385" s="1" t="s">
        <v>29</v>
      </c>
      <c r="C3385" s="5">
        <f>DATE(2025, 10, 20) + TIME(13, 47, 49)</f>
        <v>45950.574872685182</v>
      </c>
      <c r="D3385" s="1" t="s">
        <v>506</v>
      </c>
      <c r="E3385" s="1" t="s">
        <v>369</v>
      </c>
    </row>
    <row r="3386" spans="1:5" x14ac:dyDescent="0.2">
      <c r="A3386" s="1" t="s">
        <v>1276</v>
      </c>
      <c r="B3386" s="1" t="s">
        <v>346</v>
      </c>
      <c r="C3386" s="5">
        <f>DATE(2025, 10, 20) + TIME(12, 18, 36)</f>
        <v>45950.512916666667</v>
      </c>
      <c r="D3386" s="1" t="s">
        <v>754</v>
      </c>
      <c r="E3386" s="1" t="s">
        <v>330</v>
      </c>
    </row>
    <row r="3387" spans="1:5" x14ac:dyDescent="0.2">
      <c r="A3387" s="1" t="s">
        <v>1276</v>
      </c>
      <c r="B3387" s="1" t="s">
        <v>580</v>
      </c>
      <c r="C3387" s="5">
        <f>DATE(2025, 10, 20) + TIME(11, 47, 23)</f>
        <v>45950.491238425922</v>
      </c>
      <c r="D3387" s="1" t="s">
        <v>467</v>
      </c>
      <c r="E3387" s="1" t="s">
        <v>288</v>
      </c>
    </row>
    <row r="3388" spans="1:5" x14ac:dyDescent="0.2">
      <c r="A3388" s="1" t="s">
        <v>1276</v>
      </c>
      <c r="B3388" s="1" t="s">
        <v>191</v>
      </c>
      <c r="C3388" s="5">
        <f>DATE(2025, 10, 16) + TIME(14, 46, 39)</f>
        <v>45946.615729166668</v>
      </c>
      <c r="D3388" s="1" t="s">
        <v>506</v>
      </c>
      <c r="E3388" s="1" t="s">
        <v>867</v>
      </c>
    </row>
    <row r="3389" spans="1:5" x14ac:dyDescent="0.2">
      <c r="A3389" s="1" t="s">
        <v>1276</v>
      </c>
      <c r="B3389" s="1" t="s">
        <v>228</v>
      </c>
      <c r="C3389" s="5">
        <f>DATE(2025, 10, 16) + TIME(14, 46, 39)</f>
        <v>45946.615729166668</v>
      </c>
      <c r="D3389" s="1" t="s">
        <v>506</v>
      </c>
      <c r="E3389" s="1" t="s">
        <v>867</v>
      </c>
    </row>
    <row r="3390" spans="1:5" x14ac:dyDescent="0.2">
      <c r="A3390" s="1" t="s">
        <v>1276</v>
      </c>
      <c r="B3390" s="1" t="s">
        <v>959</v>
      </c>
      <c r="C3390" s="5">
        <f>DATE(2025, 10, 16) + TIME(14, 35, 0)</f>
        <v>45946.607638888891</v>
      </c>
      <c r="D3390" s="1" t="s">
        <v>341</v>
      </c>
      <c r="E3390" s="1" t="s">
        <v>324</v>
      </c>
    </row>
    <row r="3391" spans="1:5" x14ac:dyDescent="0.2">
      <c r="A3391" s="1" t="s">
        <v>1276</v>
      </c>
      <c r="B3391" s="1" t="s">
        <v>491</v>
      </c>
      <c r="C3391" s="5">
        <f>DATE(2025, 10, 16) + TIME(14, 34, 59)</f>
        <v>45946.607627314814</v>
      </c>
      <c r="D3391" s="1" t="s">
        <v>341</v>
      </c>
      <c r="E3391" s="1" t="s">
        <v>324</v>
      </c>
    </row>
    <row r="3392" spans="1:5" x14ac:dyDescent="0.2">
      <c r="A3392" s="1" t="s">
        <v>1276</v>
      </c>
      <c r="B3392" s="1" t="s">
        <v>602</v>
      </c>
      <c r="C3392" s="5">
        <f>DATE(2025, 10, 16) + TIME(14, 34, 59)</f>
        <v>45946.607627314814</v>
      </c>
      <c r="D3392" s="1" t="s">
        <v>341</v>
      </c>
      <c r="E3392" s="1" t="s">
        <v>324</v>
      </c>
    </row>
    <row r="3393" spans="1:5" x14ac:dyDescent="0.2">
      <c r="A3393" s="1" t="s">
        <v>1276</v>
      </c>
      <c r="B3393" s="1" t="s">
        <v>944</v>
      </c>
      <c r="C3393" s="5">
        <f>DATE(2025, 10, 16) + TIME(14, 8, 58)</f>
        <v>45946.589560185188</v>
      </c>
      <c r="D3393" s="1" t="s">
        <v>467</v>
      </c>
      <c r="E3393" s="1" t="s">
        <v>540</v>
      </c>
    </row>
    <row r="3394" spans="1:5" x14ac:dyDescent="0.2">
      <c r="A3394" s="1" t="s">
        <v>1276</v>
      </c>
      <c r="B3394" s="1" t="s">
        <v>609</v>
      </c>
      <c r="C3394" s="5">
        <f>DATE(2025, 10, 16) + TIME(13, 55, 10)</f>
        <v>45946.579976851855</v>
      </c>
      <c r="D3394" s="1" t="s">
        <v>5</v>
      </c>
      <c r="E3394" s="1" t="s">
        <v>840</v>
      </c>
    </row>
    <row r="3395" spans="1:5" x14ac:dyDescent="0.2">
      <c r="A3395" s="1" t="s">
        <v>1276</v>
      </c>
      <c r="B3395" s="1" t="s">
        <v>29</v>
      </c>
      <c r="C3395" s="5">
        <f>DATE(2025, 10, 16) + TIME(13, 52, 26)</f>
        <v>45946.5780787037</v>
      </c>
      <c r="D3395" s="1" t="s">
        <v>506</v>
      </c>
      <c r="E3395" s="1" t="s">
        <v>347</v>
      </c>
    </row>
    <row r="3396" spans="1:5" x14ac:dyDescent="0.2">
      <c r="A3396" s="1" t="s">
        <v>1276</v>
      </c>
      <c r="B3396" s="1" t="s">
        <v>609</v>
      </c>
      <c r="C3396" s="5">
        <f>DATE(2025, 10, 16) + TIME(13, 49, 33)</f>
        <v>45946.57607638889</v>
      </c>
      <c r="D3396" s="1" t="s">
        <v>563</v>
      </c>
      <c r="E3396" s="1" t="s">
        <v>210</v>
      </c>
    </row>
    <row r="3397" spans="1:5" x14ac:dyDescent="0.2">
      <c r="A3397" s="1" t="s">
        <v>1276</v>
      </c>
      <c r="B3397" s="1" t="s">
        <v>817</v>
      </c>
      <c r="C3397" s="5">
        <f>DATE(2025, 10, 16) + TIME(13, 32, 46)</f>
        <v>45946.564421296294</v>
      </c>
      <c r="D3397" s="1" t="s">
        <v>341</v>
      </c>
      <c r="E3397" s="1" t="s">
        <v>922</v>
      </c>
    </row>
    <row r="3398" spans="1:5" x14ac:dyDescent="0.2">
      <c r="A3398" s="1" t="s">
        <v>1276</v>
      </c>
      <c r="B3398" s="1" t="s">
        <v>685</v>
      </c>
      <c r="C3398" s="5">
        <f>DATE(2025, 10, 16) + TIME(12, 38, 56)</f>
        <v>45946.527037037034</v>
      </c>
      <c r="D3398" s="1" t="s">
        <v>506</v>
      </c>
      <c r="E3398" s="1" t="s">
        <v>920</v>
      </c>
    </row>
    <row r="3399" spans="1:5" x14ac:dyDescent="0.2">
      <c r="A3399" s="1" t="s">
        <v>1276</v>
      </c>
      <c r="B3399" s="1" t="s">
        <v>192</v>
      </c>
      <c r="C3399" s="5">
        <f>DATE(2025, 10, 16) + TIME(11, 58, 32)</f>
        <v>45946.498981481483</v>
      </c>
      <c r="D3399" s="1" t="s">
        <v>754</v>
      </c>
      <c r="E3399" s="1" t="s">
        <v>330</v>
      </c>
    </row>
    <row r="3400" spans="1:5" x14ac:dyDescent="0.2">
      <c r="A3400" s="1" t="s">
        <v>1276</v>
      </c>
      <c r="B3400" s="1" t="s">
        <v>354</v>
      </c>
      <c r="C3400" s="5">
        <f>DATE(2025, 10, 16) + TIME(11, 18, 54)</f>
        <v>45946.471458333333</v>
      </c>
      <c r="D3400" s="1" t="s">
        <v>506</v>
      </c>
      <c r="E3400" s="1" t="s">
        <v>697</v>
      </c>
    </row>
    <row r="3401" spans="1:5" x14ac:dyDescent="0.2">
      <c r="A3401" s="1" t="s">
        <v>1276</v>
      </c>
      <c r="B3401" s="1" t="s">
        <v>866</v>
      </c>
      <c r="C3401" s="5">
        <f>DATE(2025, 10, 16) + TIME(10, 14, 55)</f>
        <v>45946.427025462966</v>
      </c>
      <c r="D3401" s="1" t="s">
        <v>65</v>
      </c>
      <c r="E3401" s="1" t="s">
        <v>615</v>
      </c>
    </row>
    <row r="3402" spans="1:5" x14ac:dyDescent="0.2">
      <c r="A3402" s="1" t="s">
        <v>1276</v>
      </c>
      <c r="B3402" s="1" t="s">
        <v>464</v>
      </c>
      <c r="C3402" s="5">
        <f>DATE(2025, 10, 16) + TIME(10, 14, 55)</f>
        <v>45946.427025462966</v>
      </c>
      <c r="D3402" s="1" t="s">
        <v>65</v>
      </c>
      <c r="E3402" s="1" t="s">
        <v>615</v>
      </c>
    </row>
    <row r="3403" spans="1:5" x14ac:dyDescent="0.2">
      <c r="A3403" s="1" t="s">
        <v>1276</v>
      </c>
      <c r="B3403" s="1" t="s">
        <v>864</v>
      </c>
      <c r="C3403" s="5">
        <f>DATE(2025, 10, 16) + TIME(10, 14, 55)</f>
        <v>45946.427025462966</v>
      </c>
      <c r="D3403" s="1" t="s">
        <v>65</v>
      </c>
      <c r="E3403" s="1" t="s">
        <v>615</v>
      </c>
    </row>
    <row r="3404" spans="1:5" x14ac:dyDescent="0.2">
      <c r="A3404" s="1" t="s">
        <v>1276</v>
      </c>
      <c r="B3404" s="1" t="s">
        <v>4</v>
      </c>
      <c r="C3404" s="5">
        <f>DATE(2025, 10, 15) + TIME(16, 25, 47)</f>
        <v>45945.684571759259</v>
      </c>
      <c r="D3404" s="1" t="s">
        <v>320</v>
      </c>
      <c r="E3404" s="1" t="s">
        <v>46</v>
      </c>
    </row>
    <row r="3405" spans="1:5" x14ac:dyDescent="0.2">
      <c r="A3405" s="1" t="s">
        <v>1276</v>
      </c>
      <c r="B3405" s="1" t="s">
        <v>215</v>
      </c>
      <c r="C3405" s="5">
        <f>DATE(2025, 10, 15) + TIME(16, 19, 5)</f>
        <v>45945.679918981485</v>
      </c>
      <c r="D3405" s="1" t="s">
        <v>3</v>
      </c>
      <c r="E3405" s="1" t="s">
        <v>73</v>
      </c>
    </row>
    <row r="3406" spans="1:5" x14ac:dyDescent="0.2">
      <c r="A3406" s="1" t="s">
        <v>1276</v>
      </c>
      <c r="B3406" s="1" t="s">
        <v>109</v>
      </c>
      <c r="C3406" s="5">
        <f>DATE(2025, 10, 15) + TIME(15, 49, 30)</f>
        <v>45945.659375000003</v>
      </c>
      <c r="D3406" s="1" t="s">
        <v>638</v>
      </c>
      <c r="E3406" s="1" t="s">
        <v>518</v>
      </c>
    </row>
    <row r="3407" spans="1:5" x14ac:dyDescent="0.2">
      <c r="A3407" s="1" t="s">
        <v>1276</v>
      </c>
      <c r="B3407" s="1" t="s">
        <v>98</v>
      </c>
      <c r="C3407" s="5">
        <f>DATE(2025, 10, 15) + TIME(15, 49, 30)</f>
        <v>45945.659375000003</v>
      </c>
      <c r="D3407" s="1" t="s">
        <v>638</v>
      </c>
      <c r="E3407" s="1" t="s">
        <v>518</v>
      </c>
    </row>
    <row r="3408" spans="1:5" x14ac:dyDescent="0.2">
      <c r="A3408" s="1" t="s">
        <v>1276</v>
      </c>
      <c r="B3408" s="1" t="s">
        <v>493</v>
      </c>
      <c r="C3408" s="5">
        <f>DATE(2025, 10, 15) + TIME(15, 24, 13)</f>
        <v>45945.641817129632</v>
      </c>
      <c r="D3408" s="1" t="s">
        <v>216</v>
      </c>
      <c r="E3408" s="1" t="s">
        <v>321</v>
      </c>
    </row>
    <row r="3409" spans="1:5" x14ac:dyDescent="0.2">
      <c r="A3409" s="1" t="s">
        <v>1276</v>
      </c>
      <c r="B3409" s="1" t="s">
        <v>734</v>
      </c>
      <c r="C3409" s="5">
        <f>DATE(2025, 10, 15) + TIME(15, 24, 13)</f>
        <v>45945.641817129632</v>
      </c>
      <c r="D3409" s="1" t="s">
        <v>216</v>
      </c>
      <c r="E3409" s="1" t="s">
        <v>321</v>
      </c>
    </row>
    <row r="3410" spans="1:5" x14ac:dyDescent="0.2">
      <c r="A3410" s="1" t="s">
        <v>1276</v>
      </c>
      <c r="B3410" s="1" t="s">
        <v>191</v>
      </c>
      <c r="C3410" s="5">
        <f>DATE(2025, 10, 15) + TIME(15, 1, 15)</f>
        <v>45945.625868055555</v>
      </c>
      <c r="D3410" s="1" t="s">
        <v>923</v>
      </c>
      <c r="E3410" s="1" t="s">
        <v>462</v>
      </c>
    </row>
    <row r="3411" spans="1:5" x14ac:dyDescent="0.2">
      <c r="A3411" s="1" t="s">
        <v>1276</v>
      </c>
      <c r="B3411" s="1" t="s">
        <v>60</v>
      </c>
      <c r="C3411" s="5">
        <f>DATE(2025, 10, 15) + TIME(13, 36, 5)</f>
        <v>45945.566724537035</v>
      </c>
      <c r="D3411" s="1" t="s">
        <v>148</v>
      </c>
      <c r="E3411" s="1" t="s">
        <v>650</v>
      </c>
    </row>
    <row r="3412" spans="1:5" x14ac:dyDescent="0.2">
      <c r="A3412" s="1" t="s">
        <v>1276</v>
      </c>
      <c r="B3412" s="1" t="s">
        <v>69</v>
      </c>
      <c r="C3412" s="5">
        <f>DATE(2025, 10, 15) + TIME(13, 36, 5)</f>
        <v>45945.566724537035</v>
      </c>
      <c r="D3412" s="1" t="s">
        <v>148</v>
      </c>
      <c r="E3412" s="1" t="s">
        <v>650</v>
      </c>
    </row>
    <row r="3413" spans="1:5" x14ac:dyDescent="0.2">
      <c r="A3413" s="1" t="s">
        <v>1276</v>
      </c>
      <c r="B3413" s="1" t="s">
        <v>951</v>
      </c>
      <c r="C3413" s="5">
        <f>DATE(2025, 10, 15) + TIME(12, 2, 43)</f>
        <v>45945.501886574071</v>
      </c>
      <c r="D3413" s="1" t="s">
        <v>226</v>
      </c>
      <c r="E3413" s="1" t="s">
        <v>283</v>
      </c>
    </row>
    <row r="3414" spans="1:5" x14ac:dyDescent="0.2">
      <c r="A3414" s="1" t="s">
        <v>1276</v>
      </c>
      <c r="B3414" s="1" t="s">
        <v>436</v>
      </c>
      <c r="C3414" s="5">
        <f>DATE(2025, 10, 15) + TIME(12, 2, 43)</f>
        <v>45945.501886574071</v>
      </c>
      <c r="D3414" s="1" t="s">
        <v>226</v>
      </c>
      <c r="E3414" s="1" t="s">
        <v>283</v>
      </c>
    </row>
    <row r="3415" spans="1:5" x14ac:dyDescent="0.2">
      <c r="A3415" s="1" t="s">
        <v>1276</v>
      </c>
      <c r="B3415" s="1" t="s">
        <v>139</v>
      </c>
      <c r="C3415" s="5">
        <f>DATE(2025, 10, 15) + TIME(9, 6, 53)</f>
        <v>45945.379780092589</v>
      </c>
      <c r="D3415" s="1" t="s">
        <v>226</v>
      </c>
      <c r="E3415" s="1" t="s">
        <v>333</v>
      </c>
    </row>
    <row r="3416" spans="1:5" x14ac:dyDescent="0.2">
      <c r="A3416" s="1" t="s">
        <v>1276</v>
      </c>
      <c r="B3416" s="1" t="s">
        <v>109</v>
      </c>
      <c r="C3416" s="5">
        <f>DATE(2025, 10, 15) + TIME(6, 58, 10)</f>
        <v>45945.290393518517</v>
      </c>
      <c r="D3416" s="1" t="s">
        <v>640</v>
      </c>
      <c r="E3416" s="1" t="s">
        <v>246</v>
      </c>
    </row>
    <row r="3417" spans="1:5" x14ac:dyDescent="0.2">
      <c r="A3417" s="1" t="s">
        <v>1276</v>
      </c>
      <c r="B3417" s="1" t="s">
        <v>577</v>
      </c>
      <c r="C3417" s="5">
        <f>DATE(2025, 10, 14) + TIME(16, 30, 10)</f>
        <v>45944.687615740739</v>
      </c>
      <c r="D3417" s="1" t="s">
        <v>216</v>
      </c>
      <c r="E3417" s="1" t="s">
        <v>101</v>
      </c>
    </row>
    <row r="3418" spans="1:5" x14ac:dyDescent="0.2">
      <c r="A3418" s="1" t="s">
        <v>1276</v>
      </c>
      <c r="B3418" s="1" t="s">
        <v>305</v>
      </c>
      <c r="C3418" s="5">
        <f>DATE(2025, 10, 14) + TIME(16, 10, 31)</f>
        <v>45944.67396990741</v>
      </c>
      <c r="D3418" s="1" t="s">
        <v>467</v>
      </c>
      <c r="E3418" s="1" t="s">
        <v>541</v>
      </c>
    </row>
    <row r="3419" spans="1:5" x14ac:dyDescent="0.2">
      <c r="A3419" s="1" t="s">
        <v>1276</v>
      </c>
      <c r="B3419" s="1" t="s">
        <v>765</v>
      </c>
      <c r="C3419" s="5">
        <f>DATE(2025, 10, 14) + TIME(12, 52, 33)</f>
        <v>45944.536493055559</v>
      </c>
      <c r="D3419" s="1" t="s">
        <v>3</v>
      </c>
      <c r="E3419" s="1" t="s">
        <v>248</v>
      </c>
    </row>
    <row r="3420" spans="1:5" x14ac:dyDescent="0.2">
      <c r="A3420" s="1" t="s">
        <v>1276</v>
      </c>
      <c r="B3420" s="1" t="s">
        <v>305</v>
      </c>
      <c r="C3420" s="5">
        <f>DATE(2025, 10, 14) + TIME(12, 2, 29)</f>
        <v>45944.50172453704</v>
      </c>
      <c r="D3420" s="1" t="s">
        <v>396</v>
      </c>
      <c r="E3420" s="1" t="s">
        <v>276</v>
      </c>
    </row>
    <row r="3421" spans="1:5" x14ac:dyDescent="0.2">
      <c r="A3421" s="1" t="s">
        <v>1276</v>
      </c>
      <c r="B3421" s="1" t="s">
        <v>305</v>
      </c>
      <c r="C3421" s="5">
        <f>DATE(2025, 10, 14) + TIME(11, 47, 45)</f>
        <v>45944.491493055553</v>
      </c>
      <c r="D3421" s="1" t="s">
        <v>640</v>
      </c>
      <c r="E3421" s="1" t="s">
        <v>246</v>
      </c>
    </row>
    <row r="3422" spans="1:5" x14ac:dyDescent="0.2">
      <c r="A3422" s="1" t="s">
        <v>1276</v>
      </c>
      <c r="B3422" s="1" t="s">
        <v>944</v>
      </c>
      <c r="C3422" s="5">
        <f>DATE(2025, 10, 14) + TIME(11, 42, 18)</f>
        <v>45944.487708333334</v>
      </c>
      <c r="D3422" s="1" t="s">
        <v>640</v>
      </c>
      <c r="E3422" s="1" t="s">
        <v>753</v>
      </c>
    </row>
    <row r="3423" spans="1:5" x14ac:dyDescent="0.2">
      <c r="A3423" s="1" t="s">
        <v>1276</v>
      </c>
      <c r="B3423" s="1" t="s">
        <v>866</v>
      </c>
      <c r="C3423" s="5">
        <f>DATE(2025, 10, 14) + TIME(11, 15, 51)</f>
        <v>45944.469340277778</v>
      </c>
      <c r="D3423" s="1" t="s">
        <v>65</v>
      </c>
      <c r="E3423" s="1" t="s">
        <v>111</v>
      </c>
    </row>
    <row r="3424" spans="1:5" x14ac:dyDescent="0.2">
      <c r="A3424" s="1" t="s">
        <v>1276</v>
      </c>
      <c r="B3424" s="1" t="s">
        <v>951</v>
      </c>
      <c r="C3424" s="5">
        <f>DATE(2025, 10, 14) + TIME(10, 52, 47)</f>
        <v>45944.453321759262</v>
      </c>
      <c r="D3424" s="1" t="s">
        <v>65</v>
      </c>
      <c r="E3424" s="1" t="s">
        <v>152</v>
      </c>
    </row>
    <row r="3425" spans="1:5" x14ac:dyDescent="0.2">
      <c r="A3425" s="1" t="s">
        <v>1276</v>
      </c>
      <c r="B3425" s="1" t="s">
        <v>234</v>
      </c>
      <c r="C3425" s="5">
        <f>DATE(2025, 10, 14) + TIME(9, 23, 51)</f>
        <v>45944.391562500001</v>
      </c>
      <c r="D3425" s="1" t="s">
        <v>467</v>
      </c>
      <c r="E3425" s="1" t="s">
        <v>143</v>
      </c>
    </row>
    <row r="3426" spans="1:5" x14ac:dyDescent="0.2">
      <c r="A3426" s="1" t="s">
        <v>1276</v>
      </c>
      <c r="B3426" s="1" t="s">
        <v>112</v>
      </c>
      <c r="C3426" s="5">
        <f>DATE(2025, 10, 14) + TIME(9, 23, 50)</f>
        <v>45944.391550925924</v>
      </c>
      <c r="D3426" s="1" t="s">
        <v>467</v>
      </c>
      <c r="E3426" s="1" t="s">
        <v>143</v>
      </c>
    </row>
    <row r="3427" spans="1:5" x14ac:dyDescent="0.2">
      <c r="A3427" s="1" t="s">
        <v>1276</v>
      </c>
      <c r="B3427" s="1" t="s">
        <v>464</v>
      </c>
      <c r="C3427" s="5">
        <f>DATE(2025, 10, 13) + TIME(11, 3, 41)</f>
        <v>45943.4608912037</v>
      </c>
      <c r="D3427" s="1" t="s">
        <v>65</v>
      </c>
      <c r="E3427" s="1" t="s">
        <v>404</v>
      </c>
    </row>
    <row r="3428" spans="1:5" x14ac:dyDescent="0.2">
      <c r="A3428" s="1" t="s">
        <v>1276</v>
      </c>
      <c r="B3428" s="1" t="s">
        <v>864</v>
      </c>
      <c r="C3428" s="5">
        <f>DATE(2025, 10, 13) + TIME(11, 3, 41)</f>
        <v>45943.4608912037</v>
      </c>
      <c r="D3428" s="1" t="s">
        <v>65</v>
      </c>
      <c r="E3428" s="1" t="s">
        <v>404</v>
      </c>
    </row>
    <row r="3429" spans="1:5" x14ac:dyDescent="0.2">
      <c r="A3429" s="1" t="s">
        <v>1276</v>
      </c>
      <c r="B3429" s="1" t="s">
        <v>354</v>
      </c>
      <c r="C3429" s="5">
        <f>DATE(2025, 10, 13) + TIME(10, 53, 6)</f>
        <v>45943.453541666669</v>
      </c>
      <c r="D3429" s="1" t="s">
        <v>506</v>
      </c>
      <c r="E3429" s="1" t="s">
        <v>697</v>
      </c>
    </row>
    <row r="3430" spans="1:5" x14ac:dyDescent="0.2">
      <c r="A3430" s="1" t="s">
        <v>1276</v>
      </c>
      <c r="B3430" s="1" t="s">
        <v>139</v>
      </c>
      <c r="C3430" s="5">
        <f>DATE(2025, 10, 13) + TIME(9, 38, 6)</f>
        <v>45943.401458333334</v>
      </c>
      <c r="D3430" s="1" t="s">
        <v>226</v>
      </c>
      <c r="E3430" s="1" t="s">
        <v>333</v>
      </c>
    </row>
    <row r="3431" spans="1:5" x14ac:dyDescent="0.2">
      <c r="A3431" s="1" t="s">
        <v>1276</v>
      </c>
      <c r="B3431" s="1" t="s">
        <v>864</v>
      </c>
      <c r="C3431" s="5">
        <f>DATE(2025, 10, 9) + TIME(15, 36, 14)</f>
        <v>45939.65016203704</v>
      </c>
      <c r="D3431" s="1" t="s">
        <v>148</v>
      </c>
      <c r="E3431" s="1" t="s">
        <v>480</v>
      </c>
    </row>
    <row r="3432" spans="1:5" x14ac:dyDescent="0.2">
      <c r="A3432" s="1" t="s">
        <v>1276</v>
      </c>
      <c r="B3432" s="1" t="s">
        <v>817</v>
      </c>
      <c r="C3432" s="5">
        <f>DATE(2025, 10, 9) + TIME(15, 24, 18)</f>
        <v>45939.641875000001</v>
      </c>
      <c r="D3432" s="1" t="s">
        <v>754</v>
      </c>
      <c r="E3432" s="1" t="s">
        <v>755</v>
      </c>
    </row>
    <row r="3433" spans="1:5" x14ac:dyDescent="0.2">
      <c r="A3433" s="1" t="s">
        <v>1276</v>
      </c>
      <c r="B3433" s="1" t="s">
        <v>494</v>
      </c>
      <c r="C3433" s="5">
        <f>DATE(2025, 10, 9) + TIME(14, 54, 57)</f>
        <v>45939.621493055558</v>
      </c>
      <c r="D3433" s="1" t="s">
        <v>566</v>
      </c>
      <c r="E3433" s="1" t="s">
        <v>324</v>
      </c>
    </row>
    <row r="3434" spans="1:5" x14ac:dyDescent="0.2">
      <c r="A3434" s="1" t="s">
        <v>1276</v>
      </c>
      <c r="B3434" s="1" t="s">
        <v>897</v>
      </c>
      <c r="C3434" s="5">
        <f>DATE(2025, 10, 9) + TIME(14, 54, 56)</f>
        <v>45939.621481481481</v>
      </c>
      <c r="D3434" s="1" t="s">
        <v>566</v>
      </c>
      <c r="E3434" s="1" t="s">
        <v>324</v>
      </c>
    </row>
    <row r="3435" spans="1:5" x14ac:dyDescent="0.2">
      <c r="A3435" s="1" t="s">
        <v>1276</v>
      </c>
      <c r="B3435" s="1" t="s">
        <v>72</v>
      </c>
      <c r="C3435" s="5">
        <f>DATE(2025, 10, 9) + TIME(14, 51, 57)</f>
        <v>45939.619409722225</v>
      </c>
      <c r="D3435" s="1" t="s">
        <v>754</v>
      </c>
      <c r="E3435" s="1" t="s">
        <v>870</v>
      </c>
    </row>
    <row r="3436" spans="1:5" x14ac:dyDescent="0.2">
      <c r="A3436" s="1" t="s">
        <v>1276</v>
      </c>
      <c r="B3436" s="1" t="s">
        <v>824</v>
      </c>
      <c r="C3436" s="5">
        <f>DATE(2025, 10, 9) + TIME(13, 58, 22)</f>
        <v>45939.582199074073</v>
      </c>
      <c r="D3436" s="1" t="s">
        <v>65</v>
      </c>
      <c r="E3436" s="1" t="s">
        <v>615</v>
      </c>
    </row>
    <row r="3437" spans="1:5" x14ac:dyDescent="0.2">
      <c r="A3437" s="1" t="s">
        <v>1276</v>
      </c>
      <c r="B3437" s="1" t="s">
        <v>322</v>
      </c>
      <c r="C3437" s="5">
        <f>DATE(2025, 10, 9) + TIME(13, 49, 6)</f>
        <v>45939.57576388889</v>
      </c>
      <c r="D3437" s="1" t="s">
        <v>638</v>
      </c>
      <c r="E3437" s="1" t="s">
        <v>147</v>
      </c>
    </row>
    <row r="3438" spans="1:5" x14ac:dyDescent="0.2">
      <c r="A3438" s="1" t="s">
        <v>1276</v>
      </c>
      <c r="B3438" s="1" t="s">
        <v>277</v>
      </c>
      <c r="C3438" s="5">
        <f>DATE(2025, 10, 9) + TIME(12, 11, 59)</f>
        <v>45939.508321759262</v>
      </c>
      <c r="D3438" s="1" t="s">
        <v>869</v>
      </c>
      <c r="E3438" s="1" t="s">
        <v>438</v>
      </c>
    </row>
    <row r="3439" spans="1:5" x14ac:dyDescent="0.2">
      <c r="A3439" s="1" t="s">
        <v>1276</v>
      </c>
      <c r="B3439" s="1" t="s">
        <v>150</v>
      </c>
      <c r="C3439" s="5">
        <f>DATE(2025, 10, 9) + TIME(11, 54, 59)</f>
        <v>45939.496516203704</v>
      </c>
      <c r="D3439" s="1" t="s">
        <v>754</v>
      </c>
      <c r="E3439" s="1" t="s">
        <v>330</v>
      </c>
    </row>
    <row r="3440" spans="1:5" x14ac:dyDescent="0.2">
      <c r="A3440" s="1" t="s">
        <v>1276</v>
      </c>
      <c r="B3440" s="1" t="s">
        <v>434</v>
      </c>
      <c r="C3440" s="5">
        <f>DATE(2025, 10, 9) + TIME(11, 53, 32)</f>
        <v>45939.495509259257</v>
      </c>
      <c r="D3440" s="1" t="s">
        <v>3</v>
      </c>
      <c r="E3440" s="1" t="s">
        <v>684</v>
      </c>
    </row>
    <row r="3441" spans="1:5" x14ac:dyDescent="0.2">
      <c r="A3441" s="1" t="s">
        <v>1276</v>
      </c>
      <c r="B3441" s="1" t="s">
        <v>29</v>
      </c>
      <c r="C3441" s="5">
        <f>DATE(2025, 10, 9) + TIME(11, 5, 49)</f>
        <v>45939.462372685186</v>
      </c>
      <c r="D3441" s="1" t="s">
        <v>750</v>
      </c>
      <c r="E3441" s="1" t="s">
        <v>466</v>
      </c>
    </row>
    <row r="3442" spans="1:5" x14ac:dyDescent="0.2">
      <c r="A3442" s="1" t="s">
        <v>1276</v>
      </c>
      <c r="B3442" s="1" t="s">
        <v>112</v>
      </c>
      <c r="C3442" s="5">
        <f>DATE(2025, 10, 8) + TIME(15, 56, 31)</f>
        <v>45938.664247685185</v>
      </c>
      <c r="D3442" s="1" t="s">
        <v>3</v>
      </c>
      <c r="E3442" s="1" t="s">
        <v>890</v>
      </c>
    </row>
    <row r="3443" spans="1:5" x14ac:dyDescent="0.2">
      <c r="A3443" s="1" t="s">
        <v>1276</v>
      </c>
      <c r="B3443" s="1" t="s">
        <v>9</v>
      </c>
      <c r="C3443" s="5">
        <f>DATE(2025, 10, 8) + TIME(15, 50, 52)</f>
        <v>45938.660324074073</v>
      </c>
      <c r="D3443" s="1" t="s">
        <v>3</v>
      </c>
      <c r="E3443" s="1" t="s">
        <v>73</v>
      </c>
    </row>
    <row r="3444" spans="1:5" x14ac:dyDescent="0.2">
      <c r="A3444" s="1" t="s">
        <v>1276</v>
      </c>
      <c r="B3444" s="1" t="s">
        <v>113</v>
      </c>
      <c r="C3444" s="5">
        <f>DATE(2025, 10, 8) + TIME(15, 24, 43)</f>
        <v>45938.642164351855</v>
      </c>
      <c r="D3444" s="1" t="s">
        <v>566</v>
      </c>
      <c r="E3444" s="1" t="s">
        <v>888</v>
      </c>
    </row>
    <row r="3445" spans="1:5" x14ac:dyDescent="0.2">
      <c r="A3445" s="1" t="s">
        <v>1276</v>
      </c>
      <c r="B3445" s="1" t="s">
        <v>685</v>
      </c>
      <c r="C3445" s="5">
        <f>DATE(2025, 10, 8) + TIME(15, 24, 43)</f>
        <v>45938.642164351855</v>
      </c>
      <c r="D3445" s="1" t="s">
        <v>566</v>
      </c>
      <c r="E3445" s="1" t="s">
        <v>888</v>
      </c>
    </row>
    <row r="3446" spans="1:5" x14ac:dyDescent="0.2">
      <c r="A3446" s="1" t="s">
        <v>1276</v>
      </c>
      <c r="B3446" s="1" t="s">
        <v>944</v>
      </c>
      <c r="C3446" s="5">
        <f>DATE(2025, 10, 8) + TIME(15, 1, 57)</f>
        <v>45938.626354166663</v>
      </c>
      <c r="D3446" s="1" t="s">
        <v>638</v>
      </c>
      <c r="E3446" s="1" t="s">
        <v>85</v>
      </c>
    </row>
    <row r="3447" spans="1:5" x14ac:dyDescent="0.2">
      <c r="A3447" s="1" t="s">
        <v>1276</v>
      </c>
      <c r="B3447" s="1" t="s">
        <v>357</v>
      </c>
      <c r="C3447" s="5">
        <f>DATE(2025, 10, 8) + TIME(13, 10, 50)</f>
        <v>45938.549189814818</v>
      </c>
      <c r="D3447" s="1" t="s">
        <v>640</v>
      </c>
      <c r="E3447" s="1" t="s">
        <v>32</v>
      </c>
    </row>
    <row r="3448" spans="1:5" x14ac:dyDescent="0.2">
      <c r="A3448" s="1" t="s">
        <v>1276</v>
      </c>
      <c r="B3448" s="1" t="s">
        <v>114</v>
      </c>
      <c r="C3448" s="5">
        <f>DATE(2025, 10, 8) + TIME(12, 53, 9)</f>
        <v>45938.536909722221</v>
      </c>
      <c r="D3448" s="1" t="s">
        <v>506</v>
      </c>
      <c r="E3448" s="1" t="s">
        <v>867</v>
      </c>
    </row>
    <row r="3449" spans="1:5" x14ac:dyDescent="0.2">
      <c r="A3449" s="1" t="s">
        <v>1276</v>
      </c>
      <c r="B3449" s="1" t="s">
        <v>664</v>
      </c>
      <c r="C3449" s="5">
        <f>DATE(2025, 10, 8) + TIME(12, 39, 3)</f>
        <v>45938.527118055557</v>
      </c>
      <c r="D3449" s="1" t="s">
        <v>576</v>
      </c>
      <c r="E3449" s="1" t="s">
        <v>706</v>
      </c>
    </row>
    <row r="3450" spans="1:5" x14ac:dyDescent="0.2">
      <c r="A3450" s="1" t="s">
        <v>1276</v>
      </c>
      <c r="B3450" s="1" t="s">
        <v>215</v>
      </c>
      <c r="C3450" s="5">
        <f>DATE(2025, 10, 8) + TIME(12, 39, 3)</f>
        <v>45938.527118055557</v>
      </c>
      <c r="D3450" s="1" t="s">
        <v>576</v>
      </c>
      <c r="E3450" s="1" t="s">
        <v>249</v>
      </c>
    </row>
    <row r="3451" spans="1:5" x14ac:dyDescent="0.2">
      <c r="A3451" s="1" t="s">
        <v>1276</v>
      </c>
      <c r="B3451" s="1" t="s">
        <v>409</v>
      </c>
      <c r="C3451" s="5">
        <f>DATE(2025, 10, 8) + TIME(12, 20, 51)</f>
        <v>45938.514479166668</v>
      </c>
      <c r="D3451" s="1" t="s">
        <v>65</v>
      </c>
      <c r="E3451" s="1" t="s">
        <v>918</v>
      </c>
    </row>
    <row r="3452" spans="1:5" x14ac:dyDescent="0.2">
      <c r="A3452" s="1" t="s">
        <v>1276</v>
      </c>
      <c r="B3452" s="1" t="s">
        <v>84</v>
      </c>
      <c r="C3452" s="5">
        <f>DATE(2025, 10, 8) + TIME(11, 40, 12)</f>
        <v>45938.486250000002</v>
      </c>
      <c r="D3452" s="1" t="s">
        <v>216</v>
      </c>
      <c r="E3452" s="1" t="s">
        <v>321</v>
      </c>
    </row>
    <row r="3453" spans="1:5" x14ac:dyDescent="0.2">
      <c r="A3453" s="1" t="s">
        <v>1276</v>
      </c>
      <c r="B3453" s="1" t="s">
        <v>789</v>
      </c>
      <c r="C3453" s="5">
        <f>DATE(2025, 10, 8) + TIME(11, 2, 38)</f>
        <v>45938.460162037038</v>
      </c>
      <c r="D3453" s="1" t="s">
        <v>65</v>
      </c>
      <c r="E3453" s="1" t="s">
        <v>918</v>
      </c>
    </row>
    <row r="3454" spans="1:5" x14ac:dyDescent="0.2">
      <c r="A3454" s="1" t="s">
        <v>1276</v>
      </c>
      <c r="B3454" s="1" t="s">
        <v>841</v>
      </c>
      <c r="C3454" s="5">
        <f>DATE(2025, 10, 8) + TIME(11, 2, 38)</f>
        <v>45938.460162037038</v>
      </c>
      <c r="D3454" s="1" t="s">
        <v>65</v>
      </c>
      <c r="E3454" s="1" t="s">
        <v>918</v>
      </c>
    </row>
    <row r="3455" spans="1:5" x14ac:dyDescent="0.2">
      <c r="A3455" s="1" t="s">
        <v>1276</v>
      </c>
      <c r="B3455" s="1" t="s">
        <v>290</v>
      </c>
      <c r="C3455" s="5">
        <f>DATE(2025, 10, 7) + TIME(13, 53, 31)</f>
        <v>45937.578831018516</v>
      </c>
      <c r="D3455" s="1" t="s">
        <v>467</v>
      </c>
      <c r="E3455" s="1" t="s">
        <v>143</v>
      </c>
    </row>
    <row r="3456" spans="1:5" x14ac:dyDescent="0.2">
      <c r="A3456" s="1" t="s">
        <v>1276</v>
      </c>
      <c r="B3456" s="1" t="s">
        <v>306</v>
      </c>
      <c r="C3456" s="5">
        <f>DATE(2025, 10, 7) + TIME(13, 53, 31)</f>
        <v>45937.578831018516</v>
      </c>
      <c r="D3456" s="1" t="s">
        <v>467</v>
      </c>
      <c r="E3456" s="1" t="s">
        <v>143</v>
      </c>
    </row>
    <row r="3457" spans="1:5" x14ac:dyDescent="0.2">
      <c r="A3457" s="1" t="s">
        <v>1276</v>
      </c>
      <c r="B3457" s="1" t="s">
        <v>48</v>
      </c>
      <c r="C3457" s="5">
        <f>DATE(2025, 10, 7) + TIME(13, 53, 31)</f>
        <v>45937.578831018516</v>
      </c>
      <c r="D3457" s="1" t="s">
        <v>467</v>
      </c>
      <c r="E3457" s="1" t="s">
        <v>143</v>
      </c>
    </row>
    <row r="3458" spans="1:5" x14ac:dyDescent="0.2">
      <c r="A3458" s="1" t="s">
        <v>1276</v>
      </c>
      <c r="B3458" s="1" t="s">
        <v>250</v>
      </c>
      <c r="C3458" s="5">
        <f>DATE(2025, 10, 7) + TIME(12, 53, 26)</f>
        <v>45937.537106481483</v>
      </c>
      <c r="D3458" s="1" t="s">
        <v>506</v>
      </c>
      <c r="E3458" s="1" t="s">
        <v>920</v>
      </c>
    </row>
    <row r="3459" spans="1:5" x14ac:dyDescent="0.2">
      <c r="A3459" s="1" t="s">
        <v>1276</v>
      </c>
      <c r="B3459" s="1" t="s">
        <v>60</v>
      </c>
      <c r="C3459" s="5">
        <f>DATE(2025, 10, 7) + TIME(12, 53, 26)</f>
        <v>45937.537106481483</v>
      </c>
      <c r="D3459" s="1" t="s">
        <v>506</v>
      </c>
      <c r="E3459" s="1" t="s">
        <v>920</v>
      </c>
    </row>
    <row r="3460" spans="1:5" x14ac:dyDescent="0.2">
      <c r="A3460" s="1" t="s">
        <v>1276</v>
      </c>
      <c r="B3460" s="1" t="s">
        <v>163</v>
      </c>
      <c r="C3460" s="5">
        <f>DATE(2025, 10, 7) + TIME(9, 59, 20)</f>
        <v>45937.416203703702</v>
      </c>
      <c r="D3460" s="1" t="s">
        <v>869</v>
      </c>
      <c r="E3460" s="1" t="s">
        <v>842</v>
      </c>
    </row>
    <row r="3461" spans="1:5" x14ac:dyDescent="0.2">
      <c r="A3461" s="1" t="s">
        <v>1276</v>
      </c>
      <c r="B3461" s="1" t="s">
        <v>939</v>
      </c>
      <c r="C3461" s="5">
        <f>DATE(2025, 10, 6) + TIME(14, 7, 6)</f>
        <v>45936.588263888887</v>
      </c>
      <c r="D3461" s="1" t="s">
        <v>754</v>
      </c>
      <c r="E3461" s="1" t="s">
        <v>870</v>
      </c>
    </row>
    <row r="3462" spans="1:5" x14ac:dyDescent="0.2">
      <c r="A3462" s="1" t="s">
        <v>1276</v>
      </c>
      <c r="B3462" s="1" t="s">
        <v>322</v>
      </c>
      <c r="C3462" s="5">
        <f>DATE(2025, 10, 6) + TIME(14, 3, 16)</f>
        <v>45936.585601851853</v>
      </c>
      <c r="D3462" s="1" t="s">
        <v>640</v>
      </c>
      <c r="E3462" s="1" t="s">
        <v>520</v>
      </c>
    </row>
    <row r="3463" spans="1:5" x14ac:dyDescent="0.2">
      <c r="A3463" s="1" t="s">
        <v>1276</v>
      </c>
      <c r="B3463" s="1" t="s">
        <v>932</v>
      </c>
      <c r="C3463" s="5">
        <f>DATE(2025, 10, 6) + TIME(13, 25, 17)</f>
        <v>45936.559224537035</v>
      </c>
      <c r="D3463" s="1" t="s">
        <v>396</v>
      </c>
      <c r="E3463" s="1" t="s">
        <v>567</v>
      </c>
    </row>
    <row r="3464" spans="1:5" x14ac:dyDescent="0.2">
      <c r="A3464" s="1" t="s">
        <v>1276</v>
      </c>
      <c r="B3464" s="1" t="s">
        <v>685</v>
      </c>
      <c r="C3464" s="5">
        <f>DATE(2025, 10, 6) + TIME(12, 24, 55)</f>
        <v>45936.51730324074</v>
      </c>
      <c r="D3464" s="1" t="s">
        <v>754</v>
      </c>
      <c r="E3464" s="1" t="s">
        <v>330</v>
      </c>
    </row>
    <row r="3465" spans="1:5" x14ac:dyDescent="0.2">
      <c r="A3465" s="1" t="s">
        <v>1276</v>
      </c>
      <c r="B3465" s="1" t="s">
        <v>685</v>
      </c>
      <c r="C3465" s="5">
        <f>DATE(2025, 10, 6) + TIME(12, 24, 52)</f>
        <v>45936.517268518517</v>
      </c>
      <c r="D3465" s="1" t="s">
        <v>754</v>
      </c>
      <c r="E3465" s="1" t="s">
        <v>330</v>
      </c>
    </row>
    <row r="3466" spans="1:5" x14ac:dyDescent="0.2">
      <c r="A3466" s="1" t="s">
        <v>1276</v>
      </c>
      <c r="B3466" s="1" t="s">
        <v>431</v>
      </c>
      <c r="C3466" s="5">
        <f>DATE(2025, 10, 2) + TIME(15, 51, 58)</f>
        <v>45932.661087962966</v>
      </c>
      <c r="D3466" s="1" t="s">
        <v>506</v>
      </c>
      <c r="E3466" s="1" t="s">
        <v>867</v>
      </c>
    </row>
    <row r="3467" spans="1:5" x14ac:dyDescent="0.2">
      <c r="A3467" s="1" t="s">
        <v>1276</v>
      </c>
      <c r="B3467" s="1" t="s">
        <v>109</v>
      </c>
      <c r="C3467" s="5">
        <f>DATE(2025, 10, 2) + TIME(15, 23, 37)</f>
        <v>45932.641400462962</v>
      </c>
      <c r="D3467" s="1" t="s">
        <v>566</v>
      </c>
      <c r="E3467" s="1" t="s">
        <v>324</v>
      </c>
    </row>
    <row r="3468" spans="1:5" x14ac:dyDescent="0.2">
      <c r="A3468" s="1" t="s">
        <v>1276</v>
      </c>
      <c r="B3468" s="1" t="s">
        <v>664</v>
      </c>
      <c r="C3468" s="5">
        <f>DATE(2025, 10, 2) + TIME(14, 18, 31)</f>
        <v>45932.596192129633</v>
      </c>
      <c r="D3468" s="1" t="s">
        <v>566</v>
      </c>
      <c r="E3468" s="1" t="s">
        <v>893</v>
      </c>
    </row>
    <row r="3469" spans="1:5" x14ac:dyDescent="0.2">
      <c r="A3469" s="1" t="s">
        <v>1276</v>
      </c>
      <c r="B3469" s="1" t="s">
        <v>594</v>
      </c>
      <c r="C3469" s="5">
        <f>DATE(2025, 10, 2) + TIME(13, 49, 56)</f>
        <v>45932.576342592591</v>
      </c>
      <c r="D3469" s="1" t="s">
        <v>3</v>
      </c>
      <c r="E3469" s="1" t="s">
        <v>936</v>
      </c>
    </row>
    <row r="3470" spans="1:5" x14ac:dyDescent="0.2">
      <c r="A3470" s="1" t="s">
        <v>1276</v>
      </c>
      <c r="B3470" s="1" t="s">
        <v>866</v>
      </c>
      <c r="C3470" s="5">
        <f>DATE(2025, 10, 2) + TIME(13, 14, 27)</f>
        <v>45932.551701388889</v>
      </c>
      <c r="D3470" s="1" t="s">
        <v>754</v>
      </c>
      <c r="E3470" s="1" t="s">
        <v>755</v>
      </c>
    </row>
    <row r="3471" spans="1:5" x14ac:dyDescent="0.2">
      <c r="A3471" s="1" t="s">
        <v>1276</v>
      </c>
      <c r="B3471" s="1" t="s">
        <v>656</v>
      </c>
      <c r="C3471" s="5">
        <f>DATE(2025, 10, 2) + TIME(13, 14, 27)</f>
        <v>45932.551701388889</v>
      </c>
      <c r="D3471" s="1" t="s">
        <v>754</v>
      </c>
      <c r="E3471" s="1" t="s">
        <v>755</v>
      </c>
    </row>
    <row r="3472" spans="1:5" x14ac:dyDescent="0.2">
      <c r="A3472" s="1" t="s">
        <v>1276</v>
      </c>
      <c r="B3472" s="1" t="s">
        <v>163</v>
      </c>
      <c r="C3472" s="5">
        <f>DATE(2025, 10, 2) + TIME(12, 33, 28)</f>
        <v>45932.523240740738</v>
      </c>
      <c r="D3472" s="1" t="s">
        <v>750</v>
      </c>
      <c r="E3472" s="1" t="s">
        <v>466</v>
      </c>
    </row>
    <row r="3473" spans="1:5" x14ac:dyDescent="0.2">
      <c r="A3473" s="1" t="s">
        <v>1276</v>
      </c>
      <c r="B3473" s="1" t="s">
        <v>139</v>
      </c>
      <c r="C3473" s="5">
        <f>DATE(2025, 10, 2) + TIME(7, 59, 54)</f>
        <v>45932.33326388889</v>
      </c>
      <c r="D3473" s="1" t="s">
        <v>640</v>
      </c>
      <c r="E3473" s="1" t="s">
        <v>333</v>
      </c>
    </row>
    <row r="3474" spans="1:5" x14ac:dyDescent="0.2">
      <c r="A3474" s="1" t="s">
        <v>1276</v>
      </c>
      <c r="B3474" s="1" t="s">
        <v>664</v>
      </c>
      <c r="C3474" s="5">
        <f>DATE(2025, 10, 2) + TIME(5, 30, 11)</f>
        <v>45932.22929398148</v>
      </c>
      <c r="D3474" s="1" t="s">
        <v>3</v>
      </c>
      <c r="E3474" s="1" t="s">
        <v>684</v>
      </c>
    </row>
    <row r="3475" spans="1:5" x14ac:dyDescent="0.2">
      <c r="A3475" s="1" t="s">
        <v>1276</v>
      </c>
      <c r="B3475" s="1" t="s">
        <v>434</v>
      </c>
      <c r="C3475" s="5">
        <f>DATE(2025, 10, 1) + TIME(15, 27, 24)</f>
        <v>45931.64402777778</v>
      </c>
      <c r="D3475" s="1" t="s">
        <v>3</v>
      </c>
      <c r="E3475" s="1" t="s">
        <v>684</v>
      </c>
    </row>
    <row r="3476" spans="1:5" x14ac:dyDescent="0.2">
      <c r="A3476" s="1" t="s">
        <v>1276</v>
      </c>
      <c r="B3476" s="1" t="s">
        <v>234</v>
      </c>
      <c r="C3476" s="5">
        <f>DATE(2025, 10, 1) + TIME(14, 58, 14)</f>
        <v>45931.623773148145</v>
      </c>
      <c r="D3476" s="1" t="s">
        <v>65</v>
      </c>
      <c r="E3476" s="1" t="s">
        <v>918</v>
      </c>
    </row>
    <row r="3477" spans="1:5" x14ac:dyDescent="0.2">
      <c r="A3477" s="1" t="s">
        <v>1276</v>
      </c>
      <c r="B3477" s="1" t="s">
        <v>825</v>
      </c>
      <c r="C3477" s="5">
        <f>DATE(2025, 10, 1) + TIME(14, 58, 14)</f>
        <v>45931.623773148145</v>
      </c>
      <c r="D3477" s="1" t="s">
        <v>65</v>
      </c>
      <c r="E3477" s="1" t="s">
        <v>918</v>
      </c>
    </row>
    <row r="3478" spans="1:5" x14ac:dyDescent="0.2">
      <c r="A3478" s="1" t="s">
        <v>1276</v>
      </c>
      <c r="B3478" s="1" t="s">
        <v>664</v>
      </c>
      <c r="C3478" s="5">
        <f>DATE(2025, 10, 1) + TIME(14, 33, 11)</f>
        <v>45931.606377314813</v>
      </c>
      <c r="D3478" s="1" t="s">
        <v>750</v>
      </c>
      <c r="E3478" s="1" t="s">
        <v>158</v>
      </c>
    </row>
    <row r="3479" spans="1:5" x14ac:dyDescent="0.2">
      <c r="A3479" s="1" t="s">
        <v>1276</v>
      </c>
      <c r="B3479" s="1" t="s">
        <v>587</v>
      </c>
      <c r="C3479" s="5">
        <f>DATE(2025, 10, 1) + TIME(14, 33, 11)</f>
        <v>45931.606377314813</v>
      </c>
      <c r="D3479" s="1" t="s">
        <v>750</v>
      </c>
      <c r="E3479" s="1" t="s">
        <v>158</v>
      </c>
    </row>
    <row r="3480" spans="1:5" x14ac:dyDescent="0.2">
      <c r="A3480" s="1" t="s">
        <v>1276</v>
      </c>
      <c r="B3480" s="1" t="s">
        <v>664</v>
      </c>
      <c r="C3480" s="5">
        <f>DATE(2025, 10, 1) + TIME(14, 19, 27)</f>
        <v>45931.59684027778</v>
      </c>
      <c r="D3480" s="1" t="s">
        <v>216</v>
      </c>
      <c r="E3480" s="1" t="s">
        <v>519</v>
      </c>
    </row>
    <row r="3481" spans="1:5" x14ac:dyDescent="0.2">
      <c r="A3481" s="1" t="s">
        <v>1276</v>
      </c>
      <c r="B3481" s="1" t="s">
        <v>735</v>
      </c>
      <c r="C3481" s="5">
        <f>DATE(2025, 10, 1) + TIME(14, 19, 27)</f>
        <v>45931.59684027778</v>
      </c>
      <c r="D3481" s="1" t="s">
        <v>216</v>
      </c>
      <c r="E3481" s="1" t="s">
        <v>321</v>
      </c>
    </row>
    <row r="3482" spans="1:5" x14ac:dyDescent="0.2">
      <c r="A3482" s="1" t="s">
        <v>1276</v>
      </c>
      <c r="B3482" s="1" t="s">
        <v>959</v>
      </c>
      <c r="C3482" s="5">
        <f>DATE(2025, 10, 1) + TIME(13, 53, 25)</f>
        <v>45931.578761574077</v>
      </c>
      <c r="D3482" s="1" t="s">
        <v>750</v>
      </c>
      <c r="E3482" s="1" t="s">
        <v>158</v>
      </c>
    </row>
    <row r="3483" spans="1:5" x14ac:dyDescent="0.2">
      <c r="A3483" s="1" t="s">
        <v>1276</v>
      </c>
      <c r="B3483" s="1" t="s">
        <v>766</v>
      </c>
      <c r="C3483" s="5">
        <f>DATE(2025, 10, 1) + TIME(13, 53, 25)</f>
        <v>45931.578761574077</v>
      </c>
      <c r="D3483" s="1" t="s">
        <v>750</v>
      </c>
      <c r="E3483" s="1" t="s">
        <v>158</v>
      </c>
    </row>
    <row r="3484" spans="1:5" x14ac:dyDescent="0.2">
      <c r="A3484" s="1" t="s">
        <v>1276</v>
      </c>
      <c r="B3484" s="1" t="s">
        <v>944</v>
      </c>
      <c r="C3484" s="5">
        <f>DATE(2025, 10, 1) + TIME(13, 51, 37)</f>
        <v>45931.577511574076</v>
      </c>
      <c r="D3484" s="1" t="s">
        <v>459</v>
      </c>
      <c r="E3484" s="1" t="s">
        <v>19</v>
      </c>
    </row>
    <row r="3485" spans="1:5" x14ac:dyDescent="0.2">
      <c r="A3485" s="1" t="s">
        <v>1276</v>
      </c>
      <c r="B3485" s="1" t="s">
        <v>322</v>
      </c>
      <c r="C3485" s="5">
        <f>DATE(2025, 10, 1) + TIME(13, 51, 37)</f>
        <v>45931.577511574076</v>
      </c>
      <c r="D3485" s="1" t="s">
        <v>459</v>
      </c>
      <c r="E3485" s="1" t="s">
        <v>19</v>
      </c>
    </row>
    <row r="3486" spans="1:5" x14ac:dyDescent="0.2">
      <c r="A3486" s="1" t="s">
        <v>1276</v>
      </c>
      <c r="B3486" s="1" t="s">
        <v>864</v>
      </c>
      <c r="C3486" s="5">
        <f>DATE(2025, 10, 1) + TIME(12, 54, 32)</f>
        <v>45931.537870370368</v>
      </c>
      <c r="D3486" s="1" t="s">
        <v>459</v>
      </c>
      <c r="E3486" s="1" t="s">
        <v>428</v>
      </c>
    </row>
    <row r="3487" spans="1:5" x14ac:dyDescent="0.2">
      <c r="A3487" s="1" t="s">
        <v>1276</v>
      </c>
      <c r="B3487" s="1" t="s">
        <v>580</v>
      </c>
      <c r="C3487" s="5">
        <f>DATE(2025, 10, 1) + TIME(12, 54, 32)</f>
        <v>45931.537870370368</v>
      </c>
      <c r="D3487" s="1" t="s">
        <v>459</v>
      </c>
      <c r="E3487" s="1" t="s">
        <v>536</v>
      </c>
    </row>
    <row r="3488" spans="1:5" x14ac:dyDescent="0.2">
      <c r="A3488" s="1" t="s">
        <v>1276</v>
      </c>
      <c r="B3488" s="1" t="s">
        <v>60</v>
      </c>
      <c r="C3488" s="5">
        <f>DATE(2025, 10, 1) + TIME(12, 4, 44)</f>
        <v>45931.503287037034</v>
      </c>
      <c r="D3488" s="1" t="s">
        <v>576</v>
      </c>
      <c r="E3488" s="1" t="s">
        <v>568</v>
      </c>
    </row>
    <row r="3489" spans="1:5" x14ac:dyDescent="0.2">
      <c r="A3489" s="1" t="s">
        <v>1276</v>
      </c>
      <c r="B3489" s="1" t="s">
        <v>944</v>
      </c>
      <c r="C3489" s="5">
        <f>DATE(2025, 10, 1) + TIME(11, 55, 35)</f>
        <v>45931.496932870374</v>
      </c>
      <c r="D3489" s="1" t="s">
        <v>320</v>
      </c>
      <c r="E3489" s="1" t="s">
        <v>2</v>
      </c>
    </row>
    <row r="3490" spans="1:5" x14ac:dyDescent="0.2">
      <c r="A3490" s="1" t="s">
        <v>1276</v>
      </c>
      <c r="B3490" s="1" t="s">
        <v>150</v>
      </c>
      <c r="C3490" s="5">
        <f>DATE(2025, 10, 1) + TIME(11, 55, 35)</f>
        <v>45931.496932870374</v>
      </c>
      <c r="D3490" s="1" t="s">
        <v>320</v>
      </c>
      <c r="E3490" s="1" t="s">
        <v>2</v>
      </c>
    </row>
    <row r="3491" spans="1:5" x14ac:dyDescent="0.2">
      <c r="A3491" s="1" t="s">
        <v>1276</v>
      </c>
      <c r="B3491" s="1" t="s">
        <v>489</v>
      </c>
      <c r="C3491" s="5">
        <f>DATE(2025, 10, 1) + TIME(11, 39, 42)</f>
        <v>45931.485902777778</v>
      </c>
      <c r="D3491" s="1" t="s">
        <v>566</v>
      </c>
      <c r="E3491" s="1" t="s">
        <v>888</v>
      </c>
    </row>
    <row r="3492" spans="1:5" x14ac:dyDescent="0.2">
      <c r="A3492" s="1" t="s">
        <v>1276</v>
      </c>
      <c r="B3492" s="1" t="s">
        <v>944</v>
      </c>
      <c r="C3492" s="5">
        <f>DATE(2025, 9, 30) + TIME(14, 8, 15)</f>
        <v>45930.589062500003</v>
      </c>
      <c r="D3492" s="1" t="s">
        <v>640</v>
      </c>
      <c r="E3492" s="1" t="s">
        <v>761</v>
      </c>
    </row>
    <row r="3493" spans="1:5" x14ac:dyDescent="0.2">
      <c r="A3493" s="1" t="s">
        <v>1276</v>
      </c>
      <c r="B3493" s="1" t="s">
        <v>664</v>
      </c>
      <c r="C3493" s="5">
        <f>DATE(2025, 9, 30) + TIME(12, 19, 3)</f>
        <v>45930.513229166667</v>
      </c>
      <c r="D3493" s="1" t="s">
        <v>566</v>
      </c>
      <c r="E3493" s="1" t="s">
        <v>924</v>
      </c>
    </row>
    <row r="3494" spans="1:5" x14ac:dyDescent="0.2">
      <c r="A3494" s="1" t="s">
        <v>1276</v>
      </c>
      <c r="B3494" s="1" t="s">
        <v>272</v>
      </c>
      <c r="C3494" s="5">
        <f>DATE(2025, 9, 29) + TIME(16, 48, 53)</f>
        <v>45929.700613425928</v>
      </c>
      <c r="D3494" s="1" t="s">
        <v>563</v>
      </c>
      <c r="E3494" s="1" t="s">
        <v>351</v>
      </c>
    </row>
    <row r="3495" spans="1:5" x14ac:dyDescent="0.2">
      <c r="A3495" s="1" t="s">
        <v>1276</v>
      </c>
      <c r="B3495" s="1" t="s">
        <v>29</v>
      </c>
      <c r="C3495" s="5">
        <f>DATE(2025, 9, 29) + TIME(15, 37, 19)</f>
        <v>45929.650914351849</v>
      </c>
      <c r="D3495" s="1" t="s">
        <v>65</v>
      </c>
      <c r="E3495" s="1" t="s">
        <v>404</v>
      </c>
    </row>
    <row r="3496" spans="1:5" x14ac:dyDescent="0.2">
      <c r="A3496" s="1" t="s">
        <v>1276</v>
      </c>
      <c r="B3496" s="1" t="s">
        <v>436</v>
      </c>
      <c r="C3496" s="5">
        <f>DATE(2025, 9, 29) + TIME(13, 27, 48)</f>
        <v>45929.560972222222</v>
      </c>
      <c r="D3496" s="1" t="s">
        <v>506</v>
      </c>
      <c r="E3496" s="1" t="s">
        <v>808</v>
      </c>
    </row>
    <row r="3497" spans="1:5" x14ac:dyDescent="0.2">
      <c r="A3497" s="1" t="s">
        <v>1276</v>
      </c>
      <c r="B3497" s="1" t="s">
        <v>496</v>
      </c>
      <c r="C3497" s="5">
        <f>DATE(2025, 9, 29) + TIME(12, 43, 12)</f>
        <v>45929.53</v>
      </c>
      <c r="D3497" s="1" t="s">
        <v>467</v>
      </c>
      <c r="E3497" s="1" t="s">
        <v>289</v>
      </c>
    </row>
    <row r="3498" spans="1:5" x14ac:dyDescent="0.2">
      <c r="A3498" s="1" t="s">
        <v>1276</v>
      </c>
      <c r="B3498" s="1" t="s">
        <v>664</v>
      </c>
      <c r="C3498" s="5">
        <f>DATE(2025, 9, 29) + TIME(12, 9, 43)</f>
        <v>45929.506747685184</v>
      </c>
      <c r="D3498" s="1" t="s">
        <v>3</v>
      </c>
      <c r="E3498" s="1" t="s">
        <v>934</v>
      </c>
    </row>
    <row r="3499" spans="1:5" x14ac:dyDescent="0.2">
      <c r="A3499" s="1" t="s">
        <v>1276</v>
      </c>
      <c r="B3499" s="1" t="s">
        <v>29</v>
      </c>
      <c r="C3499" s="5">
        <f>DATE(2025, 9, 29) + TIME(8, 40, 12)</f>
        <v>45929.361250000002</v>
      </c>
      <c r="D3499" s="1" t="s">
        <v>65</v>
      </c>
      <c r="E3499" s="1" t="s">
        <v>404</v>
      </c>
    </row>
    <row r="3500" spans="1:5" x14ac:dyDescent="0.2">
      <c r="A3500" s="1" t="s">
        <v>1276</v>
      </c>
      <c r="B3500" s="1" t="s">
        <v>63</v>
      </c>
      <c r="C3500" s="5">
        <f>DATE(2025, 9, 25) + TIME(15, 34, 26)</f>
        <v>45925.648912037039</v>
      </c>
      <c r="D3500" s="1" t="s">
        <v>506</v>
      </c>
      <c r="E3500" s="1" t="s">
        <v>867</v>
      </c>
    </row>
    <row r="3501" spans="1:5" x14ac:dyDescent="0.2">
      <c r="A3501" s="1" t="s">
        <v>1276</v>
      </c>
      <c r="B3501" s="1" t="s">
        <v>616</v>
      </c>
      <c r="C3501" s="5">
        <f>DATE(2025, 9, 25) + TIME(15, 2, 51)</f>
        <v>45925.626979166664</v>
      </c>
      <c r="D3501" s="1" t="s">
        <v>396</v>
      </c>
      <c r="E3501" s="1" t="s">
        <v>652</v>
      </c>
    </row>
    <row r="3502" spans="1:5" x14ac:dyDescent="0.2">
      <c r="A3502" s="1" t="s">
        <v>1276</v>
      </c>
      <c r="B3502" s="1" t="s">
        <v>192</v>
      </c>
      <c r="C3502" s="5">
        <f>DATE(2025, 9, 25) + TIME(15, 0, 50)</f>
        <v>45925.625578703701</v>
      </c>
      <c r="D3502" s="1" t="s">
        <v>754</v>
      </c>
      <c r="E3502" s="1" t="s">
        <v>282</v>
      </c>
    </row>
    <row r="3503" spans="1:5" x14ac:dyDescent="0.2">
      <c r="A3503" s="1" t="s">
        <v>1276</v>
      </c>
      <c r="B3503" s="1" t="s">
        <v>290</v>
      </c>
      <c r="C3503" s="5">
        <f>DATE(2025, 9, 25) + TIME(14, 21, 52)</f>
        <v>45925.59851851852</v>
      </c>
      <c r="D3503" s="1" t="s">
        <v>640</v>
      </c>
      <c r="E3503" s="1" t="s">
        <v>520</v>
      </c>
    </row>
    <row r="3504" spans="1:5" x14ac:dyDescent="0.2">
      <c r="A3504" s="1" t="s">
        <v>1276</v>
      </c>
      <c r="B3504" s="1" t="s">
        <v>84</v>
      </c>
      <c r="C3504" s="5">
        <f>DATE(2025, 9, 25) + TIME(13, 52, 4)</f>
        <v>45925.577824074076</v>
      </c>
      <c r="D3504" s="1" t="s">
        <v>640</v>
      </c>
      <c r="E3504" s="1" t="s">
        <v>32</v>
      </c>
    </row>
    <row r="3505" spans="1:5" x14ac:dyDescent="0.2">
      <c r="A3505" s="1" t="s">
        <v>1276</v>
      </c>
      <c r="B3505" s="1" t="s">
        <v>737</v>
      </c>
      <c r="C3505" s="5">
        <f>DATE(2025, 9, 25) + TIME(13, 23, 10)</f>
        <v>45925.557754629626</v>
      </c>
      <c r="D3505" s="1" t="s">
        <v>269</v>
      </c>
      <c r="E3505" s="1" t="s">
        <v>299</v>
      </c>
    </row>
    <row r="3506" spans="1:5" x14ac:dyDescent="0.2">
      <c r="A3506" s="1" t="s">
        <v>1276</v>
      </c>
      <c r="B3506" s="1" t="s">
        <v>682</v>
      </c>
      <c r="C3506" s="5">
        <f>DATE(2025, 9, 25) + TIME(11, 52, 41)</f>
        <v>45925.49491898148</v>
      </c>
      <c r="D3506" s="1" t="s">
        <v>640</v>
      </c>
      <c r="E3506" s="1" t="s">
        <v>520</v>
      </c>
    </row>
    <row r="3507" spans="1:5" x14ac:dyDescent="0.2">
      <c r="A3507" s="1" t="s">
        <v>1276</v>
      </c>
      <c r="B3507" s="1" t="s">
        <v>737</v>
      </c>
      <c r="C3507" s="5">
        <f>DATE(2025, 9, 25) + TIME(9, 24, 54)</f>
        <v>45925.392291666663</v>
      </c>
      <c r="D3507" s="1" t="s">
        <v>5</v>
      </c>
      <c r="E3507" s="1" t="s">
        <v>599</v>
      </c>
    </row>
    <row r="3508" spans="1:5" x14ac:dyDescent="0.2">
      <c r="A3508" s="1" t="s">
        <v>1276</v>
      </c>
      <c r="B3508" s="1" t="s">
        <v>664</v>
      </c>
      <c r="C3508" s="5">
        <f>DATE(2025, 9, 24) + TIME(16, 19, 2)</f>
        <v>45924.679884259262</v>
      </c>
      <c r="D3508" s="1" t="s">
        <v>356</v>
      </c>
      <c r="E3508" s="1" t="s">
        <v>418</v>
      </c>
    </row>
    <row r="3509" spans="1:5" x14ac:dyDescent="0.2">
      <c r="A3509" s="1" t="s">
        <v>1276</v>
      </c>
      <c r="B3509" s="1" t="s">
        <v>664</v>
      </c>
      <c r="C3509" s="5">
        <f>DATE(2025, 9, 24) + TIME(16, 16, 53)</f>
        <v>45924.678391203706</v>
      </c>
      <c r="D3509" s="1" t="s">
        <v>566</v>
      </c>
      <c r="E3509" s="1" t="s">
        <v>831</v>
      </c>
    </row>
    <row r="3510" spans="1:5" x14ac:dyDescent="0.2">
      <c r="A3510" s="1" t="s">
        <v>1276</v>
      </c>
      <c r="B3510" s="1" t="s">
        <v>959</v>
      </c>
      <c r="C3510" s="5">
        <f>DATE(2025, 9, 24) + TIME(15, 29, 43)</f>
        <v>45924.645636574074</v>
      </c>
      <c r="D3510" s="1" t="s">
        <v>566</v>
      </c>
      <c r="E3510" s="1" t="s">
        <v>888</v>
      </c>
    </row>
    <row r="3511" spans="1:5" x14ac:dyDescent="0.2">
      <c r="A3511" s="1" t="s">
        <v>1276</v>
      </c>
      <c r="B3511" s="1" t="s">
        <v>864</v>
      </c>
      <c r="C3511" s="5">
        <f>DATE(2025, 9, 24) + TIME(13, 35, 25)</f>
        <v>45924.566261574073</v>
      </c>
      <c r="D3511" s="1" t="s">
        <v>459</v>
      </c>
      <c r="E3511" s="1" t="s">
        <v>843</v>
      </c>
    </row>
    <row r="3512" spans="1:5" x14ac:dyDescent="0.2">
      <c r="A3512" s="1" t="s">
        <v>1276</v>
      </c>
      <c r="B3512" s="1" t="s">
        <v>193</v>
      </c>
      <c r="C3512" s="5">
        <f>DATE(2025, 9, 24) + TIME(13, 34, 26)</f>
        <v>45924.565578703703</v>
      </c>
      <c r="D3512" s="1" t="s">
        <v>459</v>
      </c>
      <c r="E3512" s="1" t="s">
        <v>836</v>
      </c>
    </row>
    <row r="3513" spans="1:5" x14ac:dyDescent="0.2">
      <c r="A3513" s="1" t="s">
        <v>1276</v>
      </c>
      <c r="B3513" s="1" t="s">
        <v>252</v>
      </c>
      <c r="C3513" s="5">
        <f>DATE(2025, 9, 24) + TIME(12, 44, 29)</f>
        <v>45924.530891203707</v>
      </c>
      <c r="D3513" s="1" t="s">
        <v>64</v>
      </c>
      <c r="E3513" s="1" t="s">
        <v>11</v>
      </c>
    </row>
    <row r="3514" spans="1:5" x14ac:dyDescent="0.2">
      <c r="A3514" s="1" t="s">
        <v>1276</v>
      </c>
      <c r="B3514" s="1" t="s">
        <v>373</v>
      </c>
      <c r="C3514" s="5">
        <f>DATE(2025, 9, 24) + TIME(12, 44, 29)</f>
        <v>45924.530891203707</v>
      </c>
      <c r="D3514" s="1" t="s">
        <v>64</v>
      </c>
      <c r="E3514" s="1" t="s">
        <v>439</v>
      </c>
    </row>
    <row r="3515" spans="1:5" x14ac:dyDescent="0.2">
      <c r="A3515" s="1" t="s">
        <v>1276</v>
      </c>
      <c r="B3515" s="1" t="s">
        <v>117</v>
      </c>
      <c r="C3515" s="5">
        <f>DATE(2025, 9, 24) + TIME(11, 48, 31)</f>
        <v>45924.492025462961</v>
      </c>
      <c r="D3515" s="1" t="s">
        <v>320</v>
      </c>
      <c r="E3515" s="1" t="s">
        <v>2</v>
      </c>
    </row>
    <row r="3516" spans="1:5" x14ac:dyDescent="0.2">
      <c r="A3516" s="1" t="s">
        <v>1276</v>
      </c>
      <c r="B3516" s="1" t="s">
        <v>84</v>
      </c>
      <c r="C3516" s="5">
        <f>DATE(2025, 9, 24) + TIME(11, 47, 36)</f>
        <v>45924.491388888891</v>
      </c>
      <c r="D3516" s="1" t="s">
        <v>64</v>
      </c>
      <c r="E3516" s="1" t="s">
        <v>873</v>
      </c>
    </row>
    <row r="3517" spans="1:5" x14ac:dyDescent="0.2">
      <c r="A3517" s="1" t="s">
        <v>1276</v>
      </c>
      <c r="B3517" s="1" t="s">
        <v>580</v>
      </c>
      <c r="C3517" s="5">
        <f>DATE(2025, 9, 24) + TIME(11, 30, 31)</f>
        <v>45924.479525462964</v>
      </c>
      <c r="D3517" s="1" t="s">
        <v>459</v>
      </c>
      <c r="E3517" s="1" t="s">
        <v>536</v>
      </c>
    </row>
    <row r="3518" spans="1:5" x14ac:dyDescent="0.2">
      <c r="A3518" s="1" t="s">
        <v>1276</v>
      </c>
      <c r="B3518" s="1" t="s">
        <v>664</v>
      </c>
      <c r="C3518" s="5">
        <f>DATE(2025, 9, 24) + TIME(11, 30, 31)</f>
        <v>45924.479525462964</v>
      </c>
      <c r="D3518" s="1" t="s">
        <v>459</v>
      </c>
      <c r="E3518" s="1" t="s">
        <v>222</v>
      </c>
    </row>
    <row r="3519" spans="1:5" x14ac:dyDescent="0.2">
      <c r="A3519" s="1" t="s">
        <v>1276</v>
      </c>
      <c r="B3519" s="1" t="s">
        <v>9</v>
      </c>
      <c r="C3519" s="5">
        <f>DATE(2025, 9, 24) + TIME(9, 28, 53)</f>
        <v>45924.395057870373</v>
      </c>
      <c r="D3519" s="1" t="s">
        <v>754</v>
      </c>
      <c r="E3519" s="1" t="s">
        <v>760</v>
      </c>
    </row>
    <row r="3520" spans="1:5" x14ac:dyDescent="0.2">
      <c r="A3520" s="1" t="s">
        <v>1276</v>
      </c>
      <c r="B3520" s="1" t="s">
        <v>866</v>
      </c>
      <c r="C3520" s="5">
        <f>DATE(2025, 9, 23) + TIME(14, 36, 9)</f>
        <v>45923.608437499999</v>
      </c>
      <c r="D3520" s="1" t="s">
        <v>148</v>
      </c>
      <c r="E3520" s="1" t="s">
        <v>361</v>
      </c>
    </row>
    <row r="3521" spans="1:5" x14ac:dyDescent="0.2">
      <c r="A3521" s="1" t="s">
        <v>1276</v>
      </c>
      <c r="B3521" s="1" t="s">
        <v>69</v>
      </c>
      <c r="C3521" s="5">
        <f>DATE(2025, 9, 23) + TIME(14, 33, 26)</f>
        <v>45923.606550925928</v>
      </c>
      <c r="D3521" s="1" t="s">
        <v>640</v>
      </c>
      <c r="E3521" s="1" t="s">
        <v>762</v>
      </c>
    </row>
    <row r="3522" spans="1:5" x14ac:dyDescent="0.2">
      <c r="A3522" s="1" t="s">
        <v>1276</v>
      </c>
      <c r="B3522" s="1" t="s">
        <v>98</v>
      </c>
      <c r="C3522" s="5">
        <f>DATE(2025, 9, 23) + TIME(14, 33, 25)</f>
        <v>45923.606539351851</v>
      </c>
      <c r="D3522" s="1" t="s">
        <v>640</v>
      </c>
      <c r="E3522" s="1" t="s">
        <v>761</v>
      </c>
    </row>
    <row r="3523" spans="1:5" x14ac:dyDescent="0.2">
      <c r="A3523" s="1" t="s">
        <v>1276</v>
      </c>
      <c r="B3523" s="1" t="s">
        <v>944</v>
      </c>
      <c r="C3523" s="5">
        <f>DATE(2025, 9, 23) + TIME(14, 4, 0)</f>
        <v>45923.586111111108</v>
      </c>
      <c r="D3523" s="1" t="s">
        <v>869</v>
      </c>
      <c r="E3523" s="1" t="s">
        <v>243</v>
      </c>
    </row>
    <row r="3524" spans="1:5" x14ac:dyDescent="0.2">
      <c r="A3524" s="1" t="s">
        <v>1276</v>
      </c>
      <c r="B3524" s="1" t="s">
        <v>666</v>
      </c>
      <c r="C3524" s="5">
        <f>DATE(2025, 9, 23) + TIME(10, 42, 28)</f>
        <v>45923.446157407408</v>
      </c>
      <c r="D3524" s="1" t="s">
        <v>467</v>
      </c>
      <c r="E3524" s="1" t="s">
        <v>143</v>
      </c>
    </row>
    <row r="3525" spans="1:5" x14ac:dyDescent="0.2">
      <c r="A3525" s="1" t="s">
        <v>1276</v>
      </c>
      <c r="B3525" s="1" t="s">
        <v>328</v>
      </c>
      <c r="C3525" s="5">
        <f>DATE(2025, 9, 23) + TIME(10, 42, 28)</f>
        <v>45923.446157407408</v>
      </c>
      <c r="D3525" s="1" t="s">
        <v>467</v>
      </c>
      <c r="E3525" s="1" t="s">
        <v>143</v>
      </c>
    </row>
    <row r="3526" spans="1:5" x14ac:dyDescent="0.2">
      <c r="A3526" s="1" t="s">
        <v>1276</v>
      </c>
      <c r="B3526" s="1" t="s">
        <v>664</v>
      </c>
      <c r="C3526" s="5">
        <f>DATE(2025, 9, 22) + TIME(14, 53, 8)</f>
        <v>45922.62023148148</v>
      </c>
      <c r="D3526" s="1" t="s">
        <v>3</v>
      </c>
      <c r="E3526" s="1" t="s">
        <v>307</v>
      </c>
    </row>
    <row r="3527" spans="1:5" x14ac:dyDescent="0.2">
      <c r="A3527" s="1" t="s">
        <v>1276</v>
      </c>
      <c r="B3527" s="1" t="s">
        <v>109</v>
      </c>
      <c r="C3527" s="5">
        <f>DATE(2025, 9, 22) + TIME(14, 26, 16)</f>
        <v>45922.601574074077</v>
      </c>
      <c r="D3527" s="1" t="s">
        <v>64</v>
      </c>
      <c r="E3527" s="1" t="s">
        <v>308</v>
      </c>
    </row>
    <row r="3528" spans="1:5" x14ac:dyDescent="0.2">
      <c r="A3528" s="1" t="s">
        <v>1276</v>
      </c>
      <c r="B3528" s="1" t="s">
        <v>118</v>
      </c>
      <c r="C3528" s="5">
        <f>DATE(2025, 9, 22) + TIME(13, 58, 2)</f>
        <v>45922.581967592596</v>
      </c>
      <c r="D3528" s="1" t="s">
        <v>3</v>
      </c>
      <c r="E3528" s="1" t="s">
        <v>934</v>
      </c>
    </row>
    <row r="3529" spans="1:5" x14ac:dyDescent="0.2">
      <c r="A3529" s="1" t="s">
        <v>1276</v>
      </c>
      <c r="B3529" s="1" t="s">
        <v>33</v>
      </c>
      <c r="C3529" s="5">
        <f>DATE(2025, 9, 22) + TIME(13, 32, 1)</f>
        <v>45922.563900462963</v>
      </c>
      <c r="D3529" s="1" t="s">
        <v>506</v>
      </c>
      <c r="E3529" s="1" t="s">
        <v>808</v>
      </c>
    </row>
    <row r="3530" spans="1:5" x14ac:dyDescent="0.2">
      <c r="A3530" s="1" t="s">
        <v>1276</v>
      </c>
      <c r="B3530" s="1" t="s">
        <v>309</v>
      </c>
      <c r="C3530" s="5">
        <f>DATE(2025, 9, 22) + TIME(13, 23, 25)</f>
        <v>45922.557928240742</v>
      </c>
      <c r="D3530" s="1" t="s">
        <v>754</v>
      </c>
      <c r="E3530" s="1" t="s">
        <v>75</v>
      </c>
    </row>
    <row r="3531" spans="1:5" x14ac:dyDescent="0.2">
      <c r="A3531" s="1" t="s">
        <v>1276</v>
      </c>
      <c r="B3531" s="1" t="s">
        <v>664</v>
      </c>
      <c r="C3531" s="5">
        <f>DATE(2025, 9, 22) + TIME(13, 23, 25)</f>
        <v>45922.557928240742</v>
      </c>
      <c r="D3531" s="1" t="s">
        <v>754</v>
      </c>
      <c r="E3531" s="1" t="s">
        <v>75</v>
      </c>
    </row>
    <row r="3532" spans="1:5" x14ac:dyDescent="0.2">
      <c r="A3532" s="1" t="s">
        <v>1276</v>
      </c>
      <c r="B3532" s="1" t="s">
        <v>408</v>
      </c>
      <c r="C3532" s="5">
        <f>DATE(2025, 9, 22) + TIME(11, 57, 23)</f>
        <v>45922.498182870368</v>
      </c>
      <c r="D3532" s="1" t="s">
        <v>754</v>
      </c>
      <c r="E3532" s="1" t="s">
        <v>330</v>
      </c>
    </row>
    <row r="3533" spans="1:5" x14ac:dyDescent="0.2">
      <c r="A3533" s="1" t="s">
        <v>1276</v>
      </c>
      <c r="B3533" s="1" t="s">
        <v>139</v>
      </c>
      <c r="C3533" s="5">
        <f>DATE(2025, 9, 22) + TIME(9, 39, 51)</f>
        <v>45922.402673611112</v>
      </c>
      <c r="D3533" s="1" t="s">
        <v>563</v>
      </c>
      <c r="E3533" s="1" t="s">
        <v>145</v>
      </c>
    </row>
    <row r="3534" spans="1:5" x14ac:dyDescent="0.2">
      <c r="A3534" s="1" t="s">
        <v>1276</v>
      </c>
      <c r="B3534" s="1" t="s">
        <v>790</v>
      </c>
      <c r="C3534" s="5">
        <f>DATE(2025, 9, 18) + TIME(15, 26, 33)</f>
        <v>45918.643437500003</v>
      </c>
      <c r="D3534" s="1" t="s">
        <v>638</v>
      </c>
      <c r="E3534" s="1" t="s">
        <v>85</v>
      </c>
    </row>
    <row r="3535" spans="1:5" x14ac:dyDescent="0.2">
      <c r="A3535" s="1" t="s">
        <v>1276</v>
      </c>
      <c r="B3535" s="1" t="s">
        <v>664</v>
      </c>
      <c r="C3535" s="5">
        <f>DATE(2025, 9, 18) + TIME(15, 1, 51)</f>
        <v>45918.626284722224</v>
      </c>
      <c r="D3535" s="1" t="s">
        <v>563</v>
      </c>
      <c r="E3535" s="1" t="s">
        <v>809</v>
      </c>
    </row>
    <row r="3536" spans="1:5" x14ac:dyDescent="0.2">
      <c r="A3536" s="1" t="s">
        <v>1276</v>
      </c>
      <c r="B3536" s="1" t="s">
        <v>737</v>
      </c>
      <c r="C3536" s="5">
        <f>DATE(2025, 9, 18) + TIME(14, 56, 52)</f>
        <v>45918.622824074075</v>
      </c>
      <c r="D3536" s="1" t="s">
        <v>566</v>
      </c>
      <c r="E3536" s="1" t="s">
        <v>324</v>
      </c>
    </row>
    <row r="3537" spans="1:5" x14ac:dyDescent="0.2">
      <c r="A3537" s="1" t="s">
        <v>1276</v>
      </c>
      <c r="B3537" s="1" t="s">
        <v>117</v>
      </c>
      <c r="C3537" s="5">
        <f>DATE(2025, 9, 18) + TIME(14, 56, 51)</f>
        <v>45918.622812499998</v>
      </c>
      <c r="D3537" s="1" t="s">
        <v>566</v>
      </c>
      <c r="E3537" s="1" t="s">
        <v>324</v>
      </c>
    </row>
    <row r="3538" spans="1:5" x14ac:dyDescent="0.2">
      <c r="A3538" s="1" t="s">
        <v>1276</v>
      </c>
      <c r="B3538" s="1" t="s">
        <v>436</v>
      </c>
      <c r="C3538" s="5">
        <f>DATE(2025, 9, 18) + TIME(13, 16, 42)</f>
        <v>45918.553263888891</v>
      </c>
      <c r="D3538" s="1" t="s">
        <v>3</v>
      </c>
      <c r="E3538" s="1" t="s">
        <v>211</v>
      </c>
    </row>
    <row r="3539" spans="1:5" x14ac:dyDescent="0.2">
      <c r="A3539" s="1" t="s">
        <v>1276</v>
      </c>
      <c r="B3539" s="1" t="s">
        <v>931</v>
      </c>
      <c r="C3539" s="5">
        <f>DATE(2025, 9, 18) + TIME(10, 11, 7)</f>
        <v>45918.424386574072</v>
      </c>
      <c r="D3539" s="1" t="s">
        <v>750</v>
      </c>
      <c r="E3539" s="1" t="s">
        <v>466</v>
      </c>
    </row>
    <row r="3540" spans="1:5" x14ac:dyDescent="0.2">
      <c r="A3540" s="1" t="s">
        <v>1276</v>
      </c>
      <c r="B3540" s="1" t="s">
        <v>29</v>
      </c>
      <c r="C3540" s="5">
        <f>DATE(2025, 9, 17) + TIME(15, 35, 55)</f>
        <v>45917.649942129632</v>
      </c>
      <c r="D3540" s="1" t="s">
        <v>506</v>
      </c>
      <c r="E3540" s="1" t="s">
        <v>867</v>
      </c>
    </row>
    <row r="3541" spans="1:5" x14ac:dyDescent="0.2">
      <c r="A3541" s="1" t="s">
        <v>1276</v>
      </c>
      <c r="B3541" s="1" t="s">
        <v>587</v>
      </c>
      <c r="C3541" s="5">
        <f>DATE(2025, 9, 17) + TIME(15, 34, 35)</f>
        <v>45917.649016203701</v>
      </c>
      <c r="D3541" s="1" t="s">
        <v>506</v>
      </c>
      <c r="E3541" s="1" t="s">
        <v>347</v>
      </c>
    </row>
    <row r="3542" spans="1:5" x14ac:dyDescent="0.2">
      <c r="A3542" s="1" t="s">
        <v>1276</v>
      </c>
      <c r="B3542" s="1" t="s">
        <v>959</v>
      </c>
      <c r="C3542" s="5">
        <f>DATE(2025, 9, 17) + TIME(15, 6, 28)</f>
        <v>45917.629490740743</v>
      </c>
      <c r="D3542" s="1" t="s">
        <v>65</v>
      </c>
      <c r="E3542" s="1" t="s">
        <v>918</v>
      </c>
    </row>
    <row r="3543" spans="1:5" x14ac:dyDescent="0.2">
      <c r="A3543" s="1" t="s">
        <v>1276</v>
      </c>
      <c r="B3543" s="1" t="s">
        <v>29</v>
      </c>
      <c r="C3543" s="5">
        <f>DATE(2025, 9, 17) + TIME(15, 6, 28)</f>
        <v>45917.629490740743</v>
      </c>
      <c r="D3543" s="1" t="s">
        <v>65</v>
      </c>
      <c r="E3543" s="1" t="s">
        <v>918</v>
      </c>
    </row>
    <row r="3544" spans="1:5" x14ac:dyDescent="0.2">
      <c r="A3544" s="1" t="s">
        <v>1276</v>
      </c>
      <c r="B3544" s="1" t="s">
        <v>786</v>
      </c>
      <c r="C3544" s="5">
        <f>DATE(2025, 9, 17) + TIME(13, 20, 58)</f>
        <v>45917.556226851855</v>
      </c>
      <c r="D3544" s="1" t="s">
        <v>638</v>
      </c>
      <c r="E3544" s="1" t="s">
        <v>119</v>
      </c>
    </row>
    <row r="3545" spans="1:5" x14ac:dyDescent="0.2">
      <c r="A3545" s="1" t="s">
        <v>1276</v>
      </c>
      <c r="B3545" s="1" t="s">
        <v>664</v>
      </c>
      <c r="C3545" s="5">
        <f>DATE(2025, 9, 17) + TIME(13, 20, 58)</f>
        <v>45917.556226851855</v>
      </c>
      <c r="D3545" s="1" t="s">
        <v>638</v>
      </c>
      <c r="E3545" s="1" t="s">
        <v>119</v>
      </c>
    </row>
    <row r="3546" spans="1:5" x14ac:dyDescent="0.2">
      <c r="A3546" s="1" t="s">
        <v>1276</v>
      </c>
      <c r="B3546" s="1" t="s">
        <v>664</v>
      </c>
      <c r="C3546" s="5">
        <f>DATE(2025, 9, 17) + TIME(13, 19, 31)</f>
        <v>45917.555219907408</v>
      </c>
      <c r="D3546" s="1" t="s">
        <v>64</v>
      </c>
      <c r="E3546" s="1" t="s">
        <v>403</v>
      </c>
    </row>
    <row r="3547" spans="1:5" x14ac:dyDescent="0.2">
      <c r="A3547" s="1" t="s">
        <v>1276</v>
      </c>
      <c r="B3547" s="1" t="s">
        <v>310</v>
      </c>
      <c r="C3547" s="5">
        <f>DATE(2025, 9, 17) + TIME(13, 13, 27)</f>
        <v>45917.551006944443</v>
      </c>
      <c r="D3547" s="1" t="s">
        <v>64</v>
      </c>
      <c r="E3547" s="1" t="s">
        <v>873</v>
      </c>
    </row>
    <row r="3548" spans="1:5" x14ac:dyDescent="0.2">
      <c r="A3548" s="1" t="s">
        <v>1276</v>
      </c>
      <c r="B3548" s="1" t="s">
        <v>617</v>
      </c>
      <c r="C3548" s="5">
        <f>DATE(2025, 9, 17) + TIME(12, 30, 17)</f>
        <v>45917.52103009259</v>
      </c>
      <c r="D3548" s="1" t="s">
        <v>459</v>
      </c>
      <c r="E3548" s="1" t="s">
        <v>836</v>
      </c>
    </row>
    <row r="3549" spans="1:5" x14ac:dyDescent="0.2">
      <c r="A3549" s="1" t="s">
        <v>1276</v>
      </c>
      <c r="B3549" s="1" t="s">
        <v>959</v>
      </c>
      <c r="C3549" s="5">
        <f>DATE(2025, 9, 17) + TIME(11, 58, 23)</f>
        <v>45917.498877314814</v>
      </c>
      <c r="D3549" s="1" t="s">
        <v>356</v>
      </c>
      <c r="E3549" s="1" t="s">
        <v>462</v>
      </c>
    </row>
    <row r="3550" spans="1:5" x14ac:dyDescent="0.2">
      <c r="A3550" s="1" t="s">
        <v>1276</v>
      </c>
      <c r="B3550" s="1" t="s">
        <v>322</v>
      </c>
      <c r="C3550" s="5">
        <f>DATE(2025, 9, 17) + TIME(11, 58, 23)</f>
        <v>45917.498877314814</v>
      </c>
      <c r="D3550" s="1" t="s">
        <v>356</v>
      </c>
      <c r="E3550" s="1" t="s">
        <v>462</v>
      </c>
    </row>
    <row r="3551" spans="1:5" x14ac:dyDescent="0.2">
      <c r="A3551" s="1" t="s">
        <v>1276</v>
      </c>
      <c r="B3551" s="1" t="s">
        <v>944</v>
      </c>
      <c r="C3551" s="5">
        <f>DATE(2025, 9, 16) + TIME(16, 16, 17)</f>
        <v>45916.677974537037</v>
      </c>
      <c r="D3551" s="1" t="s">
        <v>64</v>
      </c>
      <c r="E3551" s="1" t="s">
        <v>253</v>
      </c>
    </row>
    <row r="3552" spans="1:5" x14ac:dyDescent="0.2">
      <c r="A3552" s="1" t="s">
        <v>1276</v>
      </c>
      <c r="B3552" s="1" t="s">
        <v>664</v>
      </c>
      <c r="C3552" s="5">
        <f>DATE(2025, 9, 16) + TIME(16, 5, 46)</f>
        <v>45916.670671296299</v>
      </c>
      <c r="D3552" s="1" t="s">
        <v>506</v>
      </c>
      <c r="E3552" s="1" t="s">
        <v>823</v>
      </c>
    </row>
    <row r="3553" spans="1:5" ht="16" x14ac:dyDescent="0.2">
      <c r="A3553" s="1" t="s">
        <v>1276</v>
      </c>
      <c r="B3553" s="1" t="s">
        <v>254</v>
      </c>
      <c r="C3553" s="5">
        <f>DATE(2025, 9, 16) + TIME(15, 39, 21)</f>
        <v>45916.652326388888</v>
      </c>
      <c r="D3553" s="1" t="s">
        <v>754</v>
      </c>
      <c r="E3553" s="2" t="s">
        <v>87</v>
      </c>
    </row>
    <row r="3554" spans="1:5" x14ac:dyDescent="0.2">
      <c r="A3554" s="1" t="s">
        <v>1276</v>
      </c>
      <c r="B3554" s="1" t="s">
        <v>664</v>
      </c>
      <c r="C3554" s="5">
        <f>DATE(2025, 9, 16) + TIME(15, 28, 53)</f>
        <v>45916.645057870373</v>
      </c>
      <c r="D3554" s="1" t="s">
        <v>467</v>
      </c>
      <c r="E3554" s="1" t="s">
        <v>775</v>
      </c>
    </row>
    <row r="3555" spans="1:5" x14ac:dyDescent="0.2">
      <c r="A3555" s="1" t="s">
        <v>1276</v>
      </c>
      <c r="B3555" s="1" t="s">
        <v>69</v>
      </c>
      <c r="C3555" s="5">
        <f>DATE(2025, 9, 16) + TIME(12, 10, 22)</f>
        <v>45916.507199074076</v>
      </c>
      <c r="D3555" s="1" t="s">
        <v>65</v>
      </c>
      <c r="E3555" s="1" t="s">
        <v>400</v>
      </c>
    </row>
    <row r="3556" spans="1:5" x14ac:dyDescent="0.2">
      <c r="A3556" s="1" t="s">
        <v>1276</v>
      </c>
      <c r="B3556" s="1" t="s">
        <v>932</v>
      </c>
      <c r="C3556" s="5">
        <f>DATE(2025, 9, 16) + TIME(11, 25, 25)</f>
        <v>45916.475983796299</v>
      </c>
      <c r="D3556" s="1" t="s">
        <v>921</v>
      </c>
      <c r="E3556" s="1" t="s">
        <v>292</v>
      </c>
    </row>
    <row r="3557" spans="1:5" x14ac:dyDescent="0.2">
      <c r="A3557" s="1" t="s">
        <v>1276</v>
      </c>
      <c r="B3557" s="1" t="s">
        <v>72</v>
      </c>
      <c r="C3557" s="5">
        <f>DATE(2025, 9, 16) + TIME(10, 57, 13)</f>
        <v>45916.456400462965</v>
      </c>
      <c r="D3557" s="1" t="s">
        <v>869</v>
      </c>
      <c r="E3557" s="1" t="s">
        <v>830</v>
      </c>
    </row>
    <row r="3558" spans="1:5" x14ac:dyDescent="0.2">
      <c r="A3558" s="1" t="s">
        <v>1276</v>
      </c>
      <c r="B3558" s="1" t="s">
        <v>664</v>
      </c>
      <c r="C3558" s="5">
        <f>DATE(2025, 9, 15) + TIME(14, 46, 43)</f>
        <v>45915.61577546296</v>
      </c>
      <c r="D3558" s="1" t="s">
        <v>640</v>
      </c>
      <c r="E3558" s="1" t="s">
        <v>520</v>
      </c>
    </row>
    <row r="3559" spans="1:5" x14ac:dyDescent="0.2">
      <c r="A3559" s="1" t="s">
        <v>1276</v>
      </c>
      <c r="B3559" s="1" t="s">
        <v>730</v>
      </c>
      <c r="C3559" s="5">
        <f>DATE(2025, 9, 15) + TIME(14, 11, 29)</f>
        <v>45915.591307870367</v>
      </c>
      <c r="D3559" s="1" t="s">
        <v>754</v>
      </c>
      <c r="E3559" s="1" t="s">
        <v>870</v>
      </c>
    </row>
    <row r="3560" spans="1:5" x14ac:dyDescent="0.2">
      <c r="A3560" s="1" t="s">
        <v>1276</v>
      </c>
      <c r="B3560" s="1" t="s">
        <v>290</v>
      </c>
      <c r="C3560" s="5">
        <f>DATE(2025, 9, 15) + TIME(13, 51, 47)</f>
        <v>45915.577627314815</v>
      </c>
      <c r="D3560" s="1" t="s">
        <v>640</v>
      </c>
      <c r="E3560" s="1" t="s">
        <v>762</v>
      </c>
    </row>
    <row r="3561" spans="1:5" x14ac:dyDescent="0.2">
      <c r="A3561" s="1" t="s">
        <v>1276</v>
      </c>
      <c r="B3561" s="1" t="s">
        <v>664</v>
      </c>
      <c r="C3561" s="5">
        <f>DATE(2025, 9, 15) + TIME(13, 51, 47)</f>
        <v>45915.577627314815</v>
      </c>
      <c r="D3561" s="1" t="s">
        <v>640</v>
      </c>
      <c r="E3561" s="1" t="s">
        <v>762</v>
      </c>
    </row>
    <row r="3562" spans="1:5" x14ac:dyDescent="0.2">
      <c r="A3562" s="1" t="s">
        <v>1276</v>
      </c>
      <c r="B3562" s="1" t="s">
        <v>790</v>
      </c>
      <c r="C3562" s="5">
        <f>DATE(2025, 9, 15) + TIME(13, 51, 47)</f>
        <v>45915.577627314815</v>
      </c>
      <c r="D3562" s="1" t="s">
        <v>640</v>
      </c>
      <c r="E3562" s="1" t="s">
        <v>762</v>
      </c>
    </row>
    <row r="3563" spans="1:5" x14ac:dyDescent="0.2">
      <c r="A3563" s="1" t="s">
        <v>1276</v>
      </c>
      <c r="B3563" s="1" t="s">
        <v>730</v>
      </c>
      <c r="C3563" s="5">
        <f>DATE(2025, 9, 15) + TIME(13, 51, 47)</f>
        <v>45915.577627314815</v>
      </c>
      <c r="D3563" s="1" t="s">
        <v>640</v>
      </c>
      <c r="E3563" s="1" t="s">
        <v>762</v>
      </c>
    </row>
    <row r="3564" spans="1:5" x14ac:dyDescent="0.2">
      <c r="A3564" s="1" t="s">
        <v>1276</v>
      </c>
      <c r="B3564" s="1" t="s">
        <v>22</v>
      </c>
      <c r="C3564" s="5">
        <f>DATE(2025, 9, 15) + TIME(13, 34, 34)</f>
        <v>45915.565671296295</v>
      </c>
      <c r="D3564" s="1" t="s">
        <v>269</v>
      </c>
      <c r="E3564" s="1" t="s">
        <v>273</v>
      </c>
    </row>
    <row r="3565" spans="1:5" x14ac:dyDescent="0.2">
      <c r="A3565" s="1" t="s">
        <v>1276</v>
      </c>
      <c r="B3565" s="1" t="s">
        <v>790</v>
      </c>
      <c r="C3565" s="5">
        <f>DATE(2025, 9, 15) + TIME(13, 17, 49)</f>
        <v>45915.554039351853</v>
      </c>
      <c r="D3565" s="1" t="s">
        <v>863</v>
      </c>
      <c r="E3565" s="1" t="s">
        <v>844</v>
      </c>
    </row>
    <row r="3566" spans="1:5" x14ac:dyDescent="0.2">
      <c r="A3566" s="1" t="s">
        <v>1276</v>
      </c>
      <c r="B3566" s="1" t="s">
        <v>440</v>
      </c>
      <c r="C3566" s="5">
        <f>DATE(2025, 9, 15) + TIME(11, 59, 17)</f>
        <v>45915.499502314815</v>
      </c>
      <c r="D3566" s="1" t="s">
        <v>269</v>
      </c>
      <c r="E3566" s="1" t="s">
        <v>299</v>
      </c>
    </row>
    <row r="3567" spans="1:5" x14ac:dyDescent="0.2">
      <c r="A3567" s="1" t="s">
        <v>1276</v>
      </c>
      <c r="B3567" s="1" t="s">
        <v>664</v>
      </c>
      <c r="C3567" s="5">
        <f>DATE(2025, 9, 15) + TIME(11, 15, 29)</f>
        <v>45915.469085648147</v>
      </c>
      <c r="D3567" s="1" t="s">
        <v>640</v>
      </c>
      <c r="E3567" s="1" t="s">
        <v>608</v>
      </c>
    </row>
    <row r="3568" spans="1:5" x14ac:dyDescent="0.2">
      <c r="A3568" s="1" t="s">
        <v>1276</v>
      </c>
      <c r="B3568" s="1" t="s">
        <v>664</v>
      </c>
      <c r="C3568" s="5">
        <f>DATE(2025, 9, 11) + TIME(15, 45, 22)</f>
        <v>45911.656504629631</v>
      </c>
      <c r="D3568" s="1" t="s">
        <v>5</v>
      </c>
      <c r="E3568" s="1" t="s">
        <v>304</v>
      </c>
    </row>
    <row r="3569" spans="1:5" x14ac:dyDescent="0.2">
      <c r="A3569" s="1" t="s">
        <v>1276</v>
      </c>
      <c r="B3569" s="1" t="s">
        <v>305</v>
      </c>
      <c r="C3569" s="5">
        <f>DATE(2025, 9, 10) + TIME(16, 37, 56)</f>
        <v>45910.693009259259</v>
      </c>
      <c r="D3569" s="1" t="s">
        <v>320</v>
      </c>
      <c r="E3569" s="1" t="s">
        <v>845</v>
      </c>
    </row>
    <row r="3570" spans="1:5" x14ac:dyDescent="0.2">
      <c r="A3570" s="1" t="s">
        <v>1276</v>
      </c>
      <c r="B3570" s="1" t="s">
        <v>305</v>
      </c>
      <c r="C3570" s="5">
        <f>DATE(2025, 9, 10) + TIME(15, 55, 54)</f>
        <v>45910.663819444446</v>
      </c>
      <c r="D3570" s="1" t="s">
        <v>506</v>
      </c>
      <c r="E3570" s="1" t="s">
        <v>867</v>
      </c>
    </row>
    <row r="3571" spans="1:5" x14ac:dyDescent="0.2">
      <c r="A3571" s="1" t="s">
        <v>1276</v>
      </c>
      <c r="B3571" s="1" t="s">
        <v>69</v>
      </c>
      <c r="C3571" s="5">
        <f>DATE(2025, 9, 10) + TIME(15, 54, 34)</f>
        <v>45910.662893518522</v>
      </c>
      <c r="D3571" s="1" t="s">
        <v>506</v>
      </c>
      <c r="E3571" s="1" t="s">
        <v>82</v>
      </c>
    </row>
    <row r="3572" spans="1:5" x14ac:dyDescent="0.2">
      <c r="A3572" s="1" t="s">
        <v>1276</v>
      </c>
      <c r="B3572" s="1" t="s">
        <v>959</v>
      </c>
      <c r="C3572" s="5">
        <f>DATE(2025, 9, 10) + TIME(15, 54, 34)</f>
        <v>45910.662893518522</v>
      </c>
      <c r="D3572" s="1" t="s">
        <v>506</v>
      </c>
      <c r="E3572" s="1" t="s">
        <v>867</v>
      </c>
    </row>
    <row r="3573" spans="1:5" x14ac:dyDescent="0.2">
      <c r="A3573" s="1" t="s">
        <v>1276</v>
      </c>
      <c r="B3573" s="1" t="s">
        <v>664</v>
      </c>
      <c r="C3573" s="5">
        <f>DATE(2025, 9, 10) + TIME(15, 54, 33)</f>
        <v>45910.662881944445</v>
      </c>
      <c r="D3573" s="1" t="s">
        <v>506</v>
      </c>
      <c r="E3573" s="1" t="s">
        <v>82</v>
      </c>
    </row>
    <row r="3574" spans="1:5" x14ac:dyDescent="0.2">
      <c r="A3574" s="1" t="s">
        <v>1276</v>
      </c>
      <c r="B3574" s="1" t="s">
        <v>496</v>
      </c>
      <c r="C3574" s="5">
        <f>DATE(2025, 9, 10) + TIME(15, 54, 33)</f>
        <v>45910.662881944445</v>
      </c>
      <c r="D3574" s="1" t="s">
        <v>506</v>
      </c>
      <c r="E3574" s="1" t="s">
        <v>82</v>
      </c>
    </row>
    <row r="3575" spans="1:5" x14ac:dyDescent="0.2">
      <c r="A3575" s="1" t="s">
        <v>1276</v>
      </c>
      <c r="B3575" s="1" t="s">
        <v>651</v>
      </c>
      <c r="C3575" s="5">
        <f>DATE(2025, 9, 10) + TIME(15, 54, 33)</f>
        <v>45910.662881944445</v>
      </c>
      <c r="D3575" s="1" t="s">
        <v>506</v>
      </c>
      <c r="E3575" s="1" t="s">
        <v>82</v>
      </c>
    </row>
    <row r="3576" spans="1:5" x14ac:dyDescent="0.2">
      <c r="A3576" s="1" t="s">
        <v>1276</v>
      </c>
      <c r="B3576" s="1" t="s">
        <v>153</v>
      </c>
      <c r="C3576" s="5">
        <f>DATE(2025, 9, 10) + TIME(15, 54, 33)</f>
        <v>45910.662881944445</v>
      </c>
      <c r="D3576" s="1" t="s">
        <v>506</v>
      </c>
      <c r="E3576" s="1" t="s">
        <v>82</v>
      </c>
    </row>
    <row r="3577" spans="1:5" x14ac:dyDescent="0.2">
      <c r="A3577" s="1" t="s">
        <v>1276</v>
      </c>
      <c r="B3577" s="1" t="s">
        <v>60</v>
      </c>
      <c r="C3577" s="5">
        <f>DATE(2025, 9, 10) + TIME(15, 54, 33)</f>
        <v>45910.662881944445</v>
      </c>
      <c r="D3577" s="1" t="s">
        <v>506</v>
      </c>
      <c r="E3577" s="1" t="s">
        <v>82</v>
      </c>
    </row>
    <row r="3578" spans="1:5" x14ac:dyDescent="0.2">
      <c r="A3578" s="1" t="s">
        <v>1276</v>
      </c>
      <c r="B3578" s="1" t="s">
        <v>664</v>
      </c>
      <c r="C3578" s="5">
        <f>DATE(2025, 9, 10) + TIME(15, 51, 22)</f>
        <v>45910.660671296297</v>
      </c>
      <c r="D3578" s="1" t="s">
        <v>320</v>
      </c>
      <c r="E3578" s="1" t="s">
        <v>46</v>
      </c>
    </row>
    <row r="3579" spans="1:5" x14ac:dyDescent="0.2">
      <c r="A3579" s="1" t="s">
        <v>1276</v>
      </c>
      <c r="B3579" s="1" t="s">
        <v>300</v>
      </c>
      <c r="C3579" s="5">
        <f>DATE(2025, 9, 10) + TIME(15, 42, 47)</f>
        <v>45910.654710648145</v>
      </c>
      <c r="D3579" s="1" t="s">
        <v>566</v>
      </c>
      <c r="E3579" s="1" t="s">
        <v>324</v>
      </c>
    </row>
    <row r="3580" spans="1:5" x14ac:dyDescent="0.2">
      <c r="A3580" s="1" t="s">
        <v>1276</v>
      </c>
      <c r="B3580" s="1" t="s">
        <v>376</v>
      </c>
      <c r="C3580" s="5">
        <f>DATE(2025, 9, 10) + TIME(15, 42, 47)</f>
        <v>45910.654710648145</v>
      </c>
      <c r="D3580" s="1" t="s">
        <v>566</v>
      </c>
      <c r="E3580" s="1" t="s">
        <v>324</v>
      </c>
    </row>
    <row r="3581" spans="1:5" x14ac:dyDescent="0.2">
      <c r="A3581" s="1" t="s">
        <v>1276</v>
      </c>
      <c r="B3581" s="1" t="s">
        <v>898</v>
      </c>
      <c r="C3581" s="5">
        <f>DATE(2025, 9, 10) + TIME(15, 42, 47)</f>
        <v>45910.654710648145</v>
      </c>
      <c r="D3581" s="1" t="s">
        <v>566</v>
      </c>
      <c r="E3581" s="1" t="s">
        <v>324</v>
      </c>
    </row>
    <row r="3582" spans="1:5" x14ac:dyDescent="0.2">
      <c r="A3582" s="1" t="s">
        <v>1276</v>
      </c>
      <c r="B3582" s="1" t="s">
        <v>664</v>
      </c>
      <c r="C3582" s="5">
        <f>DATE(2025, 9, 10) + TIME(15, 38, 28)</f>
        <v>45910.651712962965</v>
      </c>
      <c r="D3582" s="1" t="s">
        <v>148</v>
      </c>
      <c r="E3582" s="1" t="s">
        <v>618</v>
      </c>
    </row>
    <row r="3583" spans="1:5" x14ac:dyDescent="0.2">
      <c r="A3583" s="1" t="s">
        <v>1276</v>
      </c>
      <c r="B3583" s="1" t="s">
        <v>656</v>
      </c>
      <c r="C3583" s="5">
        <f>DATE(2025, 9, 10) + TIME(14, 40, 20)</f>
        <v>45910.611342592594</v>
      </c>
      <c r="D3583" s="1" t="s">
        <v>566</v>
      </c>
      <c r="E3583" s="1" t="s">
        <v>888</v>
      </c>
    </row>
    <row r="3584" spans="1:5" x14ac:dyDescent="0.2">
      <c r="A3584" s="1" t="s">
        <v>1276</v>
      </c>
      <c r="B3584" s="1" t="s">
        <v>737</v>
      </c>
      <c r="C3584" s="5">
        <f>DATE(2025, 9, 10) + TIME(14, 40, 20)</f>
        <v>45910.611342592594</v>
      </c>
      <c r="D3584" s="1" t="s">
        <v>566</v>
      </c>
      <c r="E3584" s="1" t="s">
        <v>888</v>
      </c>
    </row>
    <row r="3585" spans="1:5" x14ac:dyDescent="0.2">
      <c r="A3585" s="1" t="s">
        <v>1276</v>
      </c>
      <c r="B3585" s="1" t="s">
        <v>617</v>
      </c>
      <c r="C3585" s="5">
        <f>DATE(2025, 9, 10) + TIME(14, 30, 28)</f>
        <v>45910.604490740741</v>
      </c>
      <c r="D3585" s="1" t="s">
        <v>863</v>
      </c>
      <c r="E3585" s="1" t="s">
        <v>844</v>
      </c>
    </row>
    <row r="3586" spans="1:5" x14ac:dyDescent="0.2">
      <c r="A3586" s="1" t="s">
        <v>1276</v>
      </c>
      <c r="B3586" s="1" t="s">
        <v>664</v>
      </c>
      <c r="C3586" s="5">
        <f>DATE(2025, 9, 10) + TIME(14, 0, 0)</f>
        <v>45910.583333333336</v>
      </c>
      <c r="D3586" s="1" t="s">
        <v>5</v>
      </c>
      <c r="E3586" s="1" t="s">
        <v>568</v>
      </c>
    </row>
    <row r="3587" spans="1:5" x14ac:dyDescent="0.2">
      <c r="A3587" s="1" t="s">
        <v>1276</v>
      </c>
      <c r="B3587" s="1" t="s">
        <v>300</v>
      </c>
      <c r="C3587" s="5">
        <f>DATE(2025, 9, 10) + TIME(13, 38, 15)</f>
        <v>45910.568229166667</v>
      </c>
      <c r="D3587" s="1" t="s">
        <v>506</v>
      </c>
      <c r="E3587" s="1" t="s">
        <v>510</v>
      </c>
    </row>
    <row r="3588" spans="1:5" x14ac:dyDescent="0.2">
      <c r="A3588" s="1" t="s">
        <v>1276</v>
      </c>
      <c r="B3588" s="1" t="s">
        <v>899</v>
      </c>
      <c r="C3588" s="5">
        <f>DATE(2025, 9, 10) + TIME(13, 1, 30)</f>
        <v>45910.542708333334</v>
      </c>
      <c r="D3588" s="1" t="s">
        <v>320</v>
      </c>
      <c r="E3588" s="1" t="s">
        <v>2</v>
      </c>
    </row>
    <row r="3589" spans="1:5" x14ac:dyDescent="0.2">
      <c r="A3589" s="1" t="s">
        <v>1276</v>
      </c>
      <c r="B3589" s="1" t="s">
        <v>664</v>
      </c>
      <c r="C3589" s="5">
        <f>DATE(2025, 9, 10) + TIME(12, 0, 16)</f>
        <v>45910.500185185185</v>
      </c>
      <c r="D3589" s="1" t="s">
        <v>320</v>
      </c>
      <c r="E3589" s="1" t="s">
        <v>698</v>
      </c>
    </row>
    <row r="3590" spans="1:5" x14ac:dyDescent="0.2">
      <c r="A3590" s="1" t="s">
        <v>1276</v>
      </c>
      <c r="B3590" s="1" t="s">
        <v>664</v>
      </c>
      <c r="C3590" s="5">
        <f>DATE(2025, 9, 10) + TIME(11, 28, 3)</f>
        <v>45910.477812500001</v>
      </c>
      <c r="D3590" s="1" t="s">
        <v>506</v>
      </c>
      <c r="E3590" s="1" t="s">
        <v>6</v>
      </c>
    </row>
    <row r="3591" spans="1:5" x14ac:dyDescent="0.2">
      <c r="A3591" s="1" t="s">
        <v>1276</v>
      </c>
      <c r="B3591" s="1" t="s">
        <v>765</v>
      </c>
      <c r="C3591" s="5">
        <f>DATE(2025, 9, 10) + TIME(9, 38, 50)</f>
        <v>45910.401967592596</v>
      </c>
      <c r="D3591" s="1" t="s">
        <v>459</v>
      </c>
      <c r="E3591" s="1" t="s">
        <v>773</v>
      </c>
    </row>
    <row r="3592" spans="1:5" x14ac:dyDescent="0.2">
      <c r="A3592" s="1" t="s">
        <v>1276</v>
      </c>
      <c r="B3592" s="1" t="s">
        <v>790</v>
      </c>
      <c r="C3592" s="5">
        <f>DATE(2025, 9, 10) + TIME(9, 38, 50)</f>
        <v>45910.401967592596</v>
      </c>
      <c r="D3592" s="1" t="s">
        <v>459</v>
      </c>
      <c r="E3592" s="1" t="s">
        <v>773</v>
      </c>
    </row>
    <row r="3593" spans="1:5" x14ac:dyDescent="0.2">
      <c r="A3593" s="1" t="s">
        <v>1276</v>
      </c>
      <c r="B3593" s="1" t="s">
        <v>730</v>
      </c>
      <c r="C3593" s="5">
        <f>DATE(2025, 9, 9) + TIME(15, 5, 41)</f>
        <v>45909.628946759258</v>
      </c>
      <c r="D3593" s="1" t="s">
        <v>900</v>
      </c>
      <c r="E3593" s="1" t="s">
        <v>873</v>
      </c>
    </row>
    <row r="3594" spans="1:5" x14ac:dyDescent="0.2">
      <c r="A3594" s="1" t="s">
        <v>1276</v>
      </c>
      <c r="B3594" s="1" t="s">
        <v>109</v>
      </c>
      <c r="C3594" s="5">
        <f>DATE(2025, 9, 9) + TIME(15, 5, 41)</f>
        <v>45909.628946759258</v>
      </c>
      <c r="D3594" s="1" t="s">
        <v>900</v>
      </c>
      <c r="E3594" s="1" t="s">
        <v>873</v>
      </c>
    </row>
    <row r="3595" spans="1:5" x14ac:dyDescent="0.2">
      <c r="A3595" s="1" t="s">
        <v>1276</v>
      </c>
      <c r="B3595" s="1" t="s">
        <v>931</v>
      </c>
      <c r="C3595" s="5">
        <f>DATE(2025, 9, 9) + TIME(14, 56, 34)</f>
        <v>45909.622615740744</v>
      </c>
      <c r="D3595" s="1" t="s">
        <v>216</v>
      </c>
      <c r="E3595" s="1" t="s">
        <v>466</v>
      </c>
    </row>
    <row r="3596" spans="1:5" x14ac:dyDescent="0.2">
      <c r="A3596" s="1" t="s">
        <v>1276</v>
      </c>
      <c r="B3596" s="1" t="s">
        <v>664</v>
      </c>
      <c r="C3596" s="5">
        <f>DATE(2025, 9, 9) + TIME(14, 20, 14)</f>
        <v>45909.597384259258</v>
      </c>
      <c r="D3596" s="1" t="s">
        <v>216</v>
      </c>
      <c r="E3596" s="1" t="s">
        <v>519</v>
      </c>
    </row>
    <row r="3597" spans="1:5" x14ac:dyDescent="0.2">
      <c r="A3597" s="1" t="s">
        <v>1276</v>
      </c>
      <c r="B3597" s="1" t="s">
        <v>664</v>
      </c>
      <c r="C3597" s="5">
        <f>DATE(2025, 9, 9) + TIME(13, 48, 50)</f>
        <v>45909.575578703705</v>
      </c>
      <c r="D3597" s="1" t="s">
        <v>341</v>
      </c>
      <c r="E3597" s="1" t="s">
        <v>292</v>
      </c>
    </row>
    <row r="3598" spans="1:5" x14ac:dyDescent="0.2">
      <c r="A3598" s="1" t="s">
        <v>1276</v>
      </c>
      <c r="B3598" s="1" t="s">
        <v>664</v>
      </c>
      <c r="C3598" s="5">
        <f>DATE(2025, 9, 9) + TIME(12, 46, 1)</f>
        <v>45909.531956018516</v>
      </c>
      <c r="D3598" s="1" t="s">
        <v>65</v>
      </c>
      <c r="E3598" s="1" t="s">
        <v>918</v>
      </c>
    </row>
    <row r="3599" spans="1:5" x14ac:dyDescent="0.2">
      <c r="A3599" s="1" t="s">
        <v>1276</v>
      </c>
      <c r="B3599" s="1" t="s">
        <v>60</v>
      </c>
      <c r="C3599" s="5">
        <f>DATE(2025, 9, 9) + TIME(11, 32, 29)</f>
        <v>45909.480891203704</v>
      </c>
      <c r="D3599" s="1" t="s">
        <v>506</v>
      </c>
      <c r="E3599" s="1" t="s">
        <v>712</v>
      </c>
    </row>
    <row r="3600" spans="1:5" x14ac:dyDescent="0.2">
      <c r="A3600" s="1" t="s">
        <v>1276</v>
      </c>
      <c r="B3600" s="1" t="s">
        <v>664</v>
      </c>
      <c r="C3600" s="5">
        <f>DATE(2025, 9, 8) + TIME(15, 24, 17)</f>
        <v>45908.641863425924</v>
      </c>
      <c r="D3600" s="1" t="s">
        <v>638</v>
      </c>
      <c r="E3600" s="1" t="s">
        <v>188</v>
      </c>
    </row>
    <row r="3601" spans="1:5" x14ac:dyDescent="0.2">
      <c r="A3601" s="1" t="s">
        <v>1276</v>
      </c>
      <c r="B3601" s="1" t="s">
        <v>150</v>
      </c>
      <c r="C3601" s="5">
        <f>DATE(2025, 9, 8) + TIME(13, 59, 28)</f>
        <v>45908.582962962966</v>
      </c>
      <c r="D3601" s="1" t="s">
        <v>754</v>
      </c>
      <c r="E3601" s="1" t="s">
        <v>441</v>
      </c>
    </row>
    <row r="3602" spans="1:5" x14ac:dyDescent="0.2">
      <c r="A3602" s="1" t="s">
        <v>1276</v>
      </c>
      <c r="B3602" s="1" t="s">
        <v>440</v>
      </c>
      <c r="C3602" s="5">
        <f>DATE(2025, 9, 8) + TIME(13, 56, 28)</f>
        <v>45908.580879629626</v>
      </c>
      <c r="D3602" s="1" t="s">
        <v>754</v>
      </c>
      <c r="E3602" s="1" t="s">
        <v>75</v>
      </c>
    </row>
    <row r="3603" spans="1:5" x14ac:dyDescent="0.2">
      <c r="A3603" s="1" t="s">
        <v>1276</v>
      </c>
      <c r="B3603" s="1" t="s">
        <v>663</v>
      </c>
      <c r="C3603" s="5">
        <f>DATE(2025, 9, 8) + TIME(13, 26, 0)</f>
        <v>45908.55972222222</v>
      </c>
      <c r="D3603" s="1" t="s">
        <v>921</v>
      </c>
      <c r="E3603" s="1" t="s">
        <v>691</v>
      </c>
    </row>
    <row r="3604" spans="1:5" x14ac:dyDescent="0.2">
      <c r="A3604" s="1" t="s">
        <v>1276</v>
      </c>
      <c r="B3604" s="1" t="s">
        <v>664</v>
      </c>
      <c r="C3604" s="5">
        <f>DATE(2025, 9, 8) + TIME(13, 2, 42)</f>
        <v>45908.543541666666</v>
      </c>
      <c r="D3604" s="1" t="s">
        <v>269</v>
      </c>
      <c r="E3604" s="1" t="s">
        <v>537</v>
      </c>
    </row>
    <row r="3605" spans="1:5" x14ac:dyDescent="0.2">
      <c r="A3605" s="1" t="s">
        <v>1276</v>
      </c>
      <c r="B3605" s="1" t="s">
        <v>235</v>
      </c>
      <c r="C3605" s="5">
        <f>DATE(2025, 9, 8) + TIME(11, 45, 10)</f>
        <v>45908.489699074074</v>
      </c>
      <c r="D3605" s="1" t="s">
        <v>65</v>
      </c>
      <c r="E3605" s="1" t="s">
        <v>152</v>
      </c>
    </row>
    <row r="3606" spans="1:5" x14ac:dyDescent="0.2">
      <c r="A3606" s="1" t="s">
        <v>1276</v>
      </c>
      <c r="B3606" s="1" t="s">
        <v>436</v>
      </c>
      <c r="C3606" s="5">
        <f>DATE(2025, 9, 8) + TIME(8, 43, 15)</f>
        <v>45908.363368055558</v>
      </c>
      <c r="D3606" s="1" t="s">
        <v>148</v>
      </c>
      <c r="E3606" s="1" t="s">
        <v>471</v>
      </c>
    </row>
    <row r="3607" spans="1:5" x14ac:dyDescent="0.2">
      <c r="A3607" s="1" t="s">
        <v>1276</v>
      </c>
      <c r="B3607" s="1" t="s">
        <v>656</v>
      </c>
      <c r="C3607" s="5">
        <f>DATE(2025, 9, 6) + TIME(9, 52, 13)</f>
        <v>45906.411261574074</v>
      </c>
      <c r="D3607" s="1" t="s">
        <v>65</v>
      </c>
      <c r="E3607" s="1" t="s">
        <v>20</v>
      </c>
    </row>
    <row r="3608" spans="1:5" x14ac:dyDescent="0.2">
      <c r="A3608" s="1" t="s">
        <v>1276</v>
      </c>
      <c r="B3608" s="1" t="s">
        <v>864</v>
      </c>
      <c r="C3608" s="5">
        <f>DATE(2025, 9, 4) + TIME(15, 54, 31)</f>
        <v>45904.662858796299</v>
      </c>
      <c r="D3608" s="1" t="s">
        <v>148</v>
      </c>
      <c r="E3608" s="1" t="s">
        <v>480</v>
      </c>
    </row>
    <row r="3609" spans="1:5" x14ac:dyDescent="0.2">
      <c r="A3609" s="1" t="s">
        <v>1276</v>
      </c>
      <c r="B3609" s="1" t="s">
        <v>542</v>
      </c>
      <c r="C3609" s="5">
        <f>DATE(2025, 9, 4) + TIME(15, 26, 49)</f>
        <v>45904.643622685187</v>
      </c>
      <c r="D3609" s="1" t="s">
        <v>754</v>
      </c>
      <c r="E3609" s="1" t="s">
        <v>282</v>
      </c>
    </row>
    <row r="3610" spans="1:5" x14ac:dyDescent="0.2">
      <c r="A3610" s="1" t="s">
        <v>1276</v>
      </c>
      <c r="B3610" s="1" t="s">
        <v>436</v>
      </c>
      <c r="C3610" s="5">
        <f>DATE(2025, 9, 4) + TIME(15, 16, 32)</f>
        <v>45904.636481481481</v>
      </c>
      <c r="D3610" s="1" t="s">
        <v>566</v>
      </c>
      <c r="E3610" s="1" t="s">
        <v>922</v>
      </c>
    </row>
    <row r="3611" spans="1:5" x14ac:dyDescent="0.2">
      <c r="A3611" s="1" t="s">
        <v>1276</v>
      </c>
      <c r="B3611" s="1" t="s">
        <v>9</v>
      </c>
      <c r="C3611" s="5">
        <f>DATE(2025, 9, 4) + TIME(14, 51, 54)</f>
        <v>45904.619375000002</v>
      </c>
      <c r="D3611" s="1" t="s">
        <v>754</v>
      </c>
      <c r="E3611" s="1" t="s">
        <v>870</v>
      </c>
    </row>
    <row r="3612" spans="1:5" x14ac:dyDescent="0.2">
      <c r="A3612" s="1" t="s">
        <v>1276</v>
      </c>
      <c r="B3612" s="1" t="s">
        <v>664</v>
      </c>
      <c r="C3612" s="5">
        <f>DATE(2025, 9, 4) + TIME(14, 36, 49)</f>
        <v>45904.608900462961</v>
      </c>
      <c r="D3612" s="1" t="s">
        <v>563</v>
      </c>
      <c r="E3612" s="1" t="s">
        <v>878</v>
      </c>
    </row>
    <row r="3613" spans="1:5" x14ac:dyDescent="0.2">
      <c r="A3613" s="1" t="s">
        <v>1276</v>
      </c>
      <c r="B3613" s="1" t="s">
        <v>664</v>
      </c>
      <c r="C3613" s="5">
        <f>DATE(2025, 9, 4) + TIME(13, 55, 37)</f>
        <v>45904.580289351848</v>
      </c>
      <c r="D3613" s="1" t="s">
        <v>566</v>
      </c>
      <c r="E3613" s="1" t="s">
        <v>865</v>
      </c>
    </row>
    <row r="3614" spans="1:5" x14ac:dyDescent="0.2">
      <c r="A3614" s="1" t="s">
        <v>1276</v>
      </c>
      <c r="B3614" s="1" t="s">
        <v>664</v>
      </c>
      <c r="C3614" s="5">
        <f>DATE(2025, 9, 4) + TIME(13, 51, 5)</f>
        <v>45904.577141203707</v>
      </c>
      <c r="D3614" s="1" t="s">
        <v>563</v>
      </c>
      <c r="E3614" s="1" t="s">
        <v>210</v>
      </c>
    </row>
    <row r="3615" spans="1:5" x14ac:dyDescent="0.2">
      <c r="A3615" s="1" t="s">
        <v>1276</v>
      </c>
      <c r="B3615" s="1" t="s">
        <v>959</v>
      </c>
      <c r="C3615" s="5">
        <f>DATE(2025, 9, 4) + TIME(13, 33, 55)</f>
        <v>45904.56521990741</v>
      </c>
      <c r="D3615" s="1" t="s">
        <v>506</v>
      </c>
      <c r="E3615" s="1" t="s">
        <v>369</v>
      </c>
    </row>
    <row r="3616" spans="1:5" x14ac:dyDescent="0.2">
      <c r="A3616" s="1" t="s">
        <v>1276</v>
      </c>
      <c r="B3616" s="1" t="s">
        <v>354</v>
      </c>
      <c r="C3616" s="5">
        <f>DATE(2025, 9, 4) + TIME(12, 56, 39)</f>
        <v>45904.539340277777</v>
      </c>
      <c r="D3616" s="1" t="s">
        <v>750</v>
      </c>
      <c r="E3616" s="1" t="s">
        <v>875</v>
      </c>
    </row>
    <row r="3617" spans="1:5" x14ac:dyDescent="0.2">
      <c r="A3617" s="1" t="s">
        <v>1276</v>
      </c>
      <c r="B3617" s="1" t="s">
        <v>254</v>
      </c>
      <c r="C3617" s="5">
        <f>DATE(2025, 9, 4) + TIME(12, 52, 19)</f>
        <v>45904.53633101852</v>
      </c>
      <c r="D3617" s="1" t="s">
        <v>3</v>
      </c>
      <c r="E3617" s="1" t="s">
        <v>936</v>
      </c>
    </row>
    <row r="3618" spans="1:5" x14ac:dyDescent="0.2">
      <c r="A3618" s="1" t="s">
        <v>1276</v>
      </c>
      <c r="B3618" s="1" t="s">
        <v>664</v>
      </c>
      <c r="C3618" s="5">
        <f>DATE(2025, 9, 4) + TIME(12, 43, 53)</f>
        <v>45904.530474537038</v>
      </c>
      <c r="D3618" s="1" t="s">
        <v>754</v>
      </c>
      <c r="E3618" s="1" t="s">
        <v>330</v>
      </c>
    </row>
    <row r="3619" spans="1:5" x14ac:dyDescent="0.2">
      <c r="A3619" s="1" t="s">
        <v>1276</v>
      </c>
      <c r="B3619" s="1" t="s">
        <v>664</v>
      </c>
      <c r="C3619" s="5">
        <f>DATE(2025, 9, 4) + TIME(11, 59, 30)</f>
        <v>45904.499652777777</v>
      </c>
      <c r="D3619" s="1" t="s">
        <v>3</v>
      </c>
      <c r="E3619" s="1" t="s">
        <v>211</v>
      </c>
    </row>
    <row r="3620" spans="1:5" x14ac:dyDescent="0.2">
      <c r="A3620" s="1" t="s">
        <v>1276</v>
      </c>
      <c r="B3620" s="1" t="s">
        <v>664</v>
      </c>
      <c r="C3620" s="5">
        <f>DATE(2025, 9, 4) + TIME(11, 34, 7)</f>
        <v>45904.482025462959</v>
      </c>
      <c r="D3620" s="1" t="s">
        <v>216</v>
      </c>
      <c r="E3620" s="1" t="s">
        <v>466</v>
      </c>
    </row>
    <row r="3621" spans="1:5" x14ac:dyDescent="0.2">
      <c r="A3621" s="1" t="s">
        <v>1276</v>
      </c>
      <c r="B3621" s="1" t="s">
        <v>730</v>
      </c>
      <c r="C3621" s="5">
        <f>DATE(2025, 9, 4) + TIME(11, 20, 9)</f>
        <v>45904.472326388888</v>
      </c>
      <c r="D3621" s="1" t="s">
        <v>750</v>
      </c>
      <c r="E3621" s="1" t="s">
        <v>867</v>
      </c>
    </row>
    <row r="3622" spans="1:5" x14ac:dyDescent="0.2">
      <c r="A3622" s="1" t="s">
        <v>1276</v>
      </c>
      <c r="B3622" s="1" t="s">
        <v>354</v>
      </c>
      <c r="C3622" s="5">
        <f>DATE(2025, 9, 4) + TIME(9, 59, 41)</f>
        <v>45904.416446759256</v>
      </c>
      <c r="D3622" s="1" t="s">
        <v>750</v>
      </c>
      <c r="E3622" s="1" t="s">
        <v>697</v>
      </c>
    </row>
    <row r="3623" spans="1:5" x14ac:dyDescent="0.2">
      <c r="A3623" s="1" t="s">
        <v>1276</v>
      </c>
      <c r="B3623" s="1" t="s">
        <v>664</v>
      </c>
      <c r="C3623" s="5">
        <f>DATE(2025, 9, 3) + TIME(15, 55, 58)</f>
        <v>45903.663865740738</v>
      </c>
      <c r="D3623" s="1" t="s">
        <v>638</v>
      </c>
      <c r="E3623" s="1" t="s">
        <v>535</v>
      </c>
    </row>
    <row r="3624" spans="1:5" x14ac:dyDescent="0.2">
      <c r="A3624" s="1" t="s">
        <v>1276</v>
      </c>
      <c r="B3624" s="1" t="s">
        <v>436</v>
      </c>
      <c r="C3624" s="5">
        <f>DATE(2025, 9, 3) + TIME(14, 42, 21)</f>
        <v>45903.612743055557</v>
      </c>
      <c r="D3624" s="1" t="s">
        <v>506</v>
      </c>
      <c r="E3624" s="1" t="s">
        <v>6</v>
      </c>
    </row>
    <row r="3625" spans="1:5" x14ac:dyDescent="0.2">
      <c r="A3625" s="1" t="s">
        <v>1276</v>
      </c>
      <c r="B3625" s="1" t="s">
        <v>664</v>
      </c>
      <c r="C3625" s="5">
        <f>DATE(2025, 9, 3) + TIME(14, 42, 21)</f>
        <v>45903.612743055557</v>
      </c>
      <c r="D3625" s="1" t="s">
        <v>506</v>
      </c>
      <c r="E3625" s="1" t="s">
        <v>6</v>
      </c>
    </row>
    <row r="3626" spans="1:5" x14ac:dyDescent="0.2">
      <c r="A3626" s="1" t="s">
        <v>1276</v>
      </c>
      <c r="B3626" s="1" t="s">
        <v>254</v>
      </c>
      <c r="C3626" s="5">
        <f>DATE(2025, 9, 3) + TIME(14, 29, 21)</f>
        <v>45903.603715277779</v>
      </c>
      <c r="D3626" s="1" t="s">
        <v>467</v>
      </c>
      <c r="E3626" s="1" t="s">
        <v>249</v>
      </c>
    </row>
    <row r="3627" spans="1:5" x14ac:dyDescent="0.2">
      <c r="A3627" s="1" t="s">
        <v>1276</v>
      </c>
      <c r="B3627" s="1" t="s">
        <v>655</v>
      </c>
      <c r="C3627" s="5">
        <f>DATE(2025, 9, 3) + TIME(14, 12, 25)</f>
        <v>45903.591956018521</v>
      </c>
      <c r="D3627" s="1" t="s">
        <v>566</v>
      </c>
      <c r="E3627" s="1" t="s">
        <v>888</v>
      </c>
    </row>
    <row r="3628" spans="1:5" x14ac:dyDescent="0.2">
      <c r="A3628" s="1" t="s">
        <v>1276</v>
      </c>
      <c r="B3628" s="1" t="s">
        <v>235</v>
      </c>
      <c r="C3628" s="5">
        <f>DATE(2025, 9, 3) + TIME(14, 12, 25)</f>
        <v>45903.591956018521</v>
      </c>
      <c r="D3628" s="1" t="s">
        <v>566</v>
      </c>
      <c r="E3628" s="1" t="s">
        <v>888</v>
      </c>
    </row>
    <row r="3629" spans="1:5" x14ac:dyDescent="0.2">
      <c r="A3629" s="1" t="s">
        <v>1276</v>
      </c>
      <c r="B3629" s="1" t="s">
        <v>835</v>
      </c>
      <c r="C3629" s="5">
        <f>DATE(2025, 9, 3) + TIME(13, 51, 43)</f>
        <v>45903.577581018515</v>
      </c>
      <c r="D3629" s="1" t="s">
        <v>576</v>
      </c>
      <c r="E3629" s="1" t="s">
        <v>568</v>
      </c>
    </row>
    <row r="3630" spans="1:5" x14ac:dyDescent="0.2">
      <c r="A3630" s="1" t="s">
        <v>1276</v>
      </c>
      <c r="B3630" s="1" t="s">
        <v>664</v>
      </c>
      <c r="C3630" s="5">
        <f>DATE(2025, 9, 3) + TIME(13, 51, 31)</f>
        <v>45903.57744212963</v>
      </c>
      <c r="D3630" s="1" t="s">
        <v>3</v>
      </c>
      <c r="E3630" s="1" t="s">
        <v>890</v>
      </c>
    </row>
    <row r="3631" spans="1:5" x14ac:dyDescent="0.2">
      <c r="A3631" s="1" t="s">
        <v>1276</v>
      </c>
      <c r="B3631" s="1" t="s">
        <v>664</v>
      </c>
      <c r="C3631" s="5">
        <f>DATE(2025, 9, 3) + TIME(13, 29, 35)</f>
        <v>45903.562210648146</v>
      </c>
      <c r="D3631" s="1" t="s">
        <v>459</v>
      </c>
      <c r="E3631" s="1" t="s">
        <v>19</v>
      </c>
    </row>
    <row r="3632" spans="1:5" x14ac:dyDescent="0.2">
      <c r="A3632" s="1" t="s">
        <v>1276</v>
      </c>
      <c r="B3632" s="1" t="s">
        <v>959</v>
      </c>
      <c r="C3632" s="5">
        <f>DATE(2025, 9, 3) + TIME(13, 7, 59)</f>
        <v>45903.547210648147</v>
      </c>
      <c r="D3632" s="1" t="s">
        <v>356</v>
      </c>
      <c r="E3632" s="1" t="s">
        <v>462</v>
      </c>
    </row>
    <row r="3633" spans="1:5" x14ac:dyDescent="0.2">
      <c r="A3633" s="1" t="s">
        <v>1276</v>
      </c>
      <c r="B3633" s="1" t="s">
        <v>664</v>
      </c>
      <c r="C3633" s="5">
        <f>DATE(2025, 9, 3) + TIME(11, 27, 12)</f>
        <v>45903.477222222224</v>
      </c>
      <c r="D3633" s="1" t="s">
        <v>216</v>
      </c>
      <c r="E3633" s="1" t="s">
        <v>410</v>
      </c>
    </row>
    <row r="3634" spans="1:5" x14ac:dyDescent="0.2">
      <c r="A3634" s="1" t="s">
        <v>1276</v>
      </c>
      <c r="B3634" s="1" t="s">
        <v>664</v>
      </c>
      <c r="C3634" s="5">
        <f>DATE(2025, 9, 3) + TIME(10, 35, 24)</f>
        <v>45903.441250000003</v>
      </c>
      <c r="D3634" s="1" t="s">
        <v>640</v>
      </c>
      <c r="E3634" s="1" t="s">
        <v>426</v>
      </c>
    </row>
    <row r="3635" spans="1:5" x14ac:dyDescent="0.2">
      <c r="A3635" s="1" t="s">
        <v>1276</v>
      </c>
      <c r="B3635" s="1" t="s">
        <v>846</v>
      </c>
      <c r="C3635" s="5">
        <f>DATE(2025, 9, 2) + TIME(15, 53, 23)</f>
        <v>45902.66207175926</v>
      </c>
      <c r="D3635" s="1" t="s">
        <v>871</v>
      </c>
      <c r="E3635" s="1" t="s">
        <v>149</v>
      </c>
    </row>
    <row r="3636" spans="1:5" x14ac:dyDescent="0.2">
      <c r="A3636" s="1" t="s">
        <v>1276</v>
      </c>
      <c r="B3636" s="1" t="s">
        <v>24</v>
      </c>
      <c r="C3636" s="5">
        <f>DATE(2025, 9, 2) + TIME(14, 55, 44)</f>
        <v>45902.622037037036</v>
      </c>
      <c r="D3636" s="1" t="s">
        <v>467</v>
      </c>
      <c r="E3636" s="1" t="s">
        <v>143</v>
      </c>
    </row>
    <row r="3637" spans="1:5" x14ac:dyDescent="0.2">
      <c r="A3637" s="1" t="s">
        <v>1276</v>
      </c>
      <c r="B3637" s="1" t="s">
        <v>409</v>
      </c>
      <c r="C3637" s="5">
        <f>DATE(2025, 9, 2) + TIME(14, 55, 44)</f>
        <v>45902.622037037036</v>
      </c>
      <c r="D3637" s="1" t="s">
        <v>467</v>
      </c>
      <c r="E3637" s="1" t="s">
        <v>143</v>
      </c>
    </row>
    <row r="3638" spans="1:5" x14ac:dyDescent="0.2">
      <c r="A3638" s="1" t="s">
        <v>1276</v>
      </c>
      <c r="B3638" s="1" t="s">
        <v>254</v>
      </c>
      <c r="C3638" s="5">
        <f>DATE(2025, 9, 2) + TIME(14, 43, 18)</f>
        <v>45902.613402777781</v>
      </c>
      <c r="D3638" s="1" t="s">
        <v>566</v>
      </c>
      <c r="E3638" s="1" t="s">
        <v>704</v>
      </c>
    </row>
    <row r="3639" spans="1:5" x14ac:dyDescent="0.2">
      <c r="A3639" s="1" t="s">
        <v>1276</v>
      </c>
      <c r="B3639" s="1" t="s">
        <v>15</v>
      </c>
      <c r="C3639" s="5">
        <f>DATE(2025, 9, 2) + TIME(13, 53, 10)</f>
        <v>45902.578587962962</v>
      </c>
      <c r="D3639" s="1" t="s">
        <v>148</v>
      </c>
      <c r="E3639" s="1" t="s">
        <v>877</v>
      </c>
    </row>
    <row r="3640" spans="1:5" x14ac:dyDescent="0.2">
      <c r="A3640" s="1" t="s">
        <v>1276</v>
      </c>
      <c r="B3640" s="1" t="s">
        <v>664</v>
      </c>
      <c r="C3640" s="5">
        <f>DATE(2025, 9, 2) + TIME(12, 22, 59)</f>
        <v>45902.515960648147</v>
      </c>
      <c r="D3640" s="1" t="s">
        <v>64</v>
      </c>
      <c r="E3640" s="1" t="s">
        <v>727</v>
      </c>
    </row>
    <row r="3641" spans="1:5" x14ac:dyDescent="0.2">
      <c r="A3641" s="1" t="s">
        <v>1276</v>
      </c>
      <c r="B3641" s="1" t="s">
        <v>496</v>
      </c>
      <c r="C3641" s="5">
        <f>DATE(2025, 9, 2) + TIME(9, 31, 10)</f>
        <v>45902.396643518521</v>
      </c>
      <c r="D3641" s="1" t="s">
        <v>148</v>
      </c>
      <c r="E3641" s="1" t="s">
        <v>471</v>
      </c>
    </row>
    <row r="3642" spans="1:5" x14ac:dyDescent="0.2">
      <c r="A3642" s="1" t="s">
        <v>1276</v>
      </c>
      <c r="B3642" s="1" t="s">
        <v>664</v>
      </c>
      <c r="C3642" s="5">
        <f>DATE(2025, 9, 1) + TIME(16, 25, 2)</f>
        <v>45901.684050925927</v>
      </c>
      <c r="D3642" s="1" t="s">
        <v>638</v>
      </c>
      <c r="E3642" s="1" t="s">
        <v>738</v>
      </c>
    </row>
    <row r="3643" spans="1:5" x14ac:dyDescent="0.2">
      <c r="A3643" s="1" t="s">
        <v>1276</v>
      </c>
      <c r="B3643" s="1" t="s">
        <v>664</v>
      </c>
      <c r="C3643" s="5">
        <f>DATE(2025, 9, 1) + TIME(12, 54, 56)</f>
        <v>45901.538148148145</v>
      </c>
      <c r="D3643" s="1" t="s">
        <v>576</v>
      </c>
      <c r="E3643" s="1" t="s">
        <v>405</v>
      </c>
    </row>
    <row r="3644" spans="1:5" x14ac:dyDescent="0.2">
      <c r="A3644" s="1" t="s">
        <v>1276</v>
      </c>
      <c r="B3644" s="1" t="s">
        <v>663</v>
      </c>
      <c r="C3644" s="5">
        <f>DATE(2025, 9, 1) + TIME(12, 1, 56)</f>
        <v>45901.501342592594</v>
      </c>
      <c r="D3644" s="1" t="s">
        <v>65</v>
      </c>
      <c r="E3644" s="1" t="s">
        <v>400</v>
      </c>
    </row>
    <row r="3645" spans="1:5" x14ac:dyDescent="0.2">
      <c r="A3645" s="1" t="s">
        <v>1276</v>
      </c>
      <c r="B3645" s="1" t="s">
        <v>664</v>
      </c>
      <c r="C3645" s="5">
        <f>DATE(2025, 9, 1) + TIME(12, 1, 56)</f>
        <v>45901.501342592594</v>
      </c>
      <c r="D3645" s="1" t="s">
        <v>65</v>
      </c>
      <c r="E3645" s="1" t="s">
        <v>400</v>
      </c>
    </row>
    <row r="3646" spans="1:5" x14ac:dyDescent="0.2">
      <c r="A3646" s="1" t="s">
        <v>1276</v>
      </c>
      <c r="B3646" s="1" t="s">
        <v>664</v>
      </c>
      <c r="C3646" s="5">
        <f>DATE(2025, 9, 1) + TIME(11, 46, 55)</f>
        <v>45901.490914351853</v>
      </c>
      <c r="D3646" s="1" t="s">
        <v>65</v>
      </c>
      <c r="E3646" s="1" t="s">
        <v>329</v>
      </c>
    </row>
    <row r="3647" spans="1:5" x14ac:dyDescent="0.2">
      <c r="A3647" s="1" t="s">
        <v>1276</v>
      </c>
      <c r="B3647" s="1" t="s">
        <v>664</v>
      </c>
      <c r="C3647" s="5">
        <f>DATE(2025, 9, 1) + TIME(10, 31, 15)</f>
        <v>45901.438368055555</v>
      </c>
      <c r="D3647" s="1" t="s">
        <v>563</v>
      </c>
      <c r="E3647" s="1" t="s">
        <v>145</v>
      </c>
    </row>
    <row r="3648" spans="1:5" x14ac:dyDescent="0.2">
      <c r="A3648" s="1" t="s">
        <v>1276</v>
      </c>
      <c r="B3648" s="1" t="s">
        <v>664</v>
      </c>
      <c r="C3648" s="5">
        <f>DATE(2025, 8, 31) + TIME(13, 46, 20)</f>
        <v>45900.573842592596</v>
      </c>
      <c r="D3648" s="1" t="s">
        <v>467</v>
      </c>
      <c r="E3648" s="1" t="s">
        <v>121</v>
      </c>
    </row>
    <row r="3649" spans="1:5" x14ac:dyDescent="0.2">
      <c r="A3649" s="1" t="s">
        <v>1276</v>
      </c>
      <c r="B3649" s="1" t="s">
        <v>664</v>
      </c>
      <c r="C3649" s="5">
        <f>DATE(2025, 8, 28) + TIME(17, 12, 12)</f>
        <v>45897.716805555552</v>
      </c>
      <c r="D3649" s="1" t="s">
        <v>563</v>
      </c>
      <c r="E3649" s="1" t="s">
        <v>878</v>
      </c>
    </row>
    <row r="3650" spans="1:5" x14ac:dyDescent="0.2">
      <c r="A3650" s="1" t="s">
        <v>1276</v>
      </c>
      <c r="B3650" s="1" t="s">
        <v>305</v>
      </c>
      <c r="C3650" s="5">
        <f>DATE(2025, 8, 28) + TIME(16, 9, 40)</f>
        <v>45897.673379629632</v>
      </c>
      <c r="D3650" s="1" t="s">
        <v>566</v>
      </c>
      <c r="E3650" s="1" t="s">
        <v>324</v>
      </c>
    </row>
    <row r="3651" spans="1:5" x14ac:dyDescent="0.2">
      <c r="A3651" s="1" t="s">
        <v>1276</v>
      </c>
      <c r="B3651" s="1" t="s">
        <v>496</v>
      </c>
      <c r="C3651" s="5">
        <f>DATE(2025, 8, 28) + TIME(16, 9, 40)</f>
        <v>45897.673379629632</v>
      </c>
      <c r="D3651" s="1" t="s">
        <v>566</v>
      </c>
      <c r="E3651" s="1" t="s">
        <v>324</v>
      </c>
    </row>
    <row r="3652" spans="1:5" x14ac:dyDescent="0.2">
      <c r="A3652" s="1" t="s">
        <v>1276</v>
      </c>
      <c r="B3652" s="1" t="s">
        <v>436</v>
      </c>
      <c r="C3652" s="5">
        <f>DATE(2025, 8, 28) + TIME(16, 9, 39)</f>
        <v>45897.673368055555</v>
      </c>
      <c r="D3652" s="1" t="s">
        <v>566</v>
      </c>
      <c r="E3652" s="1" t="s">
        <v>324</v>
      </c>
    </row>
    <row r="3653" spans="1:5" x14ac:dyDescent="0.2">
      <c r="A3653" s="1" t="s">
        <v>1276</v>
      </c>
      <c r="B3653" s="1" t="s">
        <v>305</v>
      </c>
      <c r="C3653" s="5">
        <f>DATE(2025, 8, 28) + TIME(15, 55, 13)</f>
        <v>45897.663344907407</v>
      </c>
      <c r="D3653" s="1" t="s">
        <v>566</v>
      </c>
      <c r="E3653" s="1" t="s">
        <v>922</v>
      </c>
    </row>
    <row r="3654" spans="1:5" x14ac:dyDescent="0.2">
      <c r="A3654" s="1" t="s">
        <v>1276</v>
      </c>
      <c r="B3654" s="1" t="s">
        <v>730</v>
      </c>
      <c r="C3654" s="5">
        <f>DATE(2025, 8, 28) + TIME(15, 29, 3)</f>
        <v>45897.645173611112</v>
      </c>
      <c r="D3654" s="1" t="s">
        <v>638</v>
      </c>
      <c r="E3654" s="1" t="s">
        <v>85</v>
      </c>
    </row>
    <row r="3655" spans="1:5" x14ac:dyDescent="0.2">
      <c r="A3655" s="1" t="s">
        <v>1276</v>
      </c>
      <c r="B3655" s="1" t="s">
        <v>150</v>
      </c>
      <c r="C3655" s="5">
        <f>DATE(2025, 8, 28) + TIME(14, 45, 44)</f>
        <v>45897.61509259259</v>
      </c>
      <c r="D3655" s="1" t="s">
        <v>269</v>
      </c>
      <c r="E3655" s="1" t="s">
        <v>299</v>
      </c>
    </row>
    <row r="3656" spans="1:5" x14ac:dyDescent="0.2">
      <c r="A3656" s="1" t="s">
        <v>1276</v>
      </c>
      <c r="B3656" s="1" t="s">
        <v>377</v>
      </c>
      <c r="C3656" s="5">
        <f>DATE(2025, 8, 28) + TIME(14, 45, 44)</f>
        <v>45897.61509259259</v>
      </c>
      <c r="D3656" s="1" t="s">
        <v>269</v>
      </c>
      <c r="E3656" s="1" t="s">
        <v>299</v>
      </c>
    </row>
    <row r="3657" spans="1:5" x14ac:dyDescent="0.2">
      <c r="A3657" s="1" t="s">
        <v>1276</v>
      </c>
      <c r="B3657" s="1" t="s">
        <v>664</v>
      </c>
      <c r="C3657" s="5">
        <f>DATE(2025, 8, 28) + TIME(14, 38, 56)</f>
        <v>45897.61037037037</v>
      </c>
      <c r="D3657" s="1" t="s">
        <v>148</v>
      </c>
      <c r="E3657" s="1" t="s">
        <v>480</v>
      </c>
    </row>
    <row r="3658" spans="1:5" x14ac:dyDescent="0.2">
      <c r="A3658" s="1" t="s">
        <v>1276</v>
      </c>
      <c r="B3658" s="1" t="s">
        <v>664</v>
      </c>
      <c r="C3658" s="5">
        <f>DATE(2025, 8, 28) + TIME(14, 25, 3)</f>
        <v>45897.600729166668</v>
      </c>
      <c r="D3658" s="1" t="s">
        <v>320</v>
      </c>
      <c r="E3658" s="1" t="s">
        <v>845</v>
      </c>
    </row>
    <row r="3659" spans="1:5" x14ac:dyDescent="0.2">
      <c r="A3659" s="1" t="s">
        <v>1276</v>
      </c>
      <c r="B3659" s="1" t="s">
        <v>587</v>
      </c>
      <c r="C3659" s="5">
        <f>DATE(2025, 8, 28) + TIME(14, 22, 20)</f>
        <v>45897.59884259259</v>
      </c>
      <c r="D3659" s="1" t="s">
        <v>506</v>
      </c>
      <c r="E3659" s="1" t="s">
        <v>867</v>
      </c>
    </row>
    <row r="3660" spans="1:5" x14ac:dyDescent="0.2">
      <c r="A3660" s="1" t="s">
        <v>1276</v>
      </c>
      <c r="B3660" s="1" t="s">
        <v>664</v>
      </c>
      <c r="C3660" s="5">
        <f>DATE(2025, 8, 28) + TIME(11, 49, 50)</f>
        <v>45897.492939814816</v>
      </c>
      <c r="D3660" s="1" t="s">
        <v>148</v>
      </c>
      <c r="E3660" s="1" t="s">
        <v>529</v>
      </c>
    </row>
    <row r="3661" spans="1:5" x14ac:dyDescent="0.2">
      <c r="A3661" s="1" t="s">
        <v>1276</v>
      </c>
      <c r="B3661" s="1" t="s">
        <v>484</v>
      </c>
      <c r="C3661" s="5">
        <f>DATE(2025, 8, 28) + TIME(11, 36, 37)</f>
        <v>45897.483761574076</v>
      </c>
      <c r="D3661" s="1" t="s">
        <v>754</v>
      </c>
      <c r="E3661" s="1" t="s">
        <v>330</v>
      </c>
    </row>
    <row r="3662" spans="1:5" x14ac:dyDescent="0.2">
      <c r="A3662" s="1" t="s">
        <v>1276</v>
      </c>
      <c r="B3662" s="1" t="s">
        <v>69</v>
      </c>
      <c r="C3662" s="5">
        <f>DATE(2025, 8, 28) + TIME(8, 35, 45)</f>
        <v>45897.358159722222</v>
      </c>
      <c r="D3662" s="1" t="s">
        <v>226</v>
      </c>
      <c r="E3662" s="1" t="s">
        <v>246</v>
      </c>
    </row>
    <row r="3663" spans="1:5" x14ac:dyDescent="0.2">
      <c r="A3663" s="1" t="s">
        <v>1276</v>
      </c>
      <c r="B3663" s="1" t="s">
        <v>29</v>
      </c>
      <c r="C3663" s="5">
        <f>DATE(2025, 8, 27) + TIME(18, 32, 2)</f>
        <v>45896.772245370368</v>
      </c>
      <c r="D3663" s="1" t="s">
        <v>65</v>
      </c>
      <c r="E3663" s="1" t="s">
        <v>152</v>
      </c>
    </row>
    <row r="3664" spans="1:5" x14ac:dyDescent="0.2">
      <c r="A3664" s="1" t="s">
        <v>1276</v>
      </c>
      <c r="B3664" s="1" t="s">
        <v>786</v>
      </c>
      <c r="C3664" s="5">
        <f>DATE(2025, 8, 27) + TIME(16, 53, 12)</f>
        <v>45896.703611111108</v>
      </c>
      <c r="D3664" s="1" t="s">
        <v>3</v>
      </c>
      <c r="E3664" s="1" t="s">
        <v>73</v>
      </c>
    </row>
    <row r="3665" spans="1:5" x14ac:dyDescent="0.2">
      <c r="A3665" s="1" t="s">
        <v>1276</v>
      </c>
      <c r="B3665" s="1" t="s">
        <v>959</v>
      </c>
      <c r="C3665" s="5">
        <f>DATE(2025, 8, 27) + TIME(16, 26, 28)</f>
        <v>45896.685046296298</v>
      </c>
      <c r="D3665" s="1" t="s">
        <v>506</v>
      </c>
      <c r="E3665" s="1" t="s">
        <v>158</v>
      </c>
    </row>
    <row r="3666" spans="1:5" x14ac:dyDescent="0.2">
      <c r="A3666" s="1" t="s">
        <v>1276</v>
      </c>
      <c r="B3666" s="1" t="s">
        <v>931</v>
      </c>
      <c r="C3666" s="5">
        <f>DATE(2025, 8, 27) + TIME(14, 55, 43)</f>
        <v>45896.622025462966</v>
      </c>
      <c r="D3666" s="1" t="s">
        <v>64</v>
      </c>
      <c r="E3666" s="1" t="s">
        <v>233</v>
      </c>
    </row>
    <row r="3667" spans="1:5" x14ac:dyDescent="0.2">
      <c r="A3667" s="1" t="s">
        <v>1276</v>
      </c>
      <c r="B3667" s="1" t="s">
        <v>305</v>
      </c>
      <c r="C3667" s="5">
        <f>DATE(2025, 8, 27) + TIME(14, 55, 43)</f>
        <v>45896.622025462966</v>
      </c>
      <c r="D3667" s="1" t="s">
        <v>64</v>
      </c>
      <c r="E3667" s="1" t="s">
        <v>233</v>
      </c>
    </row>
    <row r="3668" spans="1:5" x14ac:dyDescent="0.2">
      <c r="A3668" s="1" t="s">
        <v>1276</v>
      </c>
      <c r="B3668" s="1" t="s">
        <v>664</v>
      </c>
      <c r="C3668" s="5">
        <f>DATE(2025, 8, 27) + TIME(13, 47, 43)</f>
        <v>45896.574803240743</v>
      </c>
      <c r="D3668" s="1" t="s">
        <v>356</v>
      </c>
      <c r="E3668" s="1" t="s">
        <v>474</v>
      </c>
    </row>
    <row r="3669" spans="1:5" x14ac:dyDescent="0.2">
      <c r="A3669" s="1" t="s">
        <v>1276</v>
      </c>
      <c r="B3669" s="1" t="s">
        <v>664</v>
      </c>
      <c r="C3669" s="5">
        <f>DATE(2025, 8, 27) + TIME(11, 51, 4)</f>
        <v>45896.493796296294</v>
      </c>
      <c r="D3669" s="1" t="s">
        <v>64</v>
      </c>
      <c r="E3669" s="1" t="s">
        <v>873</v>
      </c>
    </row>
    <row r="3670" spans="1:5" x14ac:dyDescent="0.2">
      <c r="A3670" s="1" t="s">
        <v>1276</v>
      </c>
      <c r="B3670" s="1" t="s">
        <v>664</v>
      </c>
      <c r="C3670" s="5">
        <f>DATE(2025, 8, 27) + TIME(11, 31, 3)</f>
        <v>45896.479895833334</v>
      </c>
      <c r="D3670" s="1" t="s">
        <v>64</v>
      </c>
      <c r="E3670" s="1" t="s">
        <v>337</v>
      </c>
    </row>
    <row r="3671" spans="1:5" x14ac:dyDescent="0.2">
      <c r="A3671" s="1" t="s">
        <v>1276</v>
      </c>
      <c r="B3671" s="1" t="s">
        <v>436</v>
      </c>
      <c r="C3671" s="5">
        <f>DATE(2025, 8, 27) + TIME(10, 5, 19)</f>
        <v>45896.420358796298</v>
      </c>
      <c r="D3671" s="1" t="s">
        <v>754</v>
      </c>
      <c r="E3671" s="1" t="s">
        <v>760</v>
      </c>
    </row>
    <row r="3672" spans="1:5" x14ac:dyDescent="0.2">
      <c r="A3672" s="1" t="s">
        <v>1276</v>
      </c>
      <c r="B3672" s="1" t="s">
        <v>730</v>
      </c>
      <c r="C3672" s="5">
        <f>DATE(2025, 8, 27) + TIME(10, 5, 19)</f>
        <v>45896.420358796298</v>
      </c>
      <c r="D3672" s="1" t="s">
        <v>754</v>
      </c>
      <c r="E3672" s="1" t="s">
        <v>760</v>
      </c>
    </row>
    <row r="3673" spans="1:5" x14ac:dyDescent="0.2">
      <c r="A3673" s="1" t="s">
        <v>1276</v>
      </c>
      <c r="B3673" s="1" t="s">
        <v>15</v>
      </c>
      <c r="C3673" s="5">
        <f>DATE(2025, 8, 27) + TIME(7, 13, 57)</f>
        <v>45896.301354166666</v>
      </c>
      <c r="D3673" s="1" t="s">
        <v>459</v>
      </c>
      <c r="E3673" s="1" t="s">
        <v>49</v>
      </c>
    </row>
    <row r="3674" spans="1:5" x14ac:dyDescent="0.2">
      <c r="A3674" s="1" t="s">
        <v>1276</v>
      </c>
      <c r="B3674" s="1" t="s">
        <v>664</v>
      </c>
      <c r="C3674" s="5">
        <f>DATE(2025, 8, 26) + TIME(18, 34, 43)</f>
        <v>45895.774108796293</v>
      </c>
      <c r="D3674" s="1" t="s">
        <v>506</v>
      </c>
      <c r="E3674" s="1" t="s">
        <v>847</v>
      </c>
    </row>
    <row r="3675" spans="1:5" x14ac:dyDescent="0.2">
      <c r="A3675" s="1" t="s">
        <v>1276</v>
      </c>
      <c r="B3675" s="1" t="s">
        <v>15</v>
      </c>
      <c r="C3675" s="5">
        <f>DATE(2025, 8, 26) + TIME(13, 8, 14)</f>
        <v>45895.547384259262</v>
      </c>
      <c r="D3675" s="1" t="s">
        <v>750</v>
      </c>
      <c r="E3675" s="1" t="s">
        <v>877</v>
      </c>
    </row>
    <row r="3676" spans="1:5" x14ac:dyDescent="0.2">
      <c r="A3676" s="1" t="s">
        <v>1276</v>
      </c>
      <c r="B3676" s="1" t="s">
        <v>664</v>
      </c>
      <c r="C3676" s="5">
        <f>DATE(2025, 8, 26) + TIME(12, 54, 7)</f>
        <v>45895.537581018521</v>
      </c>
      <c r="D3676" s="1" t="s">
        <v>869</v>
      </c>
      <c r="E3676" s="1" t="s">
        <v>832</v>
      </c>
    </row>
    <row r="3677" spans="1:5" x14ac:dyDescent="0.2">
      <c r="A3677" s="1" t="s">
        <v>1276</v>
      </c>
      <c r="B3677" s="1" t="s">
        <v>786</v>
      </c>
      <c r="C3677" s="5">
        <f>DATE(2025, 8, 26) + TIME(10, 27, 13)</f>
        <v>45895.435567129629</v>
      </c>
      <c r="D3677" s="1" t="s">
        <v>467</v>
      </c>
      <c r="E3677" s="1" t="s">
        <v>143</v>
      </c>
    </row>
    <row r="3678" spans="1:5" x14ac:dyDescent="0.2">
      <c r="A3678" s="1" t="s">
        <v>1276</v>
      </c>
      <c r="B3678" s="1" t="s">
        <v>489</v>
      </c>
      <c r="C3678" s="5">
        <f>DATE(2025, 8, 26) + TIME(10, 27, 13)</f>
        <v>45895.435567129629</v>
      </c>
      <c r="D3678" s="1" t="s">
        <v>467</v>
      </c>
      <c r="E3678" s="1" t="s">
        <v>143</v>
      </c>
    </row>
    <row r="3679" spans="1:5" x14ac:dyDescent="0.2">
      <c r="A3679" s="1" t="s">
        <v>1276</v>
      </c>
      <c r="B3679" s="1" t="s">
        <v>664</v>
      </c>
      <c r="C3679" s="5">
        <f>DATE(2025, 8, 26) + TIME(10, 10, 39)</f>
        <v>45895.424062500002</v>
      </c>
      <c r="D3679" s="1" t="s">
        <v>869</v>
      </c>
      <c r="E3679" s="1" t="s">
        <v>830</v>
      </c>
    </row>
    <row r="3680" spans="1:5" x14ac:dyDescent="0.2">
      <c r="A3680" s="1" t="s">
        <v>1276</v>
      </c>
      <c r="B3680" s="1" t="s">
        <v>664</v>
      </c>
      <c r="C3680" s="5">
        <f>DATE(2025, 8, 25) + TIME(15, 42, 50)</f>
        <v>45894.654745370368</v>
      </c>
      <c r="D3680" s="1" t="s">
        <v>269</v>
      </c>
      <c r="E3680" s="1" t="s">
        <v>477</v>
      </c>
    </row>
    <row r="3681" spans="1:5" x14ac:dyDescent="0.2">
      <c r="A3681" s="1" t="s">
        <v>1276</v>
      </c>
      <c r="B3681" s="1" t="s">
        <v>664</v>
      </c>
      <c r="C3681" s="5">
        <f>DATE(2025, 8, 25) + TIME(15, 29, 42)</f>
        <v>45894.645624999997</v>
      </c>
      <c r="D3681" s="1" t="s">
        <v>341</v>
      </c>
      <c r="E3681" s="1" t="s">
        <v>701</v>
      </c>
    </row>
    <row r="3682" spans="1:5" x14ac:dyDescent="0.2">
      <c r="A3682" s="1" t="s">
        <v>1276</v>
      </c>
      <c r="B3682" s="1" t="s">
        <v>817</v>
      </c>
      <c r="C3682" s="5">
        <f>DATE(2025, 8, 25) + TIME(15, 3, 41)</f>
        <v>45894.627557870372</v>
      </c>
      <c r="D3682" s="1" t="s">
        <v>640</v>
      </c>
      <c r="E3682" s="1" t="s">
        <v>195</v>
      </c>
    </row>
    <row r="3683" spans="1:5" x14ac:dyDescent="0.2">
      <c r="A3683" s="1" t="s">
        <v>1276</v>
      </c>
      <c r="B3683" s="1" t="s">
        <v>790</v>
      </c>
      <c r="C3683" s="5">
        <f>DATE(2025, 8, 25) + TIME(15, 3, 41)</f>
        <v>45894.627557870372</v>
      </c>
      <c r="D3683" s="1" t="s">
        <v>640</v>
      </c>
      <c r="E3683" s="1" t="s">
        <v>195</v>
      </c>
    </row>
    <row r="3684" spans="1:5" x14ac:dyDescent="0.2">
      <c r="A3684" s="1" t="s">
        <v>1276</v>
      </c>
      <c r="B3684" s="1" t="s">
        <v>664</v>
      </c>
      <c r="C3684" s="5">
        <f>DATE(2025, 8, 25) + TIME(14, 37, 17)</f>
        <v>45894.609224537038</v>
      </c>
      <c r="D3684" s="1" t="s">
        <v>65</v>
      </c>
      <c r="E3684" s="1" t="s">
        <v>152</v>
      </c>
    </row>
    <row r="3685" spans="1:5" x14ac:dyDescent="0.2">
      <c r="A3685" s="1" t="s">
        <v>1276</v>
      </c>
      <c r="B3685" s="1" t="s">
        <v>22</v>
      </c>
      <c r="C3685" s="5">
        <f>DATE(2025, 8, 25) + TIME(14, 17, 29)</f>
        <v>45894.59547453704</v>
      </c>
      <c r="D3685" s="1" t="s">
        <v>269</v>
      </c>
      <c r="E3685" s="1" t="s">
        <v>273</v>
      </c>
    </row>
    <row r="3686" spans="1:5" x14ac:dyDescent="0.2">
      <c r="A3686" s="1" t="s">
        <v>1276</v>
      </c>
      <c r="B3686" s="1" t="s">
        <v>163</v>
      </c>
      <c r="C3686" s="5">
        <f>DATE(2025, 8, 25) + TIME(12, 17, 41)</f>
        <v>45894.512280092589</v>
      </c>
      <c r="D3686" s="1" t="s">
        <v>3</v>
      </c>
      <c r="E3686" s="1" t="s">
        <v>168</v>
      </c>
    </row>
    <row r="3687" spans="1:5" x14ac:dyDescent="0.2">
      <c r="A3687" s="1" t="s">
        <v>1276</v>
      </c>
      <c r="B3687" s="1" t="s">
        <v>664</v>
      </c>
      <c r="C3687" s="5">
        <f>DATE(2025, 8, 25) + TIME(10, 41, 7)</f>
        <v>45894.445219907408</v>
      </c>
      <c r="D3687" s="1" t="s">
        <v>563</v>
      </c>
      <c r="E3687" s="1" t="s">
        <v>935</v>
      </c>
    </row>
    <row r="3688" spans="1:5" x14ac:dyDescent="0.2">
      <c r="A3688" s="1" t="s">
        <v>1276</v>
      </c>
      <c r="B3688" s="1" t="s">
        <v>664</v>
      </c>
      <c r="C3688" s="5">
        <f>DATE(2025, 8, 24) + TIME(17, 18, 5)</f>
        <v>45893.720891203702</v>
      </c>
      <c r="D3688" s="1" t="s">
        <v>64</v>
      </c>
      <c r="E3688" s="1" t="s">
        <v>220</v>
      </c>
    </row>
    <row r="3689" spans="1:5" x14ac:dyDescent="0.2">
      <c r="A3689" s="1" t="s">
        <v>1276</v>
      </c>
      <c r="B3689" s="1" t="s">
        <v>944</v>
      </c>
      <c r="C3689" s="5">
        <f>DATE(2025, 8, 21) + TIME(16, 6, 13)</f>
        <v>45890.670983796299</v>
      </c>
      <c r="D3689" s="1" t="s">
        <v>506</v>
      </c>
      <c r="E3689" s="1" t="s">
        <v>867</v>
      </c>
    </row>
    <row r="3690" spans="1:5" x14ac:dyDescent="0.2">
      <c r="A3690" s="1" t="s">
        <v>1276</v>
      </c>
      <c r="B3690" s="1" t="s">
        <v>15</v>
      </c>
      <c r="C3690" s="5">
        <f>DATE(2025, 8, 21) + TIME(16, 6, 13)</f>
        <v>45890.670983796299</v>
      </c>
      <c r="D3690" s="1" t="s">
        <v>506</v>
      </c>
      <c r="E3690" s="1" t="s">
        <v>867</v>
      </c>
    </row>
    <row r="3691" spans="1:5" x14ac:dyDescent="0.2">
      <c r="A3691" s="1" t="s">
        <v>1276</v>
      </c>
      <c r="B3691" s="1" t="s">
        <v>964</v>
      </c>
      <c r="C3691" s="5">
        <f>DATE(2025, 8, 21) + TIME(16, 6, 12)</f>
        <v>45890.670972222222</v>
      </c>
      <c r="D3691" s="1" t="s">
        <v>506</v>
      </c>
      <c r="E3691" s="1" t="s">
        <v>867</v>
      </c>
    </row>
    <row r="3692" spans="1:5" x14ac:dyDescent="0.2">
      <c r="A3692" s="1" t="s">
        <v>1276</v>
      </c>
      <c r="B3692" s="1" t="s">
        <v>664</v>
      </c>
      <c r="C3692" s="5">
        <f>DATE(2025, 8, 21) + TIME(16, 0, 13)</f>
        <v>45890.666817129626</v>
      </c>
      <c r="D3692" s="1" t="s">
        <v>269</v>
      </c>
      <c r="E3692" s="1" t="s">
        <v>225</v>
      </c>
    </row>
    <row r="3693" spans="1:5" x14ac:dyDescent="0.2">
      <c r="A3693" s="1" t="s">
        <v>1276</v>
      </c>
      <c r="B3693" s="1" t="s">
        <v>664</v>
      </c>
      <c r="C3693" s="5">
        <f>DATE(2025, 8, 21) + TIME(15, 19, 15)</f>
        <v>45890.638368055559</v>
      </c>
      <c r="D3693" s="1" t="s">
        <v>638</v>
      </c>
      <c r="E3693" s="1" t="s">
        <v>362</v>
      </c>
    </row>
    <row r="3694" spans="1:5" x14ac:dyDescent="0.2">
      <c r="A3694" s="1" t="s">
        <v>1276</v>
      </c>
      <c r="B3694" s="1" t="s">
        <v>562</v>
      </c>
      <c r="C3694" s="5">
        <f>DATE(2025, 8, 21) + TIME(15, 11, 34)</f>
        <v>45890.633032407408</v>
      </c>
      <c r="D3694" s="1" t="s">
        <v>754</v>
      </c>
      <c r="E3694" s="1" t="s">
        <v>441</v>
      </c>
    </row>
    <row r="3695" spans="1:5" x14ac:dyDescent="0.2">
      <c r="A3695" s="1" t="s">
        <v>1276</v>
      </c>
      <c r="B3695" s="1" t="s">
        <v>664</v>
      </c>
      <c r="C3695" s="5">
        <f>DATE(2025, 8, 21) + TIME(15, 7, 4)</f>
        <v>45890.629907407405</v>
      </c>
      <c r="D3695" s="1" t="s">
        <v>640</v>
      </c>
      <c r="E3695" s="1" t="s">
        <v>667</v>
      </c>
    </row>
    <row r="3696" spans="1:5" x14ac:dyDescent="0.2">
      <c r="A3696" s="1" t="s">
        <v>1276</v>
      </c>
      <c r="B3696" s="1" t="s">
        <v>436</v>
      </c>
      <c r="C3696" s="5">
        <f>DATE(2025, 8, 21) + TIME(15, 5, 33)</f>
        <v>45890.628854166665</v>
      </c>
      <c r="D3696" s="1" t="s">
        <v>563</v>
      </c>
      <c r="E3696" s="1" t="s">
        <v>878</v>
      </c>
    </row>
    <row r="3697" spans="1:5" x14ac:dyDescent="0.2">
      <c r="A3697" s="1" t="s">
        <v>1276</v>
      </c>
      <c r="B3697" s="1" t="s">
        <v>122</v>
      </c>
      <c r="C3697" s="5">
        <f>DATE(2025, 8, 21) + TIME(14, 28, 53)</f>
        <v>45890.603391203702</v>
      </c>
      <c r="D3697" s="1" t="s">
        <v>269</v>
      </c>
      <c r="E3697" s="1" t="s">
        <v>299</v>
      </c>
    </row>
    <row r="3698" spans="1:5" x14ac:dyDescent="0.2">
      <c r="A3698" s="1" t="s">
        <v>1276</v>
      </c>
      <c r="B3698" s="1" t="s">
        <v>150</v>
      </c>
      <c r="C3698" s="5">
        <f>DATE(2025, 8, 21) + TIME(14, 17, 22)</f>
        <v>45890.595393518517</v>
      </c>
      <c r="D3698" s="1" t="s">
        <v>563</v>
      </c>
      <c r="E3698" s="1" t="s">
        <v>210</v>
      </c>
    </row>
    <row r="3699" spans="1:5" x14ac:dyDescent="0.2">
      <c r="A3699" s="1" t="s">
        <v>1276</v>
      </c>
      <c r="B3699" s="1" t="s">
        <v>864</v>
      </c>
      <c r="C3699" s="5">
        <f>DATE(2025, 8, 21) + TIME(13, 51, 37)</f>
        <v>45890.577511574076</v>
      </c>
      <c r="D3699" s="1" t="s">
        <v>563</v>
      </c>
      <c r="E3699" s="1" t="s">
        <v>351</v>
      </c>
    </row>
    <row r="3700" spans="1:5" x14ac:dyDescent="0.2">
      <c r="A3700" s="1" t="s">
        <v>1276</v>
      </c>
      <c r="B3700" s="1" t="s">
        <v>594</v>
      </c>
      <c r="C3700" s="5">
        <f>DATE(2025, 8, 21) + TIME(11, 30, 52)</f>
        <v>45890.479768518519</v>
      </c>
      <c r="D3700" s="1" t="s">
        <v>3</v>
      </c>
      <c r="E3700" s="1" t="s">
        <v>936</v>
      </c>
    </row>
    <row r="3701" spans="1:5" x14ac:dyDescent="0.2">
      <c r="A3701" s="1" t="s">
        <v>1276</v>
      </c>
      <c r="B3701" s="1" t="s">
        <v>123</v>
      </c>
      <c r="C3701" s="5">
        <f>DATE(2025, 8, 21) + TIME(11, 11, 37)</f>
        <v>45890.466400462959</v>
      </c>
      <c r="D3701" s="1" t="s">
        <v>566</v>
      </c>
      <c r="E3701" s="1" t="s">
        <v>324</v>
      </c>
    </row>
    <row r="3702" spans="1:5" x14ac:dyDescent="0.2">
      <c r="A3702" s="1" t="s">
        <v>1276</v>
      </c>
      <c r="B3702" s="1" t="s">
        <v>150</v>
      </c>
      <c r="C3702" s="5">
        <f>DATE(2025, 8, 21) + TIME(11, 11, 37)</f>
        <v>45890.466400462959</v>
      </c>
      <c r="D3702" s="1" t="s">
        <v>566</v>
      </c>
      <c r="E3702" s="1" t="s">
        <v>324</v>
      </c>
    </row>
    <row r="3703" spans="1:5" x14ac:dyDescent="0.2">
      <c r="A3703" s="1" t="s">
        <v>1276</v>
      </c>
      <c r="B3703" s="1" t="s">
        <v>440</v>
      </c>
      <c r="C3703" s="5">
        <f>DATE(2025, 8, 21) + TIME(11, 11, 37)</f>
        <v>45890.466400462959</v>
      </c>
      <c r="D3703" s="1" t="s">
        <v>566</v>
      </c>
      <c r="E3703" s="1" t="s">
        <v>324</v>
      </c>
    </row>
    <row r="3704" spans="1:5" x14ac:dyDescent="0.2">
      <c r="A3704" s="1" t="s">
        <v>1276</v>
      </c>
      <c r="B3704" s="1" t="s">
        <v>436</v>
      </c>
      <c r="C3704" s="5">
        <f>DATE(2025, 8, 21) + TIME(11, 6, 57)</f>
        <v>45890.463159722225</v>
      </c>
      <c r="D3704" s="1" t="s">
        <v>216</v>
      </c>
      <c r="E3704" s="1" t="s">
        <v>466</v>
      </c>
    </row>
    <row r="3705" spans="1:5" x14ac:dyDescent="0.2">
      <c r="A3705" s="1" t="s">
        <v>1276</v>
      </c>
      <c r="B3705" s="1" t="s">
        <v>9</v>
      </c>
      <c r="C3705" s="5">
        <f>DATE(2025, 8, 20) + TIME(16, 29, 1)</f>
        <v>45889.68681712963</v>
      </c>
      <c r="D3705" s="1" t="s">
        <v>3</v>
      </c>
      <c r="E3705" s="1" t="s">
        <v>890</v>
      </c>
    </row>
    <row r="3706" spans="1:5" x14ac:dyDescent="0.2">
      <c r="A3706" s="1" t="s">
        <v>1276</v>
      </c>
      <c r="B3706" s="1" t="s">
        <v>285</v>
      </c>
      <c r="C3706" s="5">
        <f>DATE(2025, 8, 20) + TIME(16, 14, 7)</f>
        <v>45889.676469907405</v>
      </c>
      <c r="D3706" s="1" t="s">
        <v>506</v>
      </c>
      <c r="E3706" s="1" t="s">
        <v>158</v>
      </c>
    </row>
    <row r="3707" spans="1:5" x14ac:dyDescent="0.2">
      <c r="A3707" s="1" t="s">
        <v>1276</v>
      </c>
      <c r="B3707" s="1" t="s">
        <v>959</v>
      </c>
      <c r="C3707" s="5">
        <f>DATE(2025, 8, 20) + TIME(16, 14, 7)</f>
        <v>45889.676469907405</v>
      </c>
      <c r="D3707" s="1" t="s">
        <v>506</v>
      </c>
      <c r="E3707" s="1" t="s">
        <v>158</v>
      </c>
    </row>
    <row r="3708" spans="1:5" x14ac:dyDescent="0.2">
      <c r="A3708" s="1" t="s">
        <v>1276</v>
      </c>
      <c r="B3708" s="1" t="s">
        <v>664</v>
      </c>
      <c r="C3708" s="5">
        <f>DATE(2025, 8, 20) + TIME(16, 3, 3)</f>
        <v>45889.66878472222</v>
      </c>
      <c r="D3708" s="1" t="s">
        <v>148</v>
      </c>
      <c r="E3708" s="1" t="s">
        <v>621</v>
      </c>
    </row>
    <row r="3709" spans="1:5" x14ac:dyDescent="0.2">
      <c r="A3709" s="1" t="s">
        <v>1276</v>
      </c>
      <c r="B3709" s="1" t="s">
        <v>790</v>
      </c>
      <c r="C3709" s="5">
        <f>DATE(2025, 8, 20) + TIME(15, 24, 55)</f>
        <v>45889.64230324074</v>
      </c>
      <c r="D3709" s="1" t="s">
        <v>320</v>
      </c>
      <c r="E3709" s="1" t="s">
        <v>902</v>
      </c>
    </row>
    <row r="3710" spans="1:5" x14ac:dyDescent="0.2">
      <c r="A3710" s="1" t="s">
        <v>1276</v>
      </c>
      <c r="B3710" s="1" t="s">
        <v>150</v>
      </c>
      <c r="C3710" s="5">
        <f>DATE(2025, 8, 20) + TIME(14, 56, 40)</f>
        <v>45889.622685185182</v>
      </c>
      <c r="D3710" s="1" t="s">
        <v>638</v>
      </c>
      <c r="E3710" s="1" t="s">
        <v>903</v>
      </c>
    </row>
    <row r="3711" spans="1:5" x14ac:dyDescent="0.2">
      <c r="A3711" s="1" t="s">
        <v>1276</v>
      </c>
      <c r="B3711" s="1" t="s">
        <v>150</v>
      </c>
      <c r="C3711" s="5">
        <f>DATE(2025, 8, 20) + TIME(14, 18, 27)</f>
        <v>45889.596145833333</v>
      </c>
      <c r="D3711" s="1" t="s">
        <v>638</v>
      </c>
      <c r="E3711" s="1" t="s">
        <v>518</v>
      </c>
    </row>
    <row r="3712" spans="1:5" x14ac:dyDescent="0.2">
      <c r="A3712" s="1" t="s">
        <v>1276</v>
      </c>
      <c r="B3712" s="1" t="s">
        <v>790</v>
      </c>
      <c r="C3712" s="5">
        <f>DATE(2025, 8, 20) + TIME(14, 18, 27)</f>
        <v>45889.596145833333</v>
      </c>
      <c r="D3712" s="1" t="s">
        <v>638</v>
      </c>
      <c r="E3712" s="1" t="s">
        <v>518</v>
      </c>
    </row>
    <row r="3713" spans="1:5" x14ac:dyDescent="0.2">
      <c r="A3713" s="1" t="s">
        <v>1276</v>
      </c>
      <c r="B3713" s="1" t="s">
        <v>664</v>
      </c>
      <c r="C3713" s="5">
        <f>DATE(2025, 8, 20) + TIME(14, 18, 27)</f>
        <v>45889.596145833333</v>
      </c>
      <c r="D3713" s="1" t="s">
        <v>638</v>
      </c>
      <c r="E3713" s="1" t="s">
        <v>518</v>
      </c>
    </row>
    <row r="3714" spans="1:5" x14ac:dyDescent="0.2">
      <c r="A3714" s="1" t="s">
        <v>1276</v>
      </c>
      <c r="B3714" s="1" t="s">
        <v>664</v>
      </c>
      <c r="C3714" s="5">
        <f>DATE(2025, 8, 20) + TIME(14, 17, 0)</f>
        <v>45889.595138888886</v>
      </c>
      <c r="D3714" s="1" t="s">
        <v>566</v>
      </c>
      <c r="E3714" s="1" t="s">
        <v>938</v>
      </c>
    </row>
    <row r="3715" spans="1:5" x14ac:dyDescent="0.2">
      <c r="A3715" s="1" t="s">
        <v>1276</v>
      </c>
      <c r="B3715" s="1" t="s">
        <v>664</v>
      </c>
      <c r="C3715" s="5">
        <f>DATE(2025, 8, 20) + TIME(14, 13, 43)</f>
        <v>45889.592858796299</v>
      </c>
      <c r="D3715" s="1" t="s">
        <v>269</v>
      </c>
      <c r="E3715" s="1" t="s">
        <v>781</v>
      </c>
    </row>
    <row r="3716" spans="1:5" x14ac:dyDescent="0.2">
      <c r="A3716" s="1" t="s">
        <v>1276</v>
      </c>
      <c r="B3716" s="1" t="s">
        <v>664</v>
      </c>
      <c r="C3716" s="5">
        <f>DATE(2025, 8, 20) + TIME(14, 7, 14)</f>
        <v>45889.588356481479</v>
      </c>
      <c r="D3716" s="1" t="s">
        <v>320</v>
      </c>
      <c r="E3716" s="1" t="s">
        <v>917</v>
      </c>
    </row>
    <row r="3717" spans="1:5" x14ac:dyDescent="0.2">
      <c r="A3717" s="1" t="s">
        <v>1276</v>
      </c>
      <c r="B3717" s="1" t="s">
        <v>919</v>
      </c>
      <c r="C3717" s="5">
        <f>DATE(2025, 8, 20) + TIME(14, 1, 23)</f>
        <v>45889.584293981483</v>
      </c>
      <c r="D3717" s="1" t="s">
        <v>65</v>
      </c>
      <c r="E3717" s="1" t="s">
        <v>918</v>
      </c>
    </row>
    <row r="3718" spans="1:5" x14ac:dyDescent="0.2">
      <c r="A3718" s="1" t="s">
        <v>1276</v>
      </c>
      <c r="B3718" s="1" t="s">
        <v>123</v>
      </c>
      <c r="C3718" s="5">
        <f>DATE(2025, 8, 20) + TIME(13, 50, 19)</f>
        <v>45889.576608796298</v>
      </c>
      <c r="D3718" s="1" t="s">
        <v>64</v>
      </c>
      <c r="E3718" s="1" t="s">
        <v>337</v>
      </c>
    </row>
    <row r="3719" spans="1:5" x14ac:dyDescent="0.2">
      <c r="A3719" s="1" t="s">
        <v>1276</v>
      </c>
      <c r="B3719" s="1" t="s">
        <v>193</v>
      </c>
      <c r="C3719" s="5">
        <f>DATE(2025, 8, 20) + TIME(13, 40, 11)</f>
        <v>45889.569571759261</v>
      </c>
      <c r="D3719" s="1" t="s">
        <v>64</v>
      </c>
      <c r="E3719" s="1" t="s">
        <v>873</v>
      </c>
    </row>
    <row r="3720" spans="1:5" x14ac:dyDescent="0.2">
      <c r="A3720" s="1" t="s">
        <v>1276</v>
      </c>
      <c r="B3720" s="1" t="s">
        <v>496</v>
      </c>
      <c r="C3720" s="5">
        <f>DATE(2025, 8, 20) + TIME(13, 35, 41)</f>
        <v>45889.566446759258</v>
      </c>
      <c r="D3720" s="1" t="s">
        <v>754</v>
      </c>
      <c r="E3720" s="1" t="s">
        <v>363</v>
      </c>
    </row>
    <row r="3721" spans="1:5" x14ac:dyDescent="0.2">
      <c r="A3721" s="1" t="s">
        <v>1276</v>
      </c>
      <c r="B3721" s="1" t="s">
        <v>15</v>
      </c>
      <c r="C3721" s="5">
        <f>DATE(2025, 8, 20) + TIME(13, 10, 12)</f>
        <v>45889.548750000002</v>
      </c>
      <c r="D3721" s="1" t="s">
        <v>356</v>
      </c>
      <c r="E3721" s="1" t="s">
        <v>462</v>
      </c>
    </row>
    <row r="3722" spans="1:5" x14ac:dyDescent="0.2">
      <c r="A3722" s="1" t="s">
        <v>1276</v>
      </c>
      <c r="B3722" s="1" t="s">
        <v>664</v>
      </c>
      <c r="C3722" s="5">
        <f>DATE(2025, 8, 20) + TIME(13, 10, 12)</f>
        <v>45889.548750000002</v>
      </c>
      <c r="D3722" s="1" t="s">
        <v>356</v>
      </c>
      <c r="E3722" s="1" t="s">
        <v>462</v>
      </c>
    </row>
    <row r="3723" spans="1:5" x14ac:dyDescent="0.2">
      <c r="A3723" s="1" t="s">
        <v>1276</v>
      </c>
      <c r="B3723" s="1" t="s">
        <v>866</v>
      </c>
      <c r="C3723" s="5">
        <f>DATE(2025, 8, 20) + TIME(13, 10, 12)</f>
        <v>45889.548750000002</v>
      </c>
      <c r="D3723" s="1" t="s">
        <v>356</v>
      </c>
      <c r="E3723" s="1" t="s">
        <v>462</v>
      </c>
    </row>
    <row r="3724" spans="1:5" x14ac:dyDescent="0.2">
      <c r="A3724" s="1" t="s">
        <v>1276</v>
      </c>
      <c r="B3724" s="1" t="s">
        <v>664</v>
      </c>
      <c r="C3724" s="5">
        <f>DATE(2025, 8, 20) + TIME(13, 9, 6)</f>
        <v>45889.547986111109</v>
      </c>
      <c r="D3724" s="1" t="s">
        <v>144</v>
      </c>
      <c r="E3724" s="1" t="s">
        <v>498</v>
      </c>
    </row>
    <row r="3725" spans="1:5" x14ac:dyDescent="0.2">
      <c r="A3725" s="1" t="s">
        <v>1276</v>
      </c>
      <c r="B3725" s="1" t="s">
        <v>730</v>
      </c>
      <c r="C3725" s="5">
        <f>DATE(2025, 8, 20) + TIME(12, 21, 36)</f>
        <v>45889.514999999999</v>
      </c>
      <c r="D3725" s="1" t="s">
        <v>226</v>
      </c>
      <c r="E3725" s="1" t="s">
        <v>843</v>
      </c>
    </row>
    <row r="3726" spans="1:5" x14ac:dyDescent="0.2">
      <c r="A3726" s="1" t="s">
        <v>1276</v>
      </c>
      <c r="B3726" s="1" t="s">
        <v>499</v>
      </c>
      <c r="C3726" s="5">
        <f>DATE(2025, 8, 20) + TIME(11, 59, 36)</f>
        <v>45889.499722222223</v>
      </c>
      <c r="D3726" s="1" t="s">
        <v>216</v>
      </c>
      <c r="E3726" s="1" t="s">
        <v>410</v>
      </c>
    </row>
    <row r="3727" spans="1:5" x14ac:dyDescent="0.2">
      <c r="A3727" s="1" t="s">
        <v>1276</v>
      </c>
      <c r="B3727" s="1" t="s">
        <v>123</v>
      </c>
      <c r="C3727" s="5">
        <f>DATE(2025, 8, 20) + TIME(11, 53, 3)</f>
        <v>45889.495173611111</v>
      </c>
      <c r="D3727" s="1" t="s">
        <v>226</v>
      </c>
      <c r="E3727" s="1" t="s">
        <v>19</v>
      </c>
    </row>
    <row r="3728" spans="1:5" x14ac:dyDescent="0.2">
      <c r="A3728" s="1" t="s">
        <v>1276</v>
      </c>
      <c r="B3728" s="1" t="s">
        <v>866</v>
      </c>
      <c r="C3728" s="5">
        <f>DATE(2025, 8, 20) + TIME(11, 51, 38)</f>
        <v>45889.494189814817</v>
      </c>
      <c r="D3728" s="1" t="s">
        <v>320</v>
      </c>
      <c r="E3728" s="1" t="s">
        <v>845</v>
      </c>
    </row>
    <row r="3729" spans="1:5" x14ac:dyDescent="0.2">
      <c r="A3729" s="1" t="s">
        <v>1276</v>
      </c>
      <c r="B3729" s="1" t="s">
        <v>150</v>
      </c>
      <c r="C3729" s="5">
        <f>DATE(2025, 8, 20) + TIME(11, 43, 41)</f>
        <v>45889.488668981481</v>
      </c>
      <c r="D3729" s="1" t="s">
        <v>216</v>
      </c>
      <c r="E3729" s="1" t="s">
        <v>321</v>
      </c>
    </row>
    <row r="3730" spans="1:5" x14ac:dyDescent="0.2">
      <c r="A3730" s="1" t="s">
        <v>1276</v>
      </c>
      <c r="B3730" s="1" t="s">
        <v>443</v>
      </c>
      <c r="C3730" s="5">
        <f>DATE(2025, 8, 20) + TIME(11, 9, 8)</f>
        <v>45889.464675925927</v>
      </c>
      <c r="D3730" s="1" t="s">
        <v>566</v>
      </c>
      <c r="E3730" s="1" t="s">
        <v>888</v>
      </c>
    </row>
    <row r="3731" spans="1:5" x14ac:dyDescent="0.2">
      <c r="A3731" s="1" t="s">
        <v>1276</v>
      </c>
      <c r="B3731" s="1" t="s">
        <v>730</v>
      </c>
      <c r="C3731" s="5">
        <f>DATE(2025, 8, 20) + TIME(10, 48, 18)</f>
        <v>45889.450208333335</v>
      </c>
      <c r="D3731" s="1" t="s">
        <v>226</v>
      </c>
      <c r="E3731" s="1" t="s">
        <v>843</v>
      </c>
    </row>
    <row r="3732" spans="1:5" x14ac:dyDescent="0.2">
      <c r="A3732" s="1" t="s">
        <v>1276</v>
      </c>
      <c r="B3732" s="1" t="s">
        <v>848</v>
      </c>
      <c r="C3732" s="5">
        <f>DATE(2025, 8, 20) + TIME(9, 48, 28)</f>
        <v>45889.40865740741</v>
      </c>
      <c r="D3732" s="1" t="s">
        <v>566</v>
      </c>
      <c r="E3732" s="1" t="s">
        <v>888</v>
      </c>
    </row>
    <row r="3733" spans="1:5" x14ac:dyDescent="0.2">
      <c r="A3733" s="1" t="s">
        <v>1276</v>
      </c>
      <c r="B3733" s="1" t="s">
        <v>191</v>
      </c>
      <c r="C3733" s="5">
        <f>DATE(2025, 8, 20) + TIME(9, 48, 28)</f>
        <v>45889.40865740741</v>
      </c>
      <c r="D3733" s="1" t="s">
        <v>566</v>
      </c>
      <c r="E3733" s="1" t="s">
        <v>888</v>
      </c>
    </row>
    <row r="3734" spans="1:5" x14ac:dyDescent="0.2">
      <c r="A3734" s="1" t="s">
        <v>1276</v>
      </c>
      <c r="B3734" s="1" t="s">
        <v>664</v>
      </c>
      <c r="C3734" s="5">
        <f>DATE(2025, 8, 20) + TIME(9, 48, 28)</f>
        <v>45889.40865740741</v>
      </c>
      <c r="D3734" s="1" t="s">
        <v>566</v>
      </c>
      <c r="E3734" s="1" t="s">
        <v>888</v>
      </c>
    </row>
    <row r="3735" spans="1:5" x14ac:dyDescent="0.2">
      <c r="A3735" s="1" t="s">
        <v>1276</v>
      </c>
      <c r="B3735" s="1" t="s">
        <v>898</v>
      </c>
      <c r="C3735" s="5">
        <f>DATE(2025, 8, 20) + TIME(9, 48, 28)</f>
        <v>45889.40865740741</v>
      </c>
      <c r="D3735" s="1" t="s">
        <v>566</v>
      </c>
      <c r="E3735" s="1" t="s">
        <v>888</v>
      </c>
    </row>
    <row r="3736" spans="1:5" x14ac:dyDescent="0.2">
      <c r="A3736" s="1" t="s">
        <v>1276</v>
      </c>
      <c r="B3736" s="1" t="s">
        <v>271</v>
      </c>
      <c r="C3736" s="5">
        <f>DATE(2025, 8, 19) + TIME(15, 5, 21)</f>
        <v>45888.62871527778</v>
      </c>
      <c r="D3736" s="1" t="s">
        <v>576</v>
      </c>
      <c r="E3736" s="1" t="s">
        <v>275</v>
      </c>
    </row>
    <row r="3737" spans="1:5" x14ac:dyDescent="0.2">
      <c r="A3737" s="1" t="s">
        <v>1276</v>
      </c>
      <c r="B3737" s="1" t="s">
        <v>664</v>
      </c>
      <c r="C3737" s="5">
        <f>DATE(2025, 8, 19) + TIME(14, 56, 19)</f>
        <v>45888.622442129628</v>
      </c>
      <c r="D3737" s="1" t="s">
        <v>467</v>
      </c>
      <c r="E3737" s="1" t="s">
        <v>541</v>
      </c>
    </row>
    <row r="3738" spans="1:5" x14ac:dyDescent="0.2">
      <c r="A3738" s="1" t="s">
        <v>1276</v>
      </c>
      <c r="B3738" s="1" t="s">
        <v>542</v>
      </c>
      <c r="C3738" s="5">
        <f>DATE(2025, 8, 19) + TIME(14, 12, 45)</f>
        <v>45888.592187499999</v>
      </c>
      <c r="D3738" s="1" t="s">
        <v>467</v>
      </c>
      <c r="E3738" s="1" t="s">
        <v>770</v>
      </c>
    </row>
    <row r="3739" spans="1:5" x14ac:dyDescent="0.2">
      <c r="A3739" s="1" t="s">
        <v>1276</v>
      </c>
      <c r="B3739" s="1" t="s">
        <v>69</v>
      </c>
      <c r="C3739" s="5">
        <f>DATE(2025, 8, 19) + TIME(14, 12, 45)</f>
        <v>45888.592187499999</v>
      </c>
      <c r="D3739" s="1" t="s">
        <v>467</v>
      </c>
      <c r="E3739" s="1" t="s">
        <v>770</v>
      </c>
    </row>
    <row r="3740" spans="1:5" x14ac:dyDescent="0.2">
      <c r="A3740" s="1" t="s">
        <v>1276</v>
      </c>
      <c r="B3740" s="1" t="s">
        <v>60</v>
      </c>
      <c r="C3740" s="5">
        <f>DATE(2025, 8, 19) + TIME(14, 12, 45)</f>
        <v>45888.592187499999</v>
      </c>
      <c r="D3740" s="1" t="s">
        <v>467</v>
      </c>
      <c r="E3740" s="1" t="s">
        <v>770</v>
      </c>
    </row>
    <row r="3741" spans="1:5" x14ac:dyDescent="0.2">
      <c r="A3741" s="1" t="s">
        <v>1276</v>
      </c>
      <c r="B3741" s="1" t="s">
        <v>323</v>
      </c>
      <c r="C3741" s="5">
        <f>DATE(2025, 8, 19) + TIME(14, 12, 45)</f>
        <v>45888.592187499999</v>
      </c>
      <c r="D3741" s="1" t="s">
        <v>467</v>
      </c>
      <c r="E3741" s="1" t="s">
        <v>770</v>
      </c>
    </row>
    <row r="3742" spans="1:5" x14ac:dyDescent="0.2">
      <c r="A3742" s="1" t="s">
        <v>1276</v>
      </c>
      <c r="B3742" s="1" t="s">
        <v>898</v>
      </c>
      <c r="C3742" s="5">
        <f>DATE(2025, 8, 19) + TIME(13, 47, 24)</f>
        <v>45888.574583333335</v>
      </c>
      <c r="D3742" s="1" t="s">
        <v>640</v>
      </c>
      <c r="E3742" s="1" t="s">
        <v>761</v>
      </c>
    </row>
    <row r="3743" spans="1:5" x14ac:dyDescent="0.2">
      <c r="A3743" s="1" t="s">
        <v>1276</v>
      </c>
      <c r="B3743" s="1" t="s">
        <v>664</v>
      </c>
      <c r="C3743" s="5">
        <f>DATE(2025, 8, 19) + TIME(13, 29, 8)</f>
        <v>45888.561898148146</v>
      </c>
      <c r="D3743" s="1" t="s">
        <v>576</v>
      </c>
      <c r="E3743" s="1" t="s">
        <v>327</v>
      </c>
    </row>
    <row r="3744" spans="1:5" x14ac:dyDescent="0.2">
      <c r="A3744" s="1" t="s">
        <v>1276</v>
      </c>
      <c r="B3744" s="1" t="s">
        <v>817</v>
      </c>
      <c r="C3744" s="5">
        <f>DATE(2025, 8, 19) + TIME(12, 26, 48)</f>
        <v>45888.518611111111</v>
      </c>
      <c r="D3744" s="1" t="s">
        <v>576</v>
      </c>
      <c r="E3744" s="1" t="s">
        <v>842</v>
      </c>
    </row>
    <row r="3745" spans="1:5" x14ac:dyDescent="0.2">
      <c r="A3745" s="1" t="s">
        <v>1276</v>
      </c>
      <c r="B3745" s="1" t="s">
        <v>664</v>
      </c>
      <c r="C3745" s="5">
        <f>DATE(2025, 8, 19) + TIME(11, 45, 51)</f>
        <v>45888.490173611113</v>
      </c>
      <c r="D3745" s="1" t="s">
        <v>467</v>
      </c>
      <c r="E3745" s="1" t="s">
        <v>894</v>
      </c>
    </row>
    <row r="3746" spans="1:5" x14ac:dyDescent="0.2">
      <c r="A3746" s="1" t="s">
        <v>1276</v>
      </c>
      <c r="B3746" s="1" t="s">
        <v>655</v>
      </c>
      <c r="C3746" s="5">
        <f>DATE(2025, 8, 19) + TIME(5, 20, 31)</f>
        <v>45888.222581018519</v>
      </c>
      <c r="D3746" s="1" t="s">
        <v>467</v>
      </c>
      <c r="E3746" s="1" t="s">
        <v>143</v>
      </c>
    </row>
    <row r="3747" spans="1:5" x14ac:dyDescent="0.2">
      <c r="A3747" s="1" t="s">
        <v>1276</v>
      </c>
      <c r="B3747" s="1" t="s">
        <v>740</v>
      </c>
      <c r="C3747" s="5">
        <f>DATE(2025, 8, 19) + TIME(5, 20, 31)</f>
        <v>45888.222581018519</v>
      </c>
      <c r="D3747" s="1" t="s">
        <v>467</v>
      </c>
      <c r="E3747" s="1" t="s">
        <v>143</v>
      </c>
    </row>
    <row r="3748" spans="1:5" x14ac:dyDescent="0.2">
      <c r="A3748" s="1" t="s">
        <v>1276</v>
      </c>
      <c r="B3748" s="1" t="s">
        <v>791</v>
      </c>
      <c r="C3748" s="5">
        <f>DATE(2025, 8, 19) + TIME(5, 20, 30)</f>
        <v>45888.222569444442</v>
      </c>
      <c r="D3748" s="1" t="s">
        <v>467</v>
      </c>
      <c r="E3748" s="1" t="s">
        <v>143</v>
      </c>
    </row>
    <row r="3749" spans="1:5" x14ac:dyDescent="0.2">
      <c r="A3749" s="1" t="s">
        <v>1276</v>
      </c>
      <c r="B3749" s="1" t="s">
        <v>848</v>
      </c>
      <c r="C3749" s="5">
        <f>DATE(2025, 8, 19) + TIME(5, 20, 30)</f>
        <v>45888.222569444442</v>
      </c>
      <c r="D3749" s="1" t="s">
        <v>467</v>
      </c>
      <c r="E3749" s="1" t="s">
        <v>143</v>
      </c>
    </row>
    <row r="3750" spans="1:5" x14ac:dyDescent="0.2">
      <c r="A3750" s="1" t="s">
        <v>1276</v>
      </c>
      <c r="B3750" s="1" t="s">
        <v>664</v>
      </c>
      <c r="C3750" s="5">
        <f>DATE(2025, 8, 18) + TIME(16, 13, 53)</f>
        <v>45887.676307870373</v>
      </c>
      <c r="D3750" s="1" t="s">
        <v>144</v>
      </c>
      <c r="E3750" s="1" t="s">
        <v>613</v>
      </c>
    </row>
    <row r="3751" spans="1:5" x14ac:dyDescent="0.2">
      <c r="A3751" s="1" t="s">
        <v>1276</v>
      </c>
      <c r="B3751" s="1" t="s">
        <v>305</v>
      </c>
      <c r="C3751" s="5">
        <f>DATE(2025, 8, 18) + TIME(15, 52, 53)</f>
        <v>45887.661724537036</v>
      </c>
      <c r="D3751" s="1" t="s">
        <v>871</v>
      </c>
      <c r="E3751" s="1" t="s">
        <v>839</v>
      </c>
    </row>
    <row r="3752" spans="1:5" x14ac:dyDescent="0.2">
      <c r="A3752" s="1" t="s">
        <v>1276</v>
      </c>
      <c r="B3752" s="1" t="s">
        <v>489</v>
      </c>
      <c r="C3752" s="5">
        <f>DATE(2025, 8, 18) + TIME(14, 23, 9)</f>
        <v>45887.599409722221</v>
      </c>
      <c r="D3752" s="1" t="s">
        <v>396</v>
      </c>
      <c r="E3752" s="1" t="s">
        <v>567</v>
      </c>
    </row>
    <row r="3753" spans="1:5" x14ac:dyDescent="0.2">
      <c r="A3753" s="1" t="s">
        <v>1276</v>
      </c>
      <c r="B3753" s="1" t="s">
        <v>664</v>
      </c>
      <c r="C3753" s="5">
        <f>DATE(2025, 8, 18) + TIME(11, 50, 38)</f>
        <v>45887.493495370371</v>
      </c>
      <c r="D3753" s="1" t="s">
        <v>467</v>
      </c>
      <c r="E3753" s="1" t="s">
        <v>288</v>
      </c>
    </row>
    <row r="3754" spans="1:5" x14ac:dyDescent="0.2">
      <c r="A3754" s="1" t="s">
        <v>1276</v>
      </c>
      <c r="B3754" s="1" t="s">
        <v>664</v>
      </c>
      <c r="C3754" s="5">
        <f>DATE(2025, 8, 18) + TIME(11, 43, 54)</f>
        <v>45887.488819444443</v>
      </c>
      <c r="D3754" s="1" t="s">
        <v>869</v>
      </c>
      <c r="E3754" s="1" t="s">
        <v>639</v>
      </c>
    </row>
    <row r="3755" spans="1:5" x14ac:dyDescent="0.2">
      <c r="A3755" s="1" t="s">
        <v>1276</v>
      </c>
      <c r="B3755" s="1" t="s">
        <v>196</v>
      </c>
      <c r="C3755" s="5">
        <f>DATE(2025, 8, 14) + TIME(16, 8, 19)</f>
        <v>45883.672442129631</v>
      </c>
      <c r="D3755" s="1" t="s">
        <v>566</v>
      </c>
      <c r="E3755" s="1" t="s">
        <v>324</v>
      </c>
    </row>
    <row r="3756" spans="1:5" x14ac:dyDescent="0.2">
      <c r="A3756" s="1" t="s">
        <v>1276</v>
      </c>
      <c r="B3756" s="1" t="s">
        <v>496</v>
      </c>
      <c r="C3756" s="5">
        <f>DATE(2025, 8, 14) + TIME(16, 8, 19)</f>
        <v>45883.672442129631</v>
      </c>
      <c r="D3756" s="1" t="s">
        <v>566</v>
      </c>
      <c r="E3756" s="1" t="s">
        <v>324</v>
      </c>
    </row>
    <row r="3757" spans="1:5" x14ac:dyDescent="0.2">
      <c r="A3757" s="1" t="s">
        <v>1276</v>
      </c>
      <c r="B3757" s="1" t="s">
        <v>113</v>
      </c>
      <c r="C3757" s="5">
        <f>DATE(2025, 8, 14) + TIME(16, 8, 19)</f>
        <v>45883.672442129631</v>
      </c>
      <c r="D3757" s="1" t="s">
        <v>566</v>
      </c>
      <c r="E3757" s="1" t="s">
        <v>324</v>
      </c>
    </row>
    <row r="3758" spans="1:5" x14ac:dyDescent="0.2">
      <c r="A3758" s="1" t="s">
        <v>1276</v>
      </c>
      <c r="B3758" s="1" t="s">
        <v>849</v>
      </c>
      <c r="C3758" s="5">
        <f>DATE(2025, 8, 14) + TIME(16, 8, 19)</f>
        <v>45883.672442129631</v>
      </c>
      <c r="D3758" s="1" t="s">
        <v>566</v>
      </c>
      <c r="E3758" s="1" t="s">
        <v>324</v>
      </c>
    </row>
    <row r="3759" spans="1:5" x14ac:dyDescent="0.2">
      <c r="A3759" s="1" t="s">
        <v>1276</v>
      </c>
      <c r="B3759" s="1" t="s">
        <v>688</v>
      </c>
      <c r="C3759" s="5">
        <f>DATE(2025, 8, 14) + TIME(15, 42, 46)</f>
        <v>45883.654699074075</v>
      </c>
      <c r="D3759" s="1" t="s">
        <v>269</v>
      </c>
      <c r="E3759" s="1" t="s">
        <v>299</v>
      </c>
    </row>
    <row r="3760" spans="1:5" x14ac:dyDescent="0.2">
      <c r="A3760" s="1" t="s">
        <v>1276</v>
      </c>
      <c r="B3760" s="1" t="s">
        <v>790</v>
      </c>
      <c r="C3760" s="5">
        <f>DATE(2025, 8, 14) + TIME(15, 38, 56)</f>
        <v>45883.652037037034</v>
      </c>
      <c r="D3760" s="1" t="s">
        <v>640</v>
      </c>
      <c r="E3760" s="1" t="s">
        <v>520</v>
      </c>
    </row>
    <row r="3761" spans="1:5" x14ac:dyDescent="0.2">
      <c r="A3761" s="1" t="s">
        <v>1276</v>
      </c>
      <c r="B3761" s="1" t="s">
        <v>328</v>
      </c>
      <c r="C3761" s="5">
        <f>DATE(2025, 8, 14) + TIME(15, 9, 54)</f>
        <v>45883.631874999999</v>
      </c>
      <c r="D3761" s="1" t="s">
        <v>226</v>
      </c>
      <c r="E3761" s="1" t="s">
        <v>870</v>
      </c>
    </row>
    <row r="3762" spans="1:5" x14ac:dyDescent="0.2">
      <c r="A3762" s="1" t="s">
        <v>1276</v>
      </c>
      <c r="B3762" s="1" t="s">
        <v>235</v>
      </c>
      <c r="C3762" s="5">
        <f>DATE(2025, 8, 14) + TIME(15, 9, 36)</f>
        <v>45883.631666666668</v>
      </c>
      <c r="D3762" s="1" t="s">
        <v>506</v>
      </c>
      <c r="E3762" s="1" t="s">
        <v>867</v>
      </c>
    </row>
    <row r="3763" spans="1:5" x14ac:dyDescent="0.2">
      <c r="A3763" s="1" t="s">
        <v>1276</v>
      </c>
      <c r="B3763" s="1" t="s">
        <v>790</v>
      </c>
      <c r="C3763" s="5">
        <f>DATE(2025, 8, 14) + TIME(15, 9, 35)</f>
        <v>45883.631655092591</v>
      </c>
      <c r="D3763" s="1" t="s">
        <v>506</v>
      </c>
      <c r="E3763" s="1" t="s">
        <v>867</v>
      </c>
    </row>
    <row r="3764" spans="1:5" x14ac:dyDescent="0.2">
      <c r="A3764" s="1" t="s">
        <v>1276</v>
      </c>
      <c r="B3764" s="1" t="s">
        <v>664</v>
      </c>
      <c r="C3764" s="5">
        <f>DATE(2025, 8, 14) + TIME(14, 20, 39)</f>
        <v>45883.597673611112</v>
      </c>
      <c r="D3764" s="1" t="s">
        <v>563</v>
      </c>
      <c r="E3764" s="1" t="s">
        <v>351</v>
      </c>
    </row>
    <row r="3765" spans="1:5" x14ac:dyDescent="0.2">
      <c r="A3765" s="1" t="s">
        <v>1276</v>
      </c>
      <c r="B3765" s="1" t="s">
        <v>664</v>
      </c>
      <c r="C3765" s="5">
        <f>DATE(2025, 8, 14) + TIME(13, 51, 24)</f>
        <v>45883.577361111114</v>
      </c>
      <c r="D3765" s="1" t="s">
        <v>144</v>
      </c>
      <c r="E3765" s="1" t="s">
        <v>728</v>
      </c>
    </row>
    <row r="3766" spans="1:5" x14ac:dyDescent="0.2">
      <c r="A3766" s="1" t="s">
        <v>1276</v>
      </c>
      <c r="B3766" s="1" t="s">
        <v>664</v>
      </c>
      <c r="C3766" s="5">
        <f>DATE(2025, 8, 14) + TIME(13, 35, 44)</f>
        <v>45883.566481481481</v>
      </c>
      <c r="D3766" s="1" t="s">
        <v>563</v>
      </c>
      <c r="E3766" s="1" t="s">
        <v>657</v>
      </c>
    </row>
    <row r="3767" spans="1:5" x14ac:dyDescent="0.2">
      <c r="A3767" s="1" t="s">
        <v>1276</v>
      </c>
      <c r="B3767" s="1" t="s">
        <v>932</v>
      </c>
      <c r="C3767" s="5">
        <f>DATE(2025, 8, 14) + TIME(9, 6, 44)</f>
        <v>45883.379675925928</v>
      </c>
      <c r="D3767" s="1" t="s">
        <v>640</v>
      </c>
      <c r="E3767" s="1" t="s">
        <v>500</v>
      </c>
    </row>
    <row r="3768" spans="1:5" x14ac:dyDescent="0.2">
      <c r="A3768" s="1" t="s">
        <v>1276</v>
      </c>
      <c r="B3768" s="1" t="s">
        <v>790</v>
      </c>
      <c r="C3768" s="5">
        <f>DATE(2025, 8, 14) + TIME(8, 53, 18)</f>
        <v>45883.370347222219</v>
      </c>
      <c r="D3768" s="1" t="s">
        <v>869</v>
      </c>
      <c r="E3768" s="1" t="s">
        <v>314</v>
      </c>
    </row>
    <row r="3769" spans="1:5" x14ac:dyDescent="0.2">
      <c r="A3769" s="1" t="s">
        <v>1276</v>
      </c>
      <c r="B3769" s="1" t="s">
        <v>664</v>
      </c>
      <c r="C3769" s="5">
        <f>DATE(2025, 8, 14) + TIME(8, 53, 18)</f>
        <v>45883.370347222219</v>
      </c>
      <c r="D3769" s="1" t="s">
        <v>869</v>
      </c>
      <c r="E3769" s="1" t="s">
        <v>314</v>
      </c>
    </row>
    <row r="3770" spans="1:5" x14ac:dyDescent="0.2">
      <c r="A3770" s="1" t="s">
        <v>1276</v>
      </c>
      <c r="B3770" s="1" t="s">
        <v>562</v>
      </c>
      <c r="C3770" s="5">
        <f>DATE(2025, 8, 13) + TIME(20, 44, 6)</f>
        <v>45882.863958333335</v>
      </c>
      <c r="D3770" s="1" t="s">
        <v>506</v>
      </c>
      <c r="E3770" s="1" t="s">
        <v>709</v>
      </c>
    </row>
    <row r="3771" spans="1:5" x14ac:dyDescent="0.2">
      <c r="A3771" s="1" t="s">
        <v>1276</v>
      </c>
      <c r="B3771" s="1" t="s">
        <v>790</v>
      </c>
      <c r="C3771" s="5">
        <f>DATE(2025, 8, 13) + TIME(15, 44, 11)</f>
        <v>45882.655682870369</v>
      </c>
      <c r="D3771" s="1" t="s">
        <v>506</v>
      </c>
      <c r="E3771" s="1" t="s">
        <v>158</v>
      </c>
    </row>
    <row r="3772" spans="1:5" x14ac:dyDescent="0.2">
      <c r="A3772" s="1" t="s">
        <v>1276</v>
      </c>
      <c r="B3772" s="1" t="s">
        <v>904</v>
      </c>
      <c r="C3772" s="5">
        <f>DATE(2025, 8, 13) + TIME(15, 44, 11)</f>
        <v>45882.655682870369</v>
      </c>
      <c r="D3772" s="1" t="s">
        <v>506</v>
      </c>
      <c r="E3772" s="1" t="s">
        <v>158</v>
      </c>
    </row>
    <row r="3773" spans="1:5" x14ac:dyDescent="0.2">
      <c r="A3773" s="1" t="s">
        <v>1276</v>
      </c>
      <c r="B3773" s="1" t="s">
        <v>436</v>
      </c>
      <c r="C3773" s="5">
        <f>DATE(2025, 8, 13) + TIME(15, 22, 56)</f>
        <v>45882.640925925924</v>
      </c>
      <c r="D3773" s="1" t="s">
        <v>566</v>
      </c>
      <c r="E3773" s="1" t="s">
        <v>888</v>
      </c>
    </row>
    <row r="3774" spans="1:5" x14ac:dyDescent="0.2">
      <c r="A3774" s="1" t="s">
        <v>1276</v>
      </c>
      <c r="B3774" s="1" t="s">
        <v>664</v>
      </c>
      <c r="C3774" s="5">
        <f>DATE(2025, 8, 13) + TIME(14, 21, 8)</f>
        <v>45882.598009259258</v>
      </c>
      <c r="D3774" s="1" t="s">
        <v>638</v>
      </c>
      <c r="E3774" s="1" t="s">
        <v>258</v>
      </c>
    </row>
    <row r="3775" spans="1:5" x14ac:dyDescent="0.2">
      <c r="A3775" s="1" t="s">
        <v>1276</v>
      </c>
      <c r="B3775" s="1" t="s">
        <v>378</v>
      </c>
      <c r="C3775" s="5">
        <f>DATE(2025, 8, 13) + TIME(14, 16, 0)</f>
        <v>45882.594444444447</v>
      </c>
      <c r="D3775" s="1" t="s">
        <v>3</v>
      </c>
      <c r="E3775" s="1" t="s">
        <v>684</v>
      </c>
    </row>
    <row r="3776" spans="1:5" x14ac:dyDescent="0.2">
      <c r="A3776" s="1" t="s">
        <v>1276</v>
      </c>
      <c r="B3776" s="1" t="s">
        <v>866</v>
      </c>
      <c r="C3776" s="5">
        <f>DATE(2025, 8, 13) + TIME(13, 17, 31)</f>
        <v>45882.553831018522</v>
      </c>
      <c r="D3776" s="1" t="s">
        <v>566</v>
      </c>
      <c r="E3776" s="1" t="s">
        <v>945</v>
      </c>
    </row>
    <row r="3777" spans="1:5" x14ac:dyDescent="0.2">
      <c r="A3777" s="1" t="s">
        <v>1276</v>
      </c>
      <c r="B3777" s="1" t="s">
        <v>594</v>
      </c>
      <c r="C3777" s="5">
        <f>DATE(2025, 8, 13) + TIME(13, 9, 49)</f>
        <v>45882.548483796294</v>
      </c>
      <c r="D3777" s="1" t="s">
        <v>3</v>
      </c>
      <c r="E3777" s="1" t="s">
        <v>936</v>
      </c>
    </row>
    <row r="3778" spans="1:5" x14ac:dyDescent="0.2">
      <c r="A3778" s="1" t="s">
        <v>1276</v>
      </c>
      <c r="B3778" s="1" t="s">
        <v>322</v>
      </c>
      <c r="C3778" s="5">
        <f>DATE(2025, 8, 13) + TIME(12, 52, 6)</f>
        <v>45882.536180555559</v>
      </c>
      <c r="D3778" s="1" t="s">
        <v>5</v>
      </c>
      <c r="E3778" s="1" t="s">
        <v>568</v>
      </c>
    </row>
    <row r="3779" spans="1:5" x14ac:dyDescent="0.2">
      <c r="A3779" s="1" t="s">
        <v>1276</v>
      </c>
      <c r="B3779" s="1" t="s">
        <v>905</v>
      </c>
      <c r="C3779" s="5">
        <f>DATE(2025, 8, 13) + TIME(12, 52, 6)</f>
        <v>45882.536180555559</v>
      </c>
      <c r="D3779" s="1" t="s">
        <v>5</v>
      </c>
      <c r="E3779" s="1" t="s">
        <v>568</v>
      </c>
    </row>
    <row r="3780" spans="1:5" x14ac:dyDescent="0.2">
      <c r="A3780" s="1" t="s">
        <v>1276</v>
      </c>
      <c r="B3780" s="1" t="s">
        <v>60</v>
      </c>
      <c r="C3780" s="5">
        <f>DATE(2025, 8, 13) + TIME(12, 36, 10)</f>
        <v>45882.52511574074</v>
      </c>
      <c r="D3780" s="1" t="s">
        <v>638</v>
      </c>
      <c r="E3780" s="1" t="s">
        <v>315</v>
      </c>
    </row>
    <row r="3781" spans="1:5" x14ac:dyDescent="0.2">
      <c r="A3781" s="1" t="s">
        <v>1276</v>
      </c>
      <c r="B3781" s="1" t="s">
        <v>271</v>
      </c>
      <c r="C3781" s="5">
        <f>DATE(2025, 8, 13) + TIME(12, 2, 53)</f>
        <v>45882.502002314817</v>
      </c>
      <c r="D3781" s="1" t="s">
        <v>216</v>
      </c>
      <c r="E3781" s="1" t="s">
        <v>519</v>
      </c>
    </row>
    <row r="3782" spans="1:5" x14ac:dyDescent="0.2">
      <c r="A3782" s="1" t="s">
        <v>1276</v>
      </c>
      <c r="B3782" s="1" t="s">
        <v>271</v>
      </c>
      <c r="C3782" s="5">
        <f>DATE(2025, 8, 12) + TIME(13, 58, 6)</f>
        <v>45881.582013888888</v>
      </c>
      <c r="D3782" s="1" t="s">
        <v>148</v>
      </c>
      <c r="E3782" s="1" t="s">
        <v>877</v>
      </c>
    </row>
    <row r="3783" spans="1:5" x14ac:dyDescent="0.2">
      <c r="A3783" s="1" t="s">
        <v>1276</v>
      </c>
      <c r="B3783" s="1" t="s">
        <v>562</v>
      </c>
      <c r="C3783" s="5">
        <f>DATE(2025, 8, 12) + TIME(13, 52, 40)</f>
        <v>45881.578240740739</v>
      </c>
      <c r="D3783" s="1" t="s">
        <v>566</v>
      </c>
      <c r="E3783" s="1" t="s">
        <v>924</v>
      </c>
    </row>
    <row r="3784" spans="1:5" x14ac:dyDescent="0.2">
      <c r="A3784" s="1" t="s">
        <v>1276</v>
      </c>
      <c r="B3784" s="1" t="s">
        <v>664</v>
      </c>
      <c r="C3784" s="5">
        <f>DATE(2025, 8, 12) + TIME(13, 8, 22)</f>
        <v>45881.547476851854</v>
      </c>
      <c r="D3784" s="1" t="s">
        <v>576</v>
      </c>
      <c r="E3784" s="1" t="s">
        <v>213</v>
      </c>
    </row>
    <row r="3785" spans="1:5" x14ac:dyDescent="0.2">
      <c r="A3785" s="1" t="s">
        <v>1276</v>
      </c>
      <c r="B3785" s="1" t="s">
        <v>197</v>
      </c>
      <c r="C3785" s="5">
        <f>DATE(2025, 8, 12) + TIME(12, 17, 14)</f>
        <v>45881.511967592596</v>
      </c>
      <c r="D3785" s="1" t="s">
        <v>65</v>
      </c>
      <c r="E3785" s="1" t="s">
        <v>444</v>
      </c>
    </row>
    <row r="3786" spans="1:5" x14ac:dyDescent="0.2">
      <c r="A3786" s="1" t="s">
        <v>1276</v>
      </c>
      <c r="B3786" s="1" t="s">
        <v>664</v>
      </c>
      <c r="C3786" s="5">
        <f>DATE(2025, 8, 12) + TIME(11, 39, 49)</f>
        <v>45881.485983796294</v>
      </c>
      <c r="D3786" s="1" t="s">
        <v>320</v>
      </c>
      <c r="E3786" s="1" t="s">
        <v>239</v>
      </c>
    </row>
    <row r="3787" spans="1:5" x14ac:dyDescent="0.2">
      <c r="A3787" s="1" t="s">
        <v>1276</v>
      </c>
      <c r="B3787" s="1" t="s">
        <v>436</v>
      </c>
      <c r="C3787" s="5">
        <f>DATE(2025, 8, 12) + TIME(11, 9, 52)</f>
        <v>45881.465185185189</v>
      </c>
      <c r="D3787" s="1" t="s">
        <v>869</v>
      </c>
      <c r="E3787" s="1" t="s">
        <v>16</v>
      </c>
    </row>
    <row r="3788" spans="1:5" x14ac:dyDescent="0.2">
      <c r="A3788" s="1" t="s">
        <v>1276</v>
      </c>
      <c r="B3788" s="1" t="s">
        <v>790</v>
      </c>
      <c r="C3788" s="5">
        <f>DATE(2025, 8, 12) + TIME(10, 36, 1)</f>
        <v>45881.441678240742</v>
      </c>
      <c r="D3788" s="1" t="s">
        <v>126</v>
      </c>
      <c r="E3788" s="1" t="s">
        <v>143</v>
      </c>
    </row>
    <row r="3789" spans="1:5" x14ac:dyDescent="0.2">
      <c r="A3789" s="1" t="s">
        <v>1276</v>
      </c>
      <c r="B3789" s="1" t="s">
        <v>668</v>
      </c>
      <c r="C3789" s="5">
        <f>DATE(2025, 8, 12) + TIME(10, 36, 1)</f>
        <v>45881.441678240742</v>
      </c>
      <c r="D3789" s="1" t="s">
        <v>126</v>
      </c>
      <c r="E3789" s="1" t="s">
        <v>143</v>
      </c>
    </row>
    <row r="3790" spans="1:5" x14ac:dyDescent="0.2">
      <c r="A3790" s="1" t="s">
        <v>1276</v>
      </c>
      <c r="B3790" s="1" t="s">
        <v>305</v>
      </c>
      <c r="C3790" s="5">
        <f>DATE(2025, 8, 12) + TIME(10, 36, 1)</f>
        <v>45881.441678240742</v>
      </c>
      <c r="D3790" s="1" t="s">
        <v>126</v>
      </c>
      <c r="E3790" s="1" t="s">
        <v>143</v>
      </c>
    </row>
    <row r="3791" spans="1:5" x14ac:dyDescent="0.2">
      <c r="A3791" s="1" t="s">
        <v>1276</v>
      </c>
      <c r="B3791" s="1" t="s">
        <v>793</v>
      </c>
      <c r="C3791" s="5">
        <f>DATE(2025, 8, 12) + TIME(10, 36, 1)</f>
        <v>45881.441678240742</v>
      </c>
      <c r="D3791" s="1" t="s">
        <v>126</v>
      </c>
      <c r="E3791" s="1" t="s">
        <v>143</v>
      </c>
    </row>
    <row r="3792" spans="1:5" x14ac:dyDescent="0.2">
      <c r="A3792" s="1" t="s">
        <v>1276</v>
      </c>
      <c r="B3792" s="1" t="s">
        <v>436</v>
      </c>
      <c r="C3792" s="5">
        <f>DATE(2025, 8, 11) + TIME(15, 54, 37)</f>
        <v>45880.662928240738</v>
      </c>
      <c r="D3792" s="1" t="s">
        <v>144</v>
      </c>
      <c r="E3792" s="1" t="s">
        <v>806</v>
      </c>
    </row>
    <row r="3793" spans="1:5" x14ac:dyDescent="0.2">
      <c r="A3793" s="1" t="s">
        <v>1276</v>
      </c>
      <c r="B3793" s="1" t="s">
        <v>664</v>
      </c>
      <c r="C3793" s="5">
        <f>DATE(2025, 8, 11) + TIME(14, 18, 55)</f>
        <v>45880.59646990741</v>
      </c>
      <c r="D3793" s="1" t="s">
        <v>320</v>
      </c>
      <c r="E3793" s="1" t="s">
        <v>214</v>
      </c>
    </row>
    <row r="3794" spans="1:5" x14ac:dyDescent="0.2">
      <c r="A3794" s="1" t="s">
        <v>1276</v>
      </c>
      <c r="B3794" s="1" t="s">
        <v>688</v>
      </c>
      <c r="C3794" s="5">
        <f>DATE(2025, 8, 11) + TIME(12, 48, 13)</f>
        <v>45880.533483796295</v>
      </c>
      <c r="D3794" s="1" t="s">
        <v>126</v>
      </c>
      <c r="E3794" s="1" t="s">
        <v>121</v>
      </c>
    </row>
    <row r="3795" spans="1:5" x14ac:dyDescent="0.2">
      <c r="A3795" s="1" t="s">
        <v>1276</v>
      </c>
      <c r="B3795" s="1" t="s">
        <v>664</v>
      </c>
      <c r="C3795" s="5">
        <f>DATE(2025, 8, 11) + TIME(12, 0, 20)</f>
        <v>45880.500231481485</v>
      </c>
      <c r="D3795" s="1" t="s">
        <v>65</v>
      </c>
      <c r="E3795" s="1" t="s">
        <v>219</v>
      </c>
    </row>
    <row r="3796" spans="1:5" x14ac:dyDescent="0.2">
      <c r="A3796" s="1" t="s">
        <v>1276</v>
      </c>
      <c r="B3796" s="1" t="s">
        <v>664</v>
      </c>
      <c r="C3796" s="5">
        <f>DATE(2025, 8, 11) + TIME(9, 16, 17)</f>
        <v>45880.386307870373</v>
      </c>
      <c r="D3796" s="1" t="s">
        <v>65</v>
      </c>
      <c r="E3796" s="1" t="s">
        <v>404</v>
      </c>
    </row>
    <row r="3797" spans="1:5" x14ac:dyDescent="0.2">
      <c r="A3797" s="1" t="s">
        <v>1276</v>
      </c>
      <c r="B3797" s="1" t="s">
        <v>22</v>
      </c>
      <c r="C3797" s="5">
        <f>DATE(2025, 8, 11) + TIME(8, 15, 45)</f>
        <v>45880.344270833331</v>
      </c>
      <c r="D3797" s="1" t="s">
        <v>640</v>
      </c>
      <c r="E3797" s="1" t="s">
        <v>700</v>
      </c>
    </row>
    <row r="3798" spans="1:5" x14ac:dyDescent="0.2">
      <c r="A3798" s="1" t="s">
        <v>1276</v>
      </c>
      <c r="B3798" s="1" t="s">
        <v>664</v>
      </c>
      <c r="C3798" s="5">
        <f>DATE(2025, 8, 7) + TIME(16, 19, 27)</f>
        <v>45876.680173611108</v>
      </c>
      <c r="D3798" s="1" t="s">
        <v>144</v>
      </c>
      <c r="E3798" s="1" t="s">
        <v>728</v>
      </c>
    </row>
    <row r="3799" spans="1:5" x14ac:dyDescent="0.2">
      <c r="A3799" s="1" t="s">
        <v>1276</v>
      </c>
      <c r="B3799" s="1" t="s">
        <v>790</v>
      </c>
      <c r="C3799" s="5">
        <f>DATE(2025, 8, 7) + TIME(16, 8, 25)</f>
        <v>45876.672511574077</v>
      </c>
      <c r="D3799" s="1" t="s">
        <v>869</v>
      </c>
      <c r="E3799" s="1" t="s">
        <v>314</v>
      </c>
    </row>
    <row r="3800" spans="1:5" x14ac:dyDescent="0.2">
      <c r="A3800" s="1" t="s">
        <v>1276</v>
      </c>
      <c r="B3800" s="1" t="s">
        <v>664</v>
      </c>
      <c r="C3800" s="5">
        <f>DATE(2025, 8, 7) + TIME(16, 8, 25)</f>
        <v>45876.672511574077</v>
      </c>
      <c r="D3800" s="1" t="s">
        <v>869</v>
      </c>
      <c r="E3800" s="1" t="s">
        <v>314</v>
      </c>
    </row>
    <row r="3801" spans="1:5" x14ac:dyDescent="0.2">
      <c r="A3801" s="1" t="s">
        <v>1276</v>
      </c>
      <c r="B3801" s="1" t="s">
        <v>550</v>
      </c>
      <c r="C3801" s="5">
        <f>DATE(2025, 8, 7) + TIME(14, 55, 49)</f>
        <v>45876.622094907405</v>
      </c>
      <c r="D3801" s="1" t="s">
        <v>566</v>
      </c>
      <c r="E3801" s="1" t="s">
        <v>324</v>
      </c>
    </row>
    <row r="3802" spans="1:5" x14ac:dyDescent="0.2">
      <c r="A3802" s="1" t="s">
        <v>1276</v>
      </c>
      <c r="B3802" s="1" t="s">
        <v>686</v>
      </c>
      <c r="C3802" s="5">
        <f>DATE(2025, 8, 7) + TIME(12, 57, 34)</f>
        <v>45876.539976851855</v>
      </c>
      <c r="D3802" s="1" t="s">
        <v>255</v>
      </c>
      <c r="E3802" s="1" t="s">
        <v>867</v>
      </c>
    </row>
    <row r="3803" spans="1:5" x14ac:dyDescent="0.2">
      <c r="A3803" s="1" t="s">
        <v>1276</v>
      </c>
      <c r="B3803" s="1" t="s">
        <v>436</v>
      </c>
      <c r="C3803" s="5">
        <f>DATE(2025, 8, 7) + TIME(12, 57, 34)</f>
        <v>45876.539976851855</v>
      </c>
      <c r="D3803" s="1" t="s">
        <v>255</v>
      </c>
      <c r="E3803" s="1" t="s">
        <v>875</v>
      </c>
    </row>
    <row r="3804" spans="1:5" x14ac:dyDescent="0.2">
      <c r="A3804" s="1" t="s">
        <v>1276</v>
      </c>
      <c r="B3804" s="1" t="s">
        <v>436</v>
      </c>
      <c r="C3804" s="5">
        <f>DATE(2025, 8, 7) + TIME(12, 57, 33)</f>
        <v>45876.539965277778</v>
      </c>
      <c r="D3804" s="1" t="s">
        <v>255</v>
      </c>
      <c r="E3804" s="1" t="s">
        <v>867</v>
      </c>
    </row>
    <row r="3805" spans="1:5" x14ac:dyDescent="0.2">
      <c r="A3805" s="1" t="s">
        <v>1276</v>
      </c>
      <c r="B3805" s="1" t="s">
        <v>285</v>
      </c>
      <c r="C3805" s="5">
        <f>DATE(2025, 8, 7) + TIME(12, 57, 33)</f>
        <v>45876.539965277778</v>
      </c>
      <c r="D3805" s="1" t="s">
        <v>255</v>
      </c>
      <c r="E3805" s="1" t="s">
        <v>867</v>
      </c>
    </row>
    <row r="3806" spans="1:5" x14ac:dyDescent="0.2">
      <c r="A3806" s="1" t="s">
        <v>1276</v>
      </c>
      <c r="B3806" s="1" t="s">
        <v>789</v>
      </c>
      <c r="C3806" s="5">
        <f>DATE(2025, 8, 7) + TIME(12, 57, 33)</f>
        <v>45876.539965277778</v>
      </c>
      <c r="D3806" s="1" t="s">
        <v>255</v>
      </c>
      <c r="E3806" s="1" t="s">
        <v>867</v>
      </c>
    </row>
    <row r="3807" spans="1:5" x14ac:dyDescent="0.2">
      <c r="A3807" s="1" t="s">
        <v>1276</v>
      </c>
      <c r="B3807" s="1" t="s">
        <v>664</v>
      </c>
      <c r="C3807" s="5">
        <f>DATE(2025, 8, 7) + TIME(12, 57, 33)</f>
        <v>45876.539965277778</v>
      </c>
      <c r="D3807" s="1" t="s">
        <v>255</v>
      </c>
      <c r="E3807" s="1" t="s">
        <v>875</v>
      </c>
    </row>
    <row r="3808" spans="1:5" x14ac:dyDescent="0.2">
      <c r="A3808" s="1" t="s">
        <v>1276</v>
      </c>
      <c r="B3808" s="1" t="s">
        <v>664</v>
      </c>
      <c r="C3808" s="5">
        <f>DATE(2025, 8, 7) + TIME(12, 16, 18)</f>
        <v>45876.511319444442</v>
      </c>
      <c r="D3808" s="1" t="s">
        <v>640</v>
      </c>
      <c r="E3808" s="1" t="s">
        <v>283</v>
      </c>
    </row>
    <row r="3809" spans="1:5" x14ac:dyDescent="0.2">
      <c r="A3809" s="1" t="s">
        <v>1276</v>
      </c>
      <c r="B3809" s="1" t="s">
        <v>664</v>
      </c>
      <c r="C3809" s="5">
        <f>DATE(2025, 8, 6) + TIME(15, 0, 2)</f>
        <v>45875.625023148146</v>
      </c>
      <c r="D3809" s="1" t="s">
        <v>638</v>
      </c>
      <c r="E3809" s="1" t="s">
        <v>198</v>
      </c>
    </row>
    <row r="3810" spans="1:5" x14ac:dyDescent="0.2">
      <c r="A3810" s="1" t="s">
        <v>1276</v>
      </c>
      <c r="B3810" s="1" t="s">
        <v>664</v>
      </c>
      <c r="C3810" s="5">
        <f>DATE(2025, 8, 6) + TIME(14, 31, 35)</f>
        <v>45875.605266203704</v>
      </c>
      <c r="D3810" s="1" t="s">
        <v>320</v>
      </c>
      <c r="E3810" s="1" t="s">
        <v>46</v>
      </c>
    </row>
    <row r="3811" spans="1:5" x14ac:dyDescent="0.2">
      <c r="A3811" s="1" t="s">
        <v>1276</v>
      </c>
      <c r="B3811" s="1" t="s">
        <v>436</v>
      </c>
      <c r="C3811" s="5">
        <f>DATE(2025, 8, 6) + TIME(14, 11, 9)</f>
        <v>45875.59107638889</v>
      </c>
      <c r="D3811" s="1" t="s">
        <v>750</v>
      </c>
      <c r="E3811" s="1" t="s">
        <v>709</v>
      </c>
    </row>
    <row r="3812" spans="1:5" x14ac:dyDescent="0.2">
      <c r="A3812" s="1" t="s">
        <v>1276</v>
      </c>
      <c r="B3812" s="1" t="s">
        <v>664</v>
      </c>
      <c r="C3812" s="5">
        <f>DATE(2025, 8, 6) + TIME(14, 11, 9)</f>
        <v>45875.59107638889</v>
      </c>
      <c r="D3812" s="1" t="s">
        <v>750</v>
      </c>
      <c r="E3812" s="1" t="s">
        <v>709</v>
      </c>
    </row>
    <row r="3813" spans="1:5" x14ac:dyDescent="0.2">
      <c r="A3813" s="1" t="s">
        <v>1276</v>
      </c>
      <c r="B3813" s="1" t="s">
        <v>790</v>
      </c>
      <c r="C3813" s="5">
        <f>DATE(2025, 8, 6) + TIME(12, 47, 34)</f>
        <v>45875.533032407409</v>
      </c>
      <c r="D3813" s="1" t="s">
        <v>750</v>
      </c>
      <c r="E3813" s="1" t="s">
        <v>158</v>
      </c>
    </row>
    <row r="3814" spans="1:5" x14ac:dyDescent="0.2">
      <c r="A3814" s="1" t="s">
        <v>1276</v>
      </c>
      <c r="B3814" s="1" t="s">
        <v>790</v>
      </c>
      <c r="C3814" s="5">
        <f>DATE(2025, 8, 6) + TIME(12, 21, 53)</f>
        <v>45875.515196759261</v>
      </c>
      <c r="D3814" s="1" t="s">
        <v>216</v>
      </c>
      <c r="E3814" s="1" t="s">
        <v>321</v>
      </c>
    </row>
    <row r="3815" spans="1:5" x14ac:dyDescent="0.2">
      <c r="A3815" s="1" t="s">
        <v>1276</v>
      </c>
      <c r="B3815" s="1" t="s">
        <v>322</v>
      </c>
      <c r="C3815" s="5">
        <f>DATE(2025, 8, 6) + TIME(12, 19, 15)</f>
        <v>45875.513368055559</v>
      </c>
      <c r="D3815" s="1" t="s">
        <v>64</v>
      </c>
      <c r="E3815" s="1" t="s">
        <v>213</v>
      </c>
    </row>
    <row r="3816" spans="1:5" x14ac:dyDescent="0.2">
      <c r="A3816" s="1" t="s">
        <v>1276</v>
      </c>
      <c r="B3816" s="1" t="s">
        <v>664</v>
      </c>
      <c r="C3816" s="5">
        <f>DATE(2025, 8, 6) + TIME(12, 14, 30)</f>
        <v>45875.510069444441</v>
      </c>
      <c r="D3816" s="1" t="s">
        <v>459</v>
      </c>
      <c r="E3816" s="1" t="s">
        <v>536</v>
      </c>
    </row>
    <row r="3817" spans="1:5" x14ac:dyDescent="0.2">
      <c r="A3817" s="1" t="s">
        <v>1276</v>
      </c>
      <c r="B3817" s="1" t="s">
        <v>664</v>
      </c>
      <c r="C3817" s="5">
        <f>DATE(2025, 8, 6) + TIME(11, 34, 17)</f>
        <v>45875.482141203705</v>
      </c>
      <c r="D3817" s="1" t="s">
        <v>750</v>
      </c>
      <c r="E3817" s="1" t="s">
        <v>158</v>
      </c>
    </row>
    <row r="3818" spans="1:5" x14ac:dyDescent="0.2">
      <c r="A3818" s="1" t="s">
        <v>1276</v>
      </c>
      <c r="B3818" s="1" t="s">
        <v>63</v>
      </c>
      <c r="C3818" s="5">
        <f>DATE(2025, 8, 5) + TIME(15, 22, 34)</f>
        <v>45874.6406712963</v>
      </c>
      <c r="D3818" s="1" t="s">
        <v>566</v>
      </c>
      <c r="E3818" s="1" t="s">
        <v>704</v>
      </c>
    </row>
    <row r="3819" spans="1:5" x14ac:dyDescent="0.2">
      <c r="A3819" s="1" t="s">
        <v>1276</v>
      </c>
      <c r="B3819" s="1" t="s">
        <v>436</v>
      </c>
      <c r="C3819" s="5">
        <f>DATE(2025, 8, 5) + TIME(13, 9, 26)</f>
        <v>45874.548217592594</v>
      </c>
      <c r="D3819" s="1" t="s">
        <v>869</v>
      </c>
      <c r="E3819" s="1" t="s">
        <v>327</v>
      </c>
    </row>
    <row r="3820" spans="1:5" x14ac:dyDescent="0.2">
      <c r="A3820" s="1" t="s">
        <v>1276</v>
      </c>
      <c r="B3820" s="1" t="s">
        <v>60</v>
      </c>
      <c r="C3820" s="5">
        <f>DATE(2025, 8, 5) + TIME(12, 47, 27)</f>
        <v>45874.532951388886</v>
      </c>
      <c r="D3820" s="1" t="s">
        <v>3</v>
      </c>
      <c r="E3820" s="1" t="s">
        <v>248</v>
      </c>
    </row>
    <row r="3821" spans="1:5" x14ac:dyDescent="0.2">
      <c r="A3821" s="1" t="s">
        <v>1276</v>
      </c>
      <c r="B3821" s="1" t="s">
        <v>436</v>
      </c>
      <c r="C3821" s="5">
        <f>DATE(2025, 8, 5) + TIME(12, 41, 8)</f>
        <v>45874.528564814813</v>
      </c>
      <c r="D3821" s="1" t="s">
        <v>750</v>
      </c>
      <c r="E3821" s="1" t="s">
        <v>823</v>
      </c>
    </row>
    <row r="3822" spans="1:5" x14ac:dyDescent="0.2">
      <c r="A3822" s="1" t="s">
        <v>1276</v>
      </c>
      <c r="B3822" s="1" t="s">
        <v>664</v>
      </c>
      <c r="C3822" s="5">
        <f>DATE(2025, 8, 4) + TIME(15, 28, 44)</f>
        <v>45873.644953703704</v>
      </c>
      <c r="D3822" s="1" t="s">
        <v>65</v>
      </c>
      <c r="E3822" s="1" t="s">
        <v>400</v>
      </c>
    </row>
    <row r="3823" spans="1:5" x14ac:dyDescent="0.2">
      <c r="A3823" s="1" t="s">
        <v>1276</v>
      </c>
      <c r="B3823" s="1" t="s">
        <v>197</v>
      </c>
      <c r="C3823" s="5">
        <f>DATE(2025, 8, 4) + TIME(15, 24, 13)</f>
        <v>45873.641817129632</v>
      </c>
      <c r="D3823" s="1" t="s">
        <v>356</v>
      </c>
      <c r="E3823" s="1" t="s">
        <v>603</v>
      </c>
    </row>
    <row r="3824" spans="1:5" x14ac:dyDescent="0.2">
      <c r="A3824" s="1" t="s">
        <v>1276</v>
      </c>
      <c r="B3824" s="1" t="s">
        <v>562</v>
      </c>
      <c r="C3824" s="5">
        <f>DATE(2025, 8, 4) + TIME(15, 9, 59)</f>
        <v>45873.631932870368</v>
      </c>
      <c r="D3824" s="1" t="s">
        <v>754</v>
      </c>
      <c r="E3824" s="1" t="s">
        <v>441</v>
      </c>
    </row>
    <row r="3825" spans="1:5" x14ac:dyDescent="0.2">
      <c r="A3825" s="1" t="s">
        <v>1276</v>
      </c>
      <c r="B3825" s="1" t="s">
        <v>664</v>
      </c>
      <c r="C3825" s="5">
        <f>DATE(2025, 8, 4) + TIME(13, 10, 59)</f>
        <v>45873.549293981479</v>
      </c>
      <c r="D3825" s="1" t="s">
        <v>3</v>
      </c>
      <c r="E3825" s="1" t="s">
        <v>926</v>
      </c>
    </row>
    <row r="3826" spans="1:5" x14ac:dyDescent="0.2">
      <c r="A3826" s="1" t="s">
        <v>1276</v>
      </c>
      <c r="B3826" s="1" t="s">
        <v>765</v>
      </c>
      <c r="C3826" s="5">
        <f>DATE(2025, 8, 4) + TIME(12, 36, 49)</f>
        <v>45873.525567129633</v>
      </c>
      <c r="D3826" s="1" t="s">
        <v>126</v>
      </c>
      <c r="E3826" s="1" t="s">
        <v>380</v>
      </c>
    </row>
    <row r="3827" spans="1:5" x14ac:dyDescent="0.2">
      <c r="A3827" s="1" t="s">
        <v>1276</v>
      </c>
      <c r="B3827" s="1" t="s">
        <v>664</v>
      </c>
      <c r="C3827" s="5">
        <f>DATE(2025, 8, 4) + TIME(12, 21, 44)</f>
        <v>45873.515092592592</v>
      </c>
      <c r="D3827" s="1" t="s">
        <v>3</v>
      </c>
      <c r="E3827" s="1" t="s">
        <v>696</v>
      </c>
    </row>
    <row r="3828" spans="1:5" x14ac:dyDescent="0.2">
      <c r="A3828" s="1" t="s">
        <v>1276</v>
      </c>
      <c r="B3828" s="1" t="s">
        <v>664</v>
      </c>
      <c r="C3828" s="5">
        <f>DATE(2025, 8, 4) + TIME(8, 25, 44)</f>
        <v>45873.351203703707</v>
      </c>
      <c r="D3828" s="1" t="s">
        <v>640</v>
      </c>
      <c r="E3828" s="1" t="s">
        <v>333</v>
      </c>
    </row>
    <row r="3829" spans="1:5" x14ac:dyDescent="0.2">
      <c r="A3829" s="1" t="s">
        <v>1276</v>
      </c>
      <c r="B3829" s="1" t="s">
        <v>927</v>
      </c>
      <c r="C3829" s="5">
        <f>DATE(2025, 8, 4) + TIME(7, 4, 3)</f>
        <v>45873.294479166667</v>
      </c>
      <c r="D3829" s="1" t="s">
        <v>381</v>
      </c>
      <c r="E3829" s="1" t="s">
        <v>946</v>
      </c>
    </row>
    <row r="3830" spans="1:5" x14ac:dyDescent="0.2">
      <c r="A3830" s="1" t="s">
        <v>1276</v>
      </c>
      <c r="B3830" s="1" t="s">
        <v>664</v>
      </c>
      <c r="C3830" s="5">
        <f>DATE(2025, 8, 3) + TIME(13, 25, 35)</f>
        <v>45872.559432870374</v>
      </c>
      <c r="D3830" s="1" t="s">
        <v>320</v>
      </c>
      <c r="E3830" s="1" t="s">
        <v>948</v>
      </c>
    </row>
    <row r="3831" spans="1:5" x14ac:dyDescent="0.2">
      <c r="A3831" s="1" t="s">
        <v>1276</v>
      </c>
      <c r="B3831" s="1" t="s">
        <v>967</v>
      </c>
      <c r="C3831" s="5">
        <f>DATE(2025, 7, 31) + TIME(15, 46, 53)</f>
        <v>45869.657557870371</v>
      </c>
      <c r="D3831" s="1" t="s">
        <v>269</v>
      </c>
      <c r="E3831" s="1" t="s">
        <v>299</v>
      </c>
    </row>
    <row r="3832" spans="1:5" x14ac:dyDescent="0.2">
      <c r="A3832" s="1" t="s">
        <v>1276</v>
      </c>
      <c r="B3832" s="1" t="s">
        <v>417</v>
      </c>
      <c r="C3832" s="5">
        <f>DATE(2025, 7, 31) + TIME(15, 12, 18)</f>
        <v>45869.63354166667</v>
      </c>
      <c r="D3832" s="1" t="s">
        <v>566</v>
      </c>
      <c r="E3832" s="1" t="s">
        <v>324</v>
      </c>
    </row>
    <row r="3833" spans="1:5" x14ac:dyDescent="0.2">
      <c r="A3833" s="1" t="s">
        <v>1276</v>
      </c>
      <c r="B3833" s="1" t="s">
        <v>664</v>
      </c>
      <c r="C3833" s="5">
        <f>DATE(2025, 7, 31) + TIME(13, 55, 13)</f>
        <v>45869.580011574071</v>
      </c>
      <c r="D3833" s="1" t="s">
        <v>566</v>
      </c>
      <c r="E3833" s="1" t="s">
        <v>71</v>
      </c>
    </row>
    <row r="3834" spans="1:5" x14ac:dyDescent="0.2">
      <c r="A3834" s="1" t="s">
        <v>1276</v>
      </c>
      <c r="B3834" s="1" t="s">
        <v>664</v>
      </c>
      <c r="C3834" s="5">
        <f>DATE(2025, 7, 31) + TIME(9, 15, 25)</f>
        <v>45869.385706018518</v>
      </c>
      <c r="D3834" s="1" t="s">
        <v>640</v>
      </c>
      <c r="E3834" s="1" t="s">
        <v>333</v>
      </c>
    </row>
    <row r="3835" spans="1:5" x14ac:dyDescent="0.2">
      <c r="A3835" s="1" t="s">
        <v>1276</v>
      </c>
      <c r="B3835" s="1" t="s">
        <v>4</v>
      </c>
      <c r="C3835" s="5">
        <f>DATE(2025, 7, 31) + TIME(7, 34, 48)</f>
        <v>45869.315833333334</v>
      </c>
      <c r="D3835" s="1" t="s">
        <v>467</v>
      </c>
      <c r="E3835" s="1" t="s">
        <v>845</v>
      </c>
    </row>
    <row r="3836" spans="1:5" x14ac:dyDescent="0.2">
      <c r="A3836" s="1" t="s">
        <v>1276</v>
      </c>
      <c r="B3836" s="1" t="s">
        <v>968</v>
      </c>
      <c r="C3836" s="5">
        <f>DATE(2025, 7, 30) + TIME(13, 47, 22)</f>
        <v>45868.574560185189</v>
      </c>
      <c r="D3836" s="1" t="s">
        <v>65</v>
      </c>
      <c r="E3836" s="1" t="s">
        <v>918</v>
      </c>
    </row>
    <row r="3837" spans="1:5" x14ac:dyDescent="0.2">
      <c r="A3837" s="1" t="s">
        <v>1276</v>
      </c>
      <c r="B3837" s="1" t="s">
        <v>417</v>
      </c>
      <c r="C3837" s="5">
        <f>DATE(2025, 7, 30) + TIME(13, 38, 53)</f>
        <v>45868.568668981483</v>
      </c>
      <c r="D3837" s="1" t="s">
        <v>65</v>
      </c>
      <c r="E3837" s="1" t="s">
        <v>918</v>
      </c>
    </row>
    <row r="3838" spans="1:5" x14ac:dyDescent="0.2">
      <c r="A3838" s="1" t="s">
        <v>1276</v>
      </c>
      <c r="B3838" s="1" t="s">
        <v>303</v>
      </c>
      <c r="C3838" s="5">
        <f>DATE(2025, 7, 30) + TIME(13, 38, 53)</f>
        <v>45868.568668981483</v>
      </c>
      <c r="D3838" s="1" t="s">
        <v>65</v>
      </c>
      <c r="E3838" s="1" t="s">
        <v>918</v>
      </c>
    </row>
    <row r="3839" spans="1:5" x14ac:dyDescent="0.2">
      <c r="A3839" s="1" t="s">
        <v>1276</v>
      </c>
      <c r="B3839" s="1" t="s">
        <v>9</v>
      </c>
      <c r="C3839" s="5">
        <f>DATE(2025, 7, 30) + TIME(13, 35, 5)</f>
        <v>45868.566030092596</v>
      </c>
      <c r="D3839" s="1" t="s">
        <v>506</v>
      </c>
      <c r="E3839" s="1" t="s">
        <v>867</v>
      </c>
    </row>
    <row r="3840" spans="1:5" x14ac:dyDescent="0.2">
      <c r="A3840" s="1" t="s">
        <v>1276</v>
      </c>
      <c r="B3840" s="1" t="s">
        <v>72</v>
      </c>
      <c r="C3840" s="5">
        <f>DATE(2025, 7, 30) + TIME(13, 35, 5)</f>
        <v>45868.566030092596</v>
      </c>
      <c r="D3840" s="1" t="s">
        <v>506</v>
      </c>
      <c r="E3840" s="1" t="s">
        <v>867</v>
      </c>
    </row>
    <row r="3841" spans="1:5" x14ac:dyDescent="0.2">
      <c r="A3841" s="1" t="s">
        <v>1276</v>
      </c>
      <c r="B3841" s="1" t="s">
        <v>9</v>
      </c>
      <c r="C3841" s="5">
        <f>DATE(2025, 7, 30) + TIME(13, 23, 24)</f>
        <v>45868.557916666665</v>
      </c>
      <c r="D3841" s="1" t="s">
        <v>459</v>
      </c>
      <c r="E3841" s="1" t="s">
        <v>843</v>
      </c>
    </row>
    <row r="3842" spans="1:5" x14ac:dyDescent="0.2">
      <c r="A3842" s="1" t="s">
        <v>1276</v>
      </c>
      <c r="B3842" s="1" t="s">
        <v>60</v>
      </c>
      <c r="C3842" s="5">
        <f>DATE(2025, 7, 30) + TIME(13, 16, 20)</f>
        <v>45868.55300925926</v>
      </c>
      <c r="D3842" s="1" t="s">
        <v>467</v>
      </c>
      <c r="E3842" s="1" t="s">
        <v>46</v>
      </c>
    </row>
    <row r="3843" spans="1:5" x14ac:dyDescent="0.2">
      <c r="A3843" s="1" t="s">
        <v>1276</v>
      </c>
      <c r="B3843" s="1" t="s">
        <v>417</v>
      </c>
      <c r="C3843" s="5">
        <f>DATE(2025, 7, 30) + TIME(12, 15, 28)</f>
        <v>45868.510740740741</v>
      </c>
      <c r="D3843" s="1" t="s">
        <v>216</v>
      </c>
      <c r="E3843" s="1" t="s">
        <v>321</v>
      </c>
    </row>
    <row r="3844" spans="1:5" x14ac:dyDescent="0.2">
      <c r="A3844" s="1" t="s">
        <v>1276</v>
      </c>
      <c r="B3844" s="1" t="s">
        <v>417</v>
      </c>
      <c r="C3844" s="5">
        <f>DATE(2025, 7, 30) + TIME(12, 15, 27)</f>
        <v>45868.510729166665</v>
      </c>
      <c r="D3844" s="1" t="s">
        <v>216</v>
      </c>
      <c r="E3844" s="1" t="s">
        <v>321</v>
      </c>
    </row>
    <row r="3845" spans="1:5" x14ac:dyDescent="0.2">
      <c r="A3845" s="1" t="s">
        <v>1276</v>
      </c>
      <c r="B3845" s="1" t="s">
        <v>852</v>
      </c>
      <c r="C3845" s="5">
        <f>DATE(2025, 7, 30) + TIME(10, 36, 51)</f>
        <v>45868.442256944443</v>
      </c>
      <c r="D3845" s="1" t="s">
        <v>754</v>
      </c>
      <c r="E3845" s="1" t="s">
        <v>760</v>
      </c>
    </row>
    <row r="3846" spans="1:5" x14ac:dyDescent="0.2">
      <c r="A3846" s="1" t="s">
        <v>1276</v>
      </c>
      <c r="B3846" s="1" t="s">
        <v>66</v>
      </c>
      <c r="C3846" s="5">
        <f>DATE(2025, 7, 30) + TIME(9, 15, 12)</f>
        <v>45868.385555555556</v>
      </c>
      <c r="D3846" s="1" t="s">
        <v>869</v>
      </c>
      <c r="E3846" s="1" t="s">
        <v>639</v>
      </c>
    </row>
    <row r="3847" spans="1:5" x14ac:dyDescent="0.2">
      <c r="A3847" s="1" t="s">
        <v>1276</v>
      </c>
      <c r="B3847" s="1" t="s">
        <v>562</v>
      </c>
      <c r="C3847" s="5">
        <f>DATE(2025, 7, 29) + TIME(14, 34, 6)</f>
        <v>45867.60701388889</v>
      </c>
      <c r="D3847" s="1" t="s">
        <v>148</v>
      </c>
      <c r="E3847" s="1" t="s">
        <v>877</v>
      </c>
    </row>
    <row r="3848" spans="1:5" x14ac:dyDescent="0.2">
      <c r="A3848" s="1" t="s">
        <v>1276</v>
      </c>
      <c r="B3848" s="1" t="s">
        <v>445</v>
      </c>
      <c r="C3848" s="5">
        <f>DATE(2025, 7, 28) + TIME(16, 32, 11)</f>
        <v>45866.689016203702</v>
      </c>
      <c r="D3848" s="1" t="s">
        <v>467</v>
      </c>
      <c r="E3848" s="1" t="s">
        <v>406</v>
      </c>
    </row>
    <row r="3849" spans="1:5" x14ac:dyDescent="0.2">
      <c r="A3849" s="1" t="s">
        <v>1276</v>
      </c>
      <c r="B3849" s="1" t="s">
        <v>486</v>
      </c>
      <c r="C3849" s="5">
        <f>DATE(2025, 7, 28) + TIME(16, 24, 55)</f>
        <v>45866.683969907404</v>
      </c>
      <c r="D3849" s="1" t="s">
        <v>467</v>
      </c>
      <c r="E3849" s="1" t="s">
        <v>406</v>
      </c>
    </row>
    <row r="3850" spans="1:5" x14ac:dyDescent="0.2">
      <c r="A3850" s="1" t="s">
        <v>1276</v>
      </c>
      <c r="B3850" s="1" t="s">
        <v>271</v>
      </c>
      <c r="C3850" s="5">
        <f>DATE(2025, 7, 28) + TIME(15, 7, 6)</f>
        <v>45866.629930555559</v>
      </c>
      <c r="D3850" s="1" t="s">
        <v>459</v>
      </c>
      <c r="E3850" s="1" t="s">
        <v>622</v>
      </c>
    </row>
    <row r="3851" spans="1:5" x14ac:dyDescent="0.2">
      <c r="A3851" s="1" t="s">
        <v>1276</v>
      </c>
      <c r="B3851" s="1" t="s">
        <v>932</v>
      </c>
      <c r="C3851" s="5">
        <f>DATE(2025, 7, 28) + TIME(15, 7, 6)</f>
        <v>45866.629930555559</v>
      </c>
      <c r="D3851" s="1" t="s">
        <v>459</v>
      </c>
      <c r="E3851" s="1" t="s">
        <v>622</v>
      </c>
    </row>
    <row r="3852" spans="1:5" x14ac:dyDescent="0.2">
      <c r="A3852" s="1" t="s">
        <v>1276</v>
      </c>
      <c r="B3852" s="1" t="s">
        <v>864</v>
      </c>
      <c r="C3852" s="5">
        <f>DATE(2025, 7, 28) + TIME(15, 7, 6)</f>
        <v>45866.629930555559</v>
      </c>
      <c r="D3852" s="1" t="s">
        <v>459</v>
      </c>
      <c r="E3852" s="1" t="s">
        <v>622</v>
      </c>
    </row>
    <row r="3853" spans="1:5" x14ac:dyDescent="0.2">
      <c r="A3853" s="1" t="s">
        <v>1276</v>
      </c>
      <c r="B3853" s="1" t="s">
        <v>562</v>
      </c>
      <c r="C3853" s="5">
        <f>DATE(2025, 7, 28) + TIME(14, 47, 56)</f>
        <v>45866.616620370369</v>
      </c>
      <c r="D3853" s="1" t="s">
        <v>754</v>
      </c>
      <c r="E3853" s="1" t="s">
        <v>282</v>
      </c>
    </row>
    <row r="3854" spans="1:5" x14ac:dyDescent="0.2">
      <c r="A3854" s="1" t="s">
        <v>1276</v>
      </c>
      <c r="B3854" s="1" t="s">
        <v>577</v>
      </c>
      <c r="C3854" s="5">
        <f>DATE(2025, 7, 28) + TIME(14, 24, 44)</f>
        <v>45866.60050925926</v>
      </c>
      <c r="D3854" s="1" t="s">
        <v>269</v>
      </c>
      <c r="E3854" s="1" t="s">
        <v>299</v>
      </c>
    </row>
    <row r="3855" spans="1:5" x14ac:dyDescent="0.2">
      <c r="A3855" s="1" t="s">
        <v>1276</v>
      </c>
      <c r="B3855" s="1" t="s">
        <v>666</v>
      </c>
      <c r="C3855" s="5">
        <f>DATE(2025, 7, 28) + TIME(13, 20, 40)</f>
        <v>45866.556018518517</v>
      </c>
      <c r="D3855" s="1" t="s">
        <v>65</v>
      </c>
      <c r="E3855" s="1" t="s">
        <v>152</v>
      </c>
    </row>
    <row r="3856" spans="1:5" x14ac:dyDescent="0.2">
      <c r="A3856" s="1" t="s">
        <v>1276</v>
      </c>
      <c r="B3856" s="1" t="s">
        <v>66</v>
      </c>
      <c r="C3856" s="5">
        <f>DATE(2025, 7, 28) + TIME(12, 48, 44)</f>
        <v>45866.533842592595</v>
      </c>
      <c r="D3856" s="1" t="s">
        <v>269</v>
      </c>
      <c r="E3856" s="1" t="s">
        <v>603</v>
      </c>
    </row>
    <row r="3857" spans="1:5" x14ac:dyDescent="0.2">
      <c r="A3857" s="1" t="s">
        <v>1276</v>
      </c>
      <c r="B3857" s="1" t="s">
        <v>562</v>
      </c>
      <c r="C3857" s="5">
        <f>DATE(2025, 7, 24) + TIME(16, 20, 21)</f>
        <v>45862.680798611109</v>
      </c>
      <c r="D3857" s="1" t="s">
        <v>459</v>
      </c>
      <c r="E3857" s="1" t="s">
        <v>881</v>
      </c>
    </row>
    <row r="3858" spans="1:5" x14ac:dyDescent="0.2">
      <c r="A3858" s="1" t="s">
        <v>1276</v>
      </c>
      <c r="B3858" s="1" t="s">
        <v>271</v>
      </c>
      <c r="C3858" s="5">
        <f>DATE(2025, 7, 24) + TIME(16, 20, 21)</f>
        <v>45862.680798611109</v>
      </c>
      <c r="D3858" s="1" t="s">
        <v>459</v>
      </c>
      <c r="E3858" s="1" t="s">
        <v>881</v>
      </c>
    </row>
    <row r="3859" spans="1:5" x14ac:dyDescent="0.2">
      <c r="A3859" s="1" t="s">
        <v>1276</v>
      </c>
      <c r="B3859" s="1" t="s">
        <v>408</v>
      </c>
      <c r="C3859" s="5">
        <f>DATE(2025, 7, 24) + TIME(15, 45, 57)</f>
        <v>45862.656909722224</v>
      </c>
      <c r="D3859" s="1" t="s">
        <v>566</v>
      </c>
      <c r="E3859" s="1" t="s">
        <v>324</v>
      </c>
    </row>
    <row r="3860" spans="1:5" x14ac:dyDescent="0.2">
      <c r="A3860" s="1" t="s">
        <v>1276</v>
      </c>
      <c r="B3860" s="1" t="s">
        <v>669</v>
      </c>
      <c r="C3860" s="5">
        <f>DATE(2025, 7, 24) + TIME(15, 45, 57)</f>
        <v>45862.656909722224</v>
      </c>
      <c r="D3860" s="1" t="s">
        <v>566</v>
      </c>
      <c r="E3860" s="1" t="s">
        <v>324</v>
      </c>
    </row>
    <row r="3861" spans="1:5" x14ac:dyDescent="0.2">
      <c r="A3861" s="1" t="s">
        <v>1276</v>
      </c>
      <c r="B3861" s="1" t="s">
        <v>789</v>
      </c>
      <c r="C3861" s="5">
        <f>DATE(2025, 7, 24) + TIME(15, 45, 57)</f>
        <v>45862.656909722224</v>
      </c>
      <c r="D3861" s="1" t="s">
        <v>566</v>
      </c>
      <c r="E3861" s="1" t="s">
        <v>324</v>
      </c>
    </row>
    <row r="3862" spans="1:5" x14ac:dyDescent="0.2">
      <c r="A3862" s="1" t="s">
        <v>1276</v>
      </c>
      <c r="B3862" s="1" t="s">
        <v>382</v>
      </c>
      <c r="C3862" s="5">
        <f>DATE(2025, 7, 24) + TIME(15, 36, 56)</f>
        <v>45862.650648148148</v>
      </c>
      <c r="D3862" s="1" t="s">
        <v>506</v>
      </c>
      <c r="E3862" s="1" t="s">
        <v>709</v>
      </c>
    </row>
    <row r="3863" spans="1:5" x14ac:dyDescent="0.2">
      <c r="A3863" s="1" t="s">
        <v>1276</v>
      </c>
      <c r="B3863" s="1" t="s">
        <v>932</v>
      </c>
      <c r="C3863" s="5">
        <f>DATE(2025, 7, 24) + TIME(14, 46, 13)</f>
        <v>45862.615428240744</v>
      </c>
      <c r="D3863" s="1" t="s">
        <v>754</v>
      </c>
      <c r="E3863" s="1" t="s">
        <v>870</v>
      </c>
    </row>
    <row r="3864" spans="1:5" x14ac:dyDescent="0.2">
      <c r="A3864" s="1" t="s">
        <v>1276</v>
      </c>
      <c r="B3864" s="1" t="s">
        <v>969</v>
      </c>
      <c r="C3864" s="5">
        <f>DATE(2025, 7, 24) + TIME(14, 35, 36)</f>
        <v>45862.608055555553</v>
      </c>
      <c r="D3864" s="1" t="s">
        <v>869</v>
      </c>
      <c r="E3864" s="1" t="s">
        <v>383</v>
      </c>
    </row>
    <row r="3865" spans="1:5" x14ac:dyDescent="0.2">
      <c r="A3865" s="1" t="s">
        <v>1276</v>
      </c>
      <c r="B3865" s="1" t="s">
        <v>906</v>
      </c>
      <c r="C3865" s="5">
        <f>DATE(2025, 7, 24) + TIME(13, 31, 29)</f>
        <v>45862.563530092593</v>
      </c>
      <c r="D3865" s="1" t="s">
        <v>754</v>
      </c>
      <c r="E3865" s="1" t="s">
        <v>441</v>
      </c>
    </row>
    <row r="3866" spans="1:5" x14ac:dyDescent="0.2">
      <c r="A3866" s="1" t="s">
        <v>1276</v>
      </c>
      <c r="B3866" s="1" t="s">
        <v>69</v>
      </c>
      <c r="C3866" s="5">
        <f>DATE(2025, 7, 24) + TIME(12, 43, 27)</f>
        <v>45862.530173611114</v>
      </c>
      <c r="D3866" s="1" t="s">
        <v>341</v>
      </c>
      <c r="E3866" s="1" t="s">
        <v>375</v>
      </c>
    </row>
    <row r="3867" spans="1:5" x14ac:dyDescent="0.2">
      <c r="A3867" s="1" t="s">
        <v>1276</v>
      </c>
      <c r="B3867" s="1" t="s">
        <v>4</v>
      </c>
      <c r="C3867" s="5">
        <f>DATE(2025, 7, 23) + TIME(15, 39, 47)</f>
        <v>45861.652627314812</v>
      </c>
      <c r="D3867" s="1" t="s">
        <v>638</v>
      </c>
      <c r="E3867" s="1" t="s">
        <v>199</v>
      </c>
    </row>
    <row r="3868" spans="1:5" x14ac:dyDescent="0.2">
      <c r="A3868" s="1" t="s">
        <v>1276</v>
      </c>
      <c r="B3868" s="1" t="s">
        <v>594</v>
      </c>
      <c r="C3868" s="5">
        <f>DATE(2025, 7, 23) + TIME(14, 17, 15)</f>
        <v>45861.595312500001</v>
      </c>
      <c r="D3868" s="1" t="s">
        <v>3</v>
      </c>
      <c r="E3868" s="1" t="s">
        <v>936</v>
      </c>
    </row>
    <row r="3869" spans="1:5" x14ac:dyDescent="0.2">
      <c r="A3869" s="1" t="s">
        <v>1276</v>
      </c>
      <c r="B3869" s="1" t="s">
        <v>468</v>
      </c>
      <c r="C3869" s="5">
        <f>DATE(2025, 7, 23) + TIME(14, 11, 43)</f>
        <v>45861.591469907406</v>
      </c>
      <c r="D3869" s="1" t="s">
        <v>64</v>
      </c>
      <c r="E3869" s="1" t="s">
        <v>403</v>
      </c>
    </row>
    <row r="3870" spans="1:5" x14ac:dyDescent="0.2">
      <c r="A3870" s="1" t="s">
        <v>1276</v>
      </c>
      <c r="B3870" s="1" t="s">
        <v>789</v>
      </c>
      <c r="C3870" s="5">
        <f>DATE(2025, 7, 23) + TIME(13, 0, 37)</f>
        <v>45861.542094907411</v>
      </c>
      <c r="D3870" s="1" t="s">
        <v>216</v>
      </c>
      <c r="E3870" s="1" t="s">
        <v>321</v>
      </c>
    </row>
    <row r="3871" spans="1:5" x14ac:dyDescent="0.2">
      <c r="A3871" s="1" t="s">
        <v>1276</v>
      </c>
      <c r="B3871" s="1" t="s">
        <v>261</v>
      </c>
      <c r="C3871" s="5">
        <f>DATE(2025, 7, 23) + TIME(11, 35, 10)</f>
        <v>45861.482754629629</v>
      </c>
      <c r="D3871" s="1" t="s">
        <v>320</v>
      </c>
      <c r="E3871" s="1" t="s">
        <v>2</v>
      </c>
    </row>
    <row r="3872" spans="1:5" x14ac:dyDescent="0.2">
      <c r="A3872" s="1" t="s">
        <v>1276</v>
      </c>
      <c r="B3872" s="1" t="s">
        <v>72</v>
      </c>
      <c r="C3872" s="5">
        <f>DATE(2025, 7, 22) + TIME(15, 3, 19)</f>
        <v>45860.627303240741</v>
      </c>
      <c r="D3872" s="1" t="s">
        <v>871</v>
      </c>
      <c r="E3872" s="1" t="s">
        <v>501</v>
      </c>
    </row>
    <row r="3873" spans="1:5" x14ac:dyDescent="0.2">
      <c r="A3873" s="1" t="s">
        <v>1276</v>
      </c>
      <c r="B3873" s="1" t="s">
        <v>907</v>
      </c>
      <c r="C3873" s="5">
        <f>DATE(2025, 7, 22) + TIME(14, 10, 4)</f>
        <v>45860.590324074074</v>
      </c>
      <c r="D3873" s="1" t="s">
        <v>126</v>
      </c>
      <c r="E3873" s="1" t="s">
        <v>143</v>
      </c>
    </row>
    <row r="3874" spans="1:5" x14ac:dyDescent="0.2">
      <c r="A3874" s="1" t="s">
        <v>1276</v>
      </c>
      <c r="B3874" s="1" t="s">
        <v>577</v>
      </c>
      <c r="C3874" s="5">
        <f>DATE(2025, 7, 22) + TIME(14, 9, 39)</f>
        <v>45860.59003472222</v>
      </c>
      <c r="D3874" s="1" t="s">
        <v>638</v>
      </c>
      <c r="E3874" s="1" t="s">
        <v>335</v>
      </c>
    </row>
    <row r="3875" spans="1:5" x14ac:dyDescent="0.2">
      <c r="A3875" s="1" t="s">
        <v>1276</v>
      </c>
      <c r="B3875" s="1" t="s">
        <v>42</v>
      </c>
      <c r="C3875" s="5">
        <f>DATE(2025, 7, 22) + TIME(14, 8, 49)</f>
        <v>45860.589456018519</v>
      </c>
      <c r="D3875" s="1" t="s">
        <v>65</v>
      </c>
      <c r="E3875" s="1" t="s">
        <v>404</v>
      </c>
    </row>
    <row r="3876" spans="1:5" x14ac:dyDescent="0.2">
      <c r="A3876" s="1" t="s">
        <v>1276</v>
      </c>
      <c r="B3876" s="1" t="s">
        <v>562</v>
      </c>
      <c r="C3876" s="5">
        <f>DATE(2025, 7, 22) + TIME(13, 5, 58)</f>
        <v>45860.545810185184</v>
      </c>
      <c r="D3876" s="1" t="s">
        <v>459</v>
      </c>
      <c r="E3876" s="1" t="s">
        <v>160</v>
      </c>
    </row>
    <row r="3877" spans="1:5" x14ac:dyDescent="0.2">
      <c r="A3877" s="1" t="s">
        <v>1276</v>
      </c>
      <c r="B3877" s="1" t="s">
        <v>22</v>
      </c>
      <c r="C3877" s="5">
        <f>DATE(2025, 7, 22) + TIME(11, 50, 59)</f>
        <v>45860.493738425925</v>
      </c>
      <c r="D3877" s="1" t="s">
        <v>126</v>
      </c>
      <c r="E3877" s="1" t="s">
        <v>143</v>
      </c>
    </row>
    <row r="3878" spans="1:5" x14ac:dyDescent="0.2">
      <c r="A3878" s="1" t="s">
        <v>1276</v>
      </c>
      <c r="B3878" s="1" t="s">
        <v>69</v>
      </c>
      <c r="C3878" s="5">
        <f>DATE(2025, 7, 22) + TIME(9, 38, 9)</f>
        <v>45860.401493055557</v>
      </c>
      <c r="D3878" s="1" t="s">
        <v>65</v>
      </c>
      <c r="E3878" s="1" t="s">
        <v>152</v>
      </c>
    </row>
    <row r="3879" spans="1:5" ht="16" x14ac:dyDescent="0.2">
      <c r="A3879" s="1" t="s">
        <v>1276</v>
      </c>
      <c r="B3879" s="1" t="s">
        <v>669</v>
      </c>
      <c r="C3879" s="5">
        <f>DATE(2025, 7, 22) + TIME(8, 56, 33)</f>
        <v>45860.372604166667</v>
      </c>
      <c r="D3879" s="1" t="s">
        <v>754</v>
      </c>
      <c r="E3879" s="2" t="s">
        <v>87</v>
      </c>
    </row>
    <row r="3880" spans="1:5" x14ac:dyDescent="0.2">
      <c r="A3880" s="1" t="s">
        <v>1276</v>
      </c>
      <c r="B3880" s="1" t="s">
        <v>651</v>
      </c>
      <c r="C3880" s="5">
        <f>DATE(2025, 7, 21) + TIME(13, 44, 42)</f>
        <v>45859.572708333333</v>
      </c>
      <c r="D3880" s="1" t="s">
        <v>144</v>
      </c>
      <c r="E3880" s="1" t="s">
        <v>695</v>
      </c>
    </row>
    <row r="3881" spans="1:5" x14ac:dyDescent="0.2">
      <c r="A3881" s="1" t="s">
        <v>1276</v>
      </c>
      <c r="B3881" s="1" t="s">
        <v>853</v>
      </c>
      <c r="C3881" s="5">
        <f>DATE(2025, 7, 21) + TIME(12, 57, 5)</f>
        <v>45859.539641203701</v>
      </c>
      <c r="D3881" s="1" t="s">
        <v>754</v>
      </c>
      <c r="E3881" s="1" t="s">
        <v>441</v>
      </c>
    </row>
    <row r="3882" spans="1:5" x14ac:dyDescent="0.2">
      <c r="A3882" s="1" t="s">
        <v>1276</v>
      </c>
      <c r="B3882" s="1" t="s">
        <v>378</v>
      </c>
      <c r="C3882" s="5">
        <f>DATE(2025, 7, 21) + TIME(12, 33, 4)</f>
        <v>45859.522962962961</v>
      </c>
      <c r="D3882" s="1" t="s">
        <v>754</v>
      </c>
      <c r="E3882" s="1" t="s">
        <v>75</v>
      </c>
    </row>
    <row r="3883" spans="1:5" x14ac:dyDescent="0.2">
      <c r="A3883" s="1" t="s">
        <v>1276</v>
      </c>
      <c r="B3883" s="1" t="s">
        <v>967</v>
      </c>
      <c r="C3883" s="5">
        <f>DATE(2025, 7, 21) + TIME(12, 4, 35)</f>
        <v>45859.503182870372</v>
      </c>
      <c r="D3883" s="1" t="s">
        <v>269</v>
      </c>
      <c r="E3883" s="1" t="s">
        <v>299</v>
      </c>
    </row>
    <row r="3884" spans="1:5" x14ac:dyDescent="0.2">
      <c r="A3884" s="1" t="s">
        <v>1276</v>
      </c>
      <c r="B3884" s="1" t="s">
        <v>468</v>
      </c>
      <c r="C3884" s="5">
        <f>DATE(2025, 7, 21) + TIME(11, 45, 9)</f>
        <v>45859.489687499998</v>
      </c>
      <c r="D3884" s="1" t="s">
        <v>640</v>
      </c>
      <c r="E3884" s="1" t="s">
        <v>608</v>
      </c>
    </row>
    <row r="3885" spans="1:5" x14ac:dyDescent="0.2">
      <c r="A3885" s="1" t="s">
        <v>1276</v>
      </c>
      <c r="B3885" s="1" t="s">
        <v>562</v>
      </c>
      <c r="C3885" s="5">
        <f>DATE(2025, 7, 21) + TIME(11, 10, 35)</f>
        <v>45859.465682870374</v>
      </c>
      <c r="D3885" s="1" t="s">
        <v>506</v>
      </c>
      <c r="E3885" s="1" t="s">
        <v>697</v>
      </c>
    </row>
    <row r="3886" spans="1:5" x14ac:dyDescent="0.2">
      <c r="A3886" s="1" t="s">
        <v>1276</v>
      </c>
      <c r="B3886" s="1" t="s">
        <v>346</v>
      </c>
      <c r="C3886" s="5">
        <f>DATE(2025, 7, 17) + TIME(14, 22, 41)</f>
        <v>45855.599085648151</v>
      </c>
      <c r="D3886" s="1" t="s">
        <v>506</v>
      </c>
      <c r="E3886" s="1" t="s">
        <v>867</v>
      </c>
    </row>
    <row r="3887" spans="1:5" x14ac:dyDescent="0.2">
      <c r="A3887" s="1" t="s">
        <v>1276</v>
      </c>
      <c r="B3887" s="1" t="s">
        <v>192</v>
      </c>
      <c r="C3887" s="5">
        <f>DATE(2025, 7, 17) + TIME(14, 22, 41)</f>
        <v>45855.599085648151</v>
      </c>
      <c r="D3887" s="1" t="s">
        <v>506</v>
      </c>
      <c r="E3887" s="1" t="s">
        <v>867</v>
      </c>
    </row>
    <row r="3888" spans="1:5" x14ac:dyDescent="0.2">
      <c r="A3888" s="1" t="s">
        <v>1276</v>
      </c>
      <c r="B3888" s="1" t="s">
        <v>932</v>
      </c>
      <c r="C3888" s="5">
        <f>DATE(2025, 7, 17) + TIME(12, 51, 40)</f>
        <v>45855.535879629628</v>
      </c>
      <c r="D3888" s="1" t="s">
        <v>754</v>
      </c>
      <c r="E3888" s="1" t="s">
        <v>441</v>
      </c>
    </row>
    <row r="3889" spans="1:5" x14ac:dyDescent="0.2">
      <c r="A3889" s="1" t="s">
        <v>1276</v>
      </c>
      <c r="B3889" s="1" t="s">
        <v>682</v>
      </c>
      <c r="C3889" s="5">
        <f>DATE(2025, 7, 17) + TIME(12, 5, 8)</f>
        <v>45855.503564814811</v>
      </c>
      <c r="D3889" s="1" t="s">
        <v>506</v>
      </c>
      <c r="E3889" s="1" t="s">
        <v>538</v>
      </c>
    </row>
    <row r="3890" spans="1:5" x14ac:dyDescent="0.2">
      <c r="A3890" s="1" t="s">
        <v>1276</v>
      </c>
      <c r="B3890" s="1" t="s">
        <v>562</v>
      </c>
      <c r="C3890" s="5">
        <f>DATE(2025, 7, 16) + TIME(17, 36, 24)</f>
        <v>45854.733611111114</v>
      </c>
      <c r="D3890" s="1" t="s">
        <v>269</v>
      </c>
      <c r="E3890" s="1" t="s">
        <v>603</v>
      </c>
    </row>
    <row r="3891" spans="1:5" x14ac:dyDescent="0.2">
      <c r="A3891" s="1" t="s">
        <v>1276</v>
      </c>
      <c r="B3891" s="1" t="s">
        <v>271</v>
      </c>
      <c r="C3891" s="5">
        <f>DATE(2025, 7, 16) + TIME(15, 40, 25)</f>
        <v>45854.653067129628</v>
      </c>
      <c r="D3891" s="1" t="s">
        <v>506</v>
      </c>
      <c r="E3891" s="1" t="s">
        <v>158</v>
      </c>
    </row>
    <row r="3892" spans="1:5" x14ac:dyDescent="0.2">
      <c r="A3892" s="1" t="s">
        <v>1276</v>
      </c>
      <c r="B3892" s="1" t="s">
        <v>72</v>
      </c>
      <c r="C3892" s="5">
        <f>DATE(2025, 7, 16) + TIME(15, 40, 24)</f>
        <v>45854.653055555558</v>
      </c>
      <c r="D3892" s="1" t="s">
        <v>506</v>
      </c>
      <c r="E3892" s="1" t="s">
        <v>158</v>
      </c>
    </row>
    <row r="3893" spans="1:5" x14ac:dyDescent="0.2">
      <c r="A3893" s="1" t="s">
        <v>1276</v>
      </c>
      <c r="B3893" s="1" t="s">
        <v>9</v>
      </c>
      <c r="C3893" s="5">
        <f>DATE(2025, 7, 16) + TIME(15, 40, 24)</f>
        <v>45854.653055555558</v>
      </c>
      <c r="D3893" s="1" t="s">
        <v>506</v>
      </c>
      <c r="E3893" s="1" t="s">
        <v>158</v>
      </c>
    </row>
    <row r="3894" spans="1:5" x14ac:dyDescent="0.2">
      <c r="A3894" s="1" t="s">
        <v>1276</v>
      </c>
      <c r="B3894" s="1" t="s">
        <v>885</v>
      </c>
      <c r="C3894" s="5">
        <f>DATE(2025, 7, 16) + TIME(13, 19, 44)</f>
        <v>45854.55537037037</v>
      </c>
      <c r="D3894" s="1" t="s">
        <v>750</v>
      </c>
      <c r="E3894" s="1" t="s">
        <v>321</v>
      </c>
    </row>
    <row r="3895" spans="1:5" x14ac:dyDescent="0.2">
      <c r="A3895" s="1" t="s">
        <v>1276</v>
      </c>
      <c r="B3895" s="1" t="s">
        <v>686</v>
      </c>
      <c r="C3895" s="5">
        <f>DATE(2025, 7, 16) + TIME(12, 9, 18)</f>
        <v>45854.506458333337</v>
      </c>
      <c r="D3895" s="1" t="s">
        <v>506</v>
      </c>
      <c r="E3895" s="1" t="s">
        <v>6</v>
      </c>
    </row>
    <row r="3896" spans="1:5" x14ac:dyDescent="0.2">
      <c r="A3896" s="1" t="s">
        <v>1276</v>
      </c>
      <c r="B3896" s="1" t="s">
        <v>855</v>
      </c>
      <c r="C3896" s="5">
        <f>DATE(2025, 7, 16) + TIME(11, 53, 9)</f>
        <v>45854.495243055557</v>
      </c>
      <c r="D3896" s="1" t="s">
        <v>64</v>
      </c>
      <c r="E3896" s="1" t="s">
        <v>873</v>
      </c>
    </row>
    <row r="3897" spans="1:5" x14ac:dyDescent="0.2">
      <c r="A3897" s="1" t="s">
        <v>1276</v>
      </c>
      <c r="B3897" s="1" t="s">
        <v>69</v>
      </c>
      <c r="C3897" s="5">
        <f>DATE(2025, 7, 16) + TIME(10, 31, 56)</f>
        <v>45854.438842592594</v>
      </c>
      <c r="D3897" s="1" t="s">
        <v>640</v>
      </c>
      <c r="E3897" s="1" t="s">
        <v>195</v>
      </c>
    </row>
    <row r="3898" spans="1:5" x14ac:dyDescent="0.2">
      <c r="A3898" s="1" t="s">
        <v>1276</v>
      </c>
      <c r="B3898" s="1" t="s">
        <v>562</v>
      </c>
      <c r="C3898" s="5">
        <f>DATE(2025, 7, 15) + TIME(14, 4, 51)</f>
        <v>45853.586701388886</v>
      </c>
      <c r="D3898" s="1" t="s">
        <v>467</v>
      </c>
      <c r="E3898" s="1" t="s">
        <v>924</v>
      </c>
    </row>
    <row r="3899" spans="1:5" x14ac:dyDescent="0.2">
      <c r="A3899" s="1" t="s">
        <v>1276</v>
      </c>
      <c r="B3899" s="1" t="s">
        <v>447</v>
      </c>
      <c r="C3899" s="5">
        <f>DATE(2025, 7, 15) + TIME(9, 39, 55)</f>
        <v>45853.402719907404</v>
      </c>
      <c r="D3899" s="1" t="s">
        <v>126</v>
      </c>
      <c r="E3899" s="1" t="s">
        <v>143</v>
      </c>
    </row>
    <row r="3900" spans="1:5" x14ac:dyDescent="0.2">
      <c r="A3900" s="1" t="s">
        <v>1276</v>
      </c>
      <c r="B3900" s="1" t="s">
        <v>766</v>
      </c>
      <c r="C3900" s="5">
        <f>DATE(2025, 7, 15) + TIME(9, 39, 55)</f>
        <v>45853.402719907404</v>
      </c>
      <c r="D3900" s="1" t="s">
        <v>126</v>
      </c>
      <c r="E3900" s="1" t="s">
        <v>143</v>
      </c>
    </row>
    <row r="3901" spans="1:5" x14ac:dyDescent="0.2">
      <c r="A3901" s="1" t="s">
        <v>1276</v>
      </c>
      <c r="B3901" s="1" t="s">
        <v>309</v>
      </c>
      <c r="C3901" s="5">
        <f>DATE(2025, 7, 15) + TIME(9, 39, 55)</f>
        <v>45853.402719907404</v>
      </c>
      <c r="D3901" s="1" t="s">
        <v>126</v>
      </c>
      <c r="E3901" s="1" t="s">
        <v>143</v>
      </c>
    </row>
    <row r="3902" spans="1:5" x14ac:dyDescent="0.2">
      <c r="A3902" s="1" t="s">
        <v>1276</v>
      </c>
      <c r="B3902" s="1" t="s">
        <v>303</v>
      </c>
      <c r="C3902" s="5">
        <f>DATE(2025, 7, 14) + TIME(17, 37, 13)</f>
        <v>45852.734178240738</v>
      </c>
      <c r="D3902" s="1" t="s">
        <v>320</v>
      </c>
      <c r="E3902" s="1" t="s">
        <v>406</v>
      </c>
    </row>
    <row r="3903" spans="1:5" x14ac:dyDescent="0.2">
      <c r="A3903" s="1" t="s">
        <v>1276</v>
      </c>
      <c r="B3903" s="1" t="s">
        <v>908</v>
      </c>
      <c r="C3903" s="5">
        <f>DATE(2025, 7, 14) + TIME(17, 37, 13)</f>
        <v>45852.734178240738</v>
      </c>
      <c r="D3903" s="1" t="s">
        <v>320</v>
      </c>
      <c r="E3903" s="1" t="s">
        <v>406</v>
      </c>
    </row>
    <row r="3904" spans="1:5" x14ac:dyDescent="0.2">
      <c r="A3904" s="1" t="s">
        <v>1276</v>
      </c>
      <c r="B3904" s="1" t="s">
        <v>409</v>
      </c>
      <c r="C3904" s="5">
        <f>DATE(2025, 7, 14) + TIME(15, 6, 51)</f>
        <v>45852.629756944443</v>
      </c>
      <c r="D3904" s="1" t="s">
        <v>269</v>
      </c>
      <c r="E3904" s="1" t="s">
        <v>299</v>
      </c>
    </row>
    <row r="3905" spans="1:5" x14ac:dyDescent="0.2">
      <c r="A3905" s="1" t="s">
        <v>1276</v>
      </c>
      <c r="B3905" s="1" t="s">
        <v>551</v>
      </c>
      <c r="C3905" s="5">
        <f>DATE(2025, 7, 14) + TIME(14, 57, 6)</f>
        <v>45852.622986111113</v>
      </c>
      <c r="D3905" s="1" t="s">
        <v>64</v>
      </c>
      <c r="E3905" s="1" t="s">
        <v>308</v>
      </c>
    </row>
    <row r="3906" spans="1:5" x14ac:dyDescent="0.2">
      <c r="A3906" s="1" t="s">
        <v>1276</v>
      </c>
      <c r="B3906" s="1" t="s">
        <v>909</v>
      </c>
      <c r="C3906" s="5">
        <f>DATE(2025, 7, 14) + TIME(14, 47, 47)</f>
        <v>45852.616516203707</v>
      </c>
      <c r="D3906" s="1" t="s">
        <v>269</v>
      </c>
      <c r="E3906" s="1" t="s">
        <v>299</v>
      </c>
    </row>
    <row r="3907" spans="1:5" x14ac:dyDescent="0.2">
      <c r="A3907" s="1" t="s">
        <v>1276</v>
      </c>
      <c r="B3907" s="1" t="s">
        <v>740</v>
      </c>
      <c r="C3907" s="5">
        <f>DATE(2025, 7, 14) + TIME(14, 47, 47)</f>
        <v>45852.616516203707</v>
      </c>
      <c r="D3907" s="1" t="s">
        <v>269</v>
      </c>
      <c r="E3907" s="1" t="s">
        <v>299</v>
      </c>
    </row>
    <row r="3908" spans="1:5" x14ac:dyDescent="0.2">
      <c r="A3908" s="1" t="s">
        <v>1276</v>
      </c>
      <c r="B3908" s="1" t="s">
        <v>295</v>
      </c>
      <c r="C3908" s="5">
        <f>DATE(2025, 7, 10) + TIME(16, 32, 9)</f>
        <v>45848.688993055555</v>
      </c>
      <c r="D3908" s="1" t="s">
        <v>506</v>
      </c>
      <c r="E3908" s="1" t="s">
        <v>709</v>
      </c>
    </row>
    <row r="3909" spans="1:5" x14ac:dyDescent="0.2">
      <c r="A3909" s="1" t="s">
        <v>1276</v>
      </c>
      <c r="B3909" s="1" t="s">
        <v>908</v>
      </c>
      <c r="C3909" s="5">
        <f>DATE(2025, 7, 10) + TIME(16, 28, 55)</f>
        <v>45848.686747685184</v>
      </c>
      <c r="D3909" s="1" t="s">
        <v>640</v>
      </c>
      <c r="E3909" s="1" t="s">
        <v>70</v>
      </c>
    </row>
    <row r="3910" spans="1:5" x14ac:dyDescent="0.2">
      <c r="A3910" s="1" t="s">
        <v>1276</v>
      </c>
      <c r="B3910" s="1" t="s">
        <v>686</v>
      </c>
      <c r="C3910" s="5">
        <f>DATE(2025, 7, 9) + TIME(14, 50, 21)</f>
        <v>45847.618298611109</v>
      </c>
      <c r="D3910" s="1" t="s">
        <v>226</v>
      </c>
      <c r="E3910" s="1" t="s">
        <v>918</v>
      </c>
    </row>
    <row r="3911" spans="1:5" x14ac:dyDescent="0.2">
      <c r="A3911" s="1" t="s">
        <v>1276</v>
      </c>
      <c r="B3911" s="1" t="s">
        <v>449</v>
      </c>
      <c r="C3911" s="5">
        <f>DATE(2025, 7, 9) + TIME(14, 42, 22)</f>
        <v>45847.612754629627</v>
      </c>
      <c r="D3911" s="1" t="s">
        <v>3</v>
      </c>
      <c r="E3911" s="1" t="s">
        <v>73</v>
      </c>
    </row>
    <row r="3912" spans="1:5" x14ac:dyDescent="0.2">
      <c r="A3912" s="1" t="s">
        <v>1276</v>
      </c>
      <c r="B3912" s="1" t="s">
        <v>163</v>
      </c>
      <c r="C3912" s="5">
        <f>DATE(2025, 7, 9) + TIME(14, 4, 18)</f>
        <v>45847.586319444446</v>
      </c>
      <c r="D3912" s="1" t="s">
        <v>638</v>
      </c>
      <c r="E3912" s="1" t="s">
        <v>52</v>
      </c>
    </row>
    <row r="3913" spans="1:5" x14ac:dyDescent="0.2">
      <c r="A3913" s="1" t="s">
        <v>1276</v>
      </c>
      <c r="B3913" s="1" t="s">
        <v>969</v>
      </c>
      <c r="C3913" s="5">
        <f>DATE(2025, 7, 9) + TIME(12, 52, 16)</f>
        <v>45847.536296296297</v>
      </c>
      <c r="D3913" s="1" t="s">
        <v>216</v>
      </c>
      <c r="E3913" s="1" t="s">
        <v>101</v>
      </c>
    </row>
    <row r="3914" spans="1:5" x14ac:dyDescent="0.2">
      <c r="A3914" s="1" t="s">
        <v>1276</v>
      </c>
      <c r="B3914" s="1" t="s">
        <v>247</v>
      </c>
      <c r="C3914" s="5">
        <f>DATE(2025, 7, 9) + TIME(12, 5, 54)</f>
        <v>45847.50409722222</v>
      </c>
      <c r="D3914" s="1" t="s">
        <v>459</v>
      </c>
      <c r="E3914" s="1" t="s">
        <v>836</v>
      </c>
    </row>
    <row r="3915" spans="1:5" x14ac:dyDescent="0.2">
      <c r="A3915" s="1" t="s">
        <v>1276</v>
      </c>
      <c r="B3915" s="1" t="s">
        <v>794</v>
      </c>
      <c r="C3915" s="5">
        <f>DATE(2025, 7, 9) + TIME(11, 43, 43)</f>
        <v>45847.488692129627</v>
      </c>
      <c r="D3915" s="1" t="s">
        <v>459</v>
      </c>
      <c r="E3915" s="1" t="s">
        <v>536</v>
      </c>
    </row>
    <row r="3916" spans="1:5" x14ac:dyDescent="0.2">
      <c r="A3916" s="1" t="s">
        <v>1276</v>
      </c>
      <c r="B3916" s="1" t="s">
        <v>385</v>
      </c>
      <c r="C3916" s="5">
        <f>DATE(2025, 7, 9) + TIME(11, 43, 43)</f>
        <v>45847.488692129627</v>
      </c>
      <c r="D3916" s="1" t="s">
        <v>459</v>
      </c>
      <c r="E3916" s="1" t="s">
        <v>536</v>
      </c>
    </row>
    <row r="3917" spans="1:5" x14ac:dyDescent="0.2">
      <c r="A3917" s="1" t="s">
        <v>1276</v>
      </c>
      <c r="B3917" s="1" t="s">
        <v>663</v>
      </c>
      <c r="C3917" s="5">
        <f>DATE(2025, 7, 8) + TIME(15, 44, 24)</f>
        <v>45846.655833333331</v>
      </c>
      <c r="D3917" s="1" t="s">
        <v>869</v>
      </c>
      <c r="E3917" s="1" t="s">
        <v>383</v>
      </c>
    </row>
    <row r="3918" spans="1:5" x14ac:dyDescent="0.2">
      <c r="A3918" s="1" t="s">
        <v>1276</v>
      </c>
      <c r="B3918" s="1" t="s">
        <v>552</v>
      </c>
      <c r="C3918" s="5">
        <f>DATE(2025, 7, 8) + TIME(12, 6, 53)</f>
        <v>45846.504780092589</v>
      </c>
      <c r="D3918" s="1" t="s">
        <v>126</v>
      </c>
      <c r="E3918" s="1" t="s">
        <v>143</v>
      </c>
    </row>
    <row r="3919" spans="1:5" x14ac:dyDescent="0.2">
      <c r="A3919" s="1" t="s">
        <v>1276</v>
      </c>
      <c r="B3919" s="1" t="s">
        <v>969</v>
      </c>
      <c r="C3919" s="5">
        <f>DATE(2025, 7, 3) + TIME(16, 43, 54)</f>
        <v>45841.697152777779</v>
      </c>
      <c r="D3919" s="1" t="s">
        <v>506</v>
      </c>
      <c r="E3919" s="1" t="s">
        <v>538</v>
      </c>
    </row>
    <row r="3920" spans="1:5" x14ac:dyDescent="0.2">
      <c r="A3920" s="1" t="s">
        <v>1276</v>
      </c>
      <c r="B3920" s="1" t="s">
        <v>673</v>
      </c>
      <c r="C3920" s="5">
        <f>DATE(2025, 7, 3) + TIME(15, 19, 59)</f>
        <v>45841.638877314814</v>
      </c>
      <c r="D3920" s="1" t="s">
        <v>754</v>
      </c>
      <c r="E3920" s="1" t="s">
        <v>441</v>
      </c>
    </row>
    <row r="3921" spans="1:5" x14ac:dyDescent="0.2">
      <c r="A3921" s="1" t="s">
        <v>1276</v>
      </c>
      <c r="B3921" s="1" t="s">
        <v>969</v>
      </c>
      <c r="C3921" s="5">
        <f>DATE(2025, 7, 3) + TIME(14, 37, 40)</f>
        <v>45841.609490740739</v>
      </c>
      <c r="D3921" s="1" t="s">
        <v>638</v>
      </c>
      <c r="E3921" s="1" t="s">
        <v>397</v>
      </c>
    </row>
    <row r="3922" spans="1:5" x14ac:dyDescent="0.2">
      <c r="A3922" s="1" t="s">
        <v>1276</v>
      </c>
      <c r="B3922" s="1" t="s">
        <v>69</v>
      </c>
      <c r="C3922" s="5">
        <f>DATE(2025, 7, 3) + TIME(12, 4, 34)</f>
        <v>45841.503171296295</v>
      </c>
      <c r="D3922" s="1" t="s">
        <v>506</v>
      </c>
      <c r="E3922" s="1" t="s">
        <v>83</v>
      </c>
    </row>
    <row r="3923" spans="1:5" x14ac:dyDescent="0.2">
      <c r="A3923" s="1" t="s">
        <v>1276</v>
      </c>
      <c r="B3923" s="1" t="s">
        <v>60</v>
      </c>
      <c r="C3923" s="5">
        <f>DATE(2025, 7, 3) + TIME(12, 4, 34)</f>
        <v>45841.503171296295</v>
      </c>
      <c r="D3923" s="1" t="s">
        <v>506</v>
      </c>
      <c r="E3923" s="1" t="s">
        <v>83</v>
      </c>
    </row>
    <row r="3924" spans="1:5" x14ac:dyDescent="0.2">
      <c r="A3924" s="1" t="s">
        <v>1276</v>
      </c>
      <c r="B3924" s="1" t="s">
        <v>72</v>
      </c>
      <c r="C3924" s="5">
        <f>DATE(2025, 7, 2) + TIME(15, 42, 31)</f>
        <v>45840.65452546296</v>
      </c>
      <c r="D3924" s="1" t="s">
        <v>64</v>
      </c>
      <c r="E3924" s="1" t="s">
        <v>233</v>
      </c>
    </row>
    <row r="3925" spans="1:5" x14ac:dyDescent="0.2">
      <c r="A3925" s="1" t="s">
        <v>1276</v>
      </c>
      <c r="B3925" s="1" t="s">
        <v>63</v>
      </c>
      <c r="C3925" s="5">
        <f>DATE(2025, 7, 2) + TIME(13, 56, 48)</f>
        <v>45840.581111111111</v>
      </c>
      <c r="D3925" s="1" t="s">
        <v>750</v>
      </c>
      <c r="E3925" s="1" t="s">
        <v>519</v>
      </c>
    </row>
    <row r="3926" spans="1:5" x14ac:dyDescent="0.2">
      <c r="A3926" s="1" t="s">
        <v>1276</v>
      </c>
      <c r="B3926" s="1" t="s">
        <v>468</v>
      </c>
      <c r="C3926" s="5">
        <f>DATE(2025, 7, 2) + TIME(13, 53, 4)</f>
        <v>45840.578518518516</v>
      </c>
      <c r="D3926" s="1" t="s">
        <v>65</v>
      </c>
      <c r="E3926" s="1" t="s">
        <v>918</v>
      </c>
    </row>
    <row r="3927" spans="1:5" x14ac:dyDescent="0.2">
      <c r="A3927" s="1" t="s">
        <v>1276</v>
      </c>
      <c r="B3927" s="1" t="s">
        <v>177</v>
      </c>
      <c r="C3927" s="5">
        <f>DATE(2025, 7, 2) + TIME(13, 47, 39)</f>
        <v>45840.574756944443</v>
      </c>
      <c r="D3927" s="1" t="s">
        <v>320</v>
      </c>
      <c r="E3927" s="1" t="s">
        <v>845</v>
      </c>
    </row>
    <row r="3928" spans="1:5" x14ac:dyDescent="0.2">
      <c r="A3928" s="1" t="s">
        <v>1276</v>
      </c>
      <c r="B3928" s="1" t="s">
        <v>261</v>
      </c>
      <c r="C3928" s="5">
        <f>DATE(2025, 6, 30) + TIME(16, 41, 26)</f>
        <v>45838.695439814815</v>
      </c>
      <c r="D3928" s="1" t="s">
        <v>320</v>
      </c>
      <c r="E3928" s="1" t="s">
        <v>406</v>
      </c>
    </row>
    <row r="3929" spans="1:5" x14ac:dyDescent="0.2">
      <c r="A3929" s="1" t="s">
        <v>1276</v>
      </c>
      <c r="B3929" s="1" t="s">
        <v>53</v>
      </c>
      <c r="C3929" s="5">
        <f>DATE(2025, 6, 30) + TIME(16, 41, 25)</f>
        <v>45838.695428240739</v>
      </c>
      <c r="D3929" s="1" t="s">
        <v>320</v>
      </c>
      <c r="E3929" s="1" t="s">
        <v>406</v>
      </c>
    </row>
    <row r="3930" spans="1:5" x14ac:dyDescent="0.2">
      <c r="A3930" s="1" t="s">
        <v>1276</v>
      </c>
      <c r="B3930" s="1" t="s">
        <v>228</v>
      </c>
      <c r="C3930" s="5">
        <f>DATE(2025, 6, 30) + TIME(15, 3, 28)</f>
        <v>45838.62740740741</v>
      </c>
      <c r="D3930" s="1" t="s">
        <v>64</v>
      </c>
      <c r="E3930" s="1" t="s">
        <v>308</v>
      </c>
    </row>
    <row r="3931" spans="1:5" x14ac:dyDescent="0.2">
      <c r="A3931" s="1" t="s">
        <v>1276</v>
      </c>
      <c r="B3931" s="1" t="s">
        <v>688</v>
      </c>
      <c r="C3931" s="5">
        <f>DATE(2025, 6, 26) + TIME(15, 53, 2)</f>
        <v>45834.661828703705</v>
      </c>
      <c r="D3931" s="1" t="s">
        <v>640</v>
      </c>
      <c r="E3931" s="1" t="s">
        <v>70</v>
      </c>
    </row>
    <row r="3932" spans="1:5" x14ac:dyDescent="0.2">
      <c r="A3932" s="1" t="s">
        <v>1276</v>
      </c>
      <c r="B3932" s="1" t="s">
        <v>295</v>
      </c>
      <c r="C3932" s="5">
        <f>DATE(2025, 6, 26) + TIME(14, 6, 49)</f>
        <v>45834.588067129633</v>
      </c>
      <c r="D3932" s="1" t="s">
        <v>506</v>
      </c>
      <c r="E3932" s="1" t="s">
        <v>369</v>
      </c>
    </row>
    <row r="3933" spans="1:5" x14ac:dyDescent="0.2">
      <c r="A3933" s="1" t="s">
        <v>1276</v>
      </c>
      <c r="B3933" s="1" t="s">
        <v>587</v>
      </c>
      <c r="C3933" s="5">
        <f>DATE(2025, 6, 26) + TIME(11, 35, 39)</f>
        <v>45834.483090277776</v>
      </c>
      <c r="D3933" s="1" t="s">
        <v>754</v>
      </c>
      <c r="E3933" s="1" t="s">
        <v>330</v>
      </c>
    </row>
    <row r="3934" spans="1:5" x14ac:dyDescent="0.2">
      <c r="A3934" s="1" t="s">
        <v>1276</v>
      </c>
      <c r="B3934" s="1" t="s">
        <v>818</v>
      </c>
      <c r="C3934" s="5">
        <f>DATE(2025, 6, 26) + TIME(7, 48, 50)</f>
        <v>45834.325578703705</v>
      </c>
      <c r="D3934" s="1" t="s">
        <v>640</v>
      </c>
      <c r="E3934" s="1" t="s">
        <v>333</v>
      </c>
    </row>
    <row r="3935" spans="1:5" x14ac:dyDescent="0.2">
      <c r="A3935" s="1" t="s">
        <v>1276</v>
      </c>
      <c r="B3935" s="1" t="s">
        <v>674</v>
      </c>
      <c r="C3935" s="5">
        <f>DATE(2025, 6, 25) + TIME(15, 48, 49)</f>
        <v>45833.658900462964</v>
      </c>
      <c r="D3935" s="1" t="s">
        <v>506</v>
      </c>
      <c r="E3935" s="1" t="s">
        <v>158</v>
      </c>
    </row>
    <row r="3936" spans="1:5" x14ac:dyDescent="0.2">
      <c r="A3936" s="1" t="s">
        <v>1276</v>
      </c>
      <c r="B3936" s="1" t="s">
        <v>386</v>
      </c>
      <c r="C3936" s="5">
        <f>DATE(2025, 6, 25) + TIME(15, 26, 9)</f>
        <v>45833.643159722225</v>
      </c>
      <c r="D3936" s="1" t="s">
        <v>566</v>
      </c>
      <c r="E3936" s="1" t="s">
        <v>888</v>
      </c>
    </row>
    <row r="3937" spans="1:5" x14ac:dyDescent="0.2">
      <c r="A3937" s="1" t="s">
        <v>1276</v>
      </c>
      <c r="B3937" s="1" t="s">
        <v>663</v>
      </c>
      <c r="C3937" s="5">
        <f>DATE(2025, 6, 25) + TIME(15, 26, 9)</f>
        <v>45833.643159722225</v>
      </c>
      <c r="D3937" s="1" t="s">
        <v>566</v>
      </c>
      <c r="E3937" s="1" t="s">
        <v>888</v>
      </c>
    </row>
    <row r="3938" spans="1:5" x14ac:dyDescent="0.2">
      <c r="A3938" s="1" t="s">
        <v>1276</v>
      </c>
      <c r="B3938" s="1" t="s">
        <v>290</v>
      </c>
      <c r="C3938" s="5">
        <f>DATE(2025, 6, 25) + TIME(14, 56, 29)</f>
        <v>45833.622557870367</v>
      </c>
      <c r="D3938" s="1" t="s">
        <v>638</v>
      </c>
      <c r="E3938" s="1" t="s">
        <v>198</v>
      </c>
    </row>
    <row r="3939" spans="1:5" x14ac:dyDescent="0.2">
      <c r="A3939" s="1" t="s">
        <v>1276</v>
      </c>
      <c r="B3939" s="1" t="s">
        <v>551</v>
      </c>
      <c r="C3939" s="5">
        <f>DATE(2025, 6, 25) + TIME(14, 10, 31)</f>
        <v>45833.590636574074</v>
      </c>
      <c r="D3939" s="1" t="s">
        <v>148</v>
      </c>
      <c r="E3939" s="1" t="s">
        <v>621</v>
      </c>
    </row>
    <row r="3940" spans="1:5" x14ac:dyDescent="0.2">
      <c r="A3940" s="1" t="s">
        <v>1276</v>
      </c>
      <c r="B3940" s="1" t="s">
        <v>904</v>
      </c>
      <c r="C3940" s="5">
        <f>DATE(2025, 6, 25) + TIME(14, 8, 41)</f>
        <v>45833.589363425926</v>
      </c>
      <c r="D3940" s="1" t="s">
        <v>506</v>
      </c>
      <c r="E3940" s="1" t="s">
        <v>347</v>
      </c>
    </row>
    <row r="3941" spans="1:5" x14ac:dyDescent="0.2">
      <c r="A3941" s="1" t="s">
        <v>1276</v>
      </c>
      <c r="B3941" s="1" t="s">
        <v>688</v>
      </c>
      <c r="C3941" s="5">
        <f>DATE(2025, 6, 25) + TIME(14, 8, 40)</f>
        <v>45833.58935185185</v>
      </c>
      <c r="D3941" s="1" t="s">
        <v>506</v>
      </c>
      <c r="E3941" s="1" t="s">
        <v>347</v>
      </c>
    </row>
    <row r="3942" spans="1:5" x14ac:dyDescent="0.2">
      <c r="A3942" s="1" t="s">
        <v>1276</v>
      </c>
      <c r="B3942" s="1" t="s">
        <v>468</v>
      </c>
      <c r="C3942" s="5">
        <f>DATE(2025, 6, 25) + TIME(14, 8, 40)</f>
        <v>45833.58935185185</v>
      </c>
      <c r="D3942" s="1" t="s">
        <v>506</v>
      </c>
      <c r="E3942" s="1" t="s">
        <v>347</v>
      </c>
    </row>
    <row r="3943" spans="1:5" x14ac:dyDescent="0.2">
      <c r="A3943" s="1" t="s">
        <v>1276</v>
      </c>
      <c r="B3943" s="1" t="s">
        <v>669</v>
      </c>
      <c r="C3943" s="5">
        <f>DATE(2025, 6, 25) + TIME(13, 10, 46)</f>
        <v>45833.549143518518</v>
      </c>
      <c r="D3943" s="1" t="s">
        <v>65</v>
      </c>
      <c r="E3943" s="1" t="s">
        <v>918</v>
      </c>
    </row>
    <row r="3944" spans="1:5" x14ac:dyDescent="0.2">
      <c r="A3944" s="1" t="s">
        <v>1276</v>
      </c>
      <c r="B3944" s="1" t="s">
        <v>317</v>
      </c>
      <c r="C3944" s="5">
        <f>DATE(2025, 6, 25) + TIME(13, 10, 46)</f>
        <v>45833.549143518518</v>
      </c>
      <c r="D3944" s="1" t="s">
        <v>65</v>
      </c>
      <c r="E3944" s="1" t="s">
        <v>918</v>
      </c>
    </row>
    <row r="3945" spans="1:5" x14ac:dyDescent="0.2">
      <c r="A3945" s="1" t="s">
        <v>1276</v>
      </c>
      <c r="B3945" s="1" t="s">
        <v>15</v>
      </c>
      <c r="C3945" s="5">
        <f>DATE(2025, 6, 25) + TIME(13, 10, 46)</f>
        <v>45833.549143518518</v>
      </c>
      <c r="D3945" s="1" t="s">
        <v>65</v>
      </c>
      <c r="E3945" s="1" t="s">
        <v>918</v>
      </c>
    </row>
    <row r="3946" spans="1:5" x14ac:dyDescent="0.2">
      <c r="A3946" s="1" t="s">
        <v>1276</v>
      </c>
      <c r="B3946" s="1" t="s">
        <v>562</v>
      </c>
      <c r="C3946" s="5">
        <f>DATE(2025, 6, 25) + TIME(12, 44, 57)</f>
        <v>45833.531215277777</v>
      </c>
      <c r="D3946" s="1" t="s">
        <v>566</v>
      </c>
      <c r="E3946" s="1" t="s">
        <v>938</v>
      </c>
    </row>
    <row r="3947" spans="1:5" x14ac:dyDescent="0.2">
      <c r="A3947" s="1" t="s">
        <v>1276</v>
      </c>
      <c r="B3947" s="1" t="s">
        <v>908</v>
      </c>
      <c r="C3947" s="5">
        <f>DATE(2025, 6, 25) + TIME(11, 57, 42)</f>
        <v>45833.498402777775</v>
      </c>
      <c r="D3947" s="1" t="s">
        <v>64</v>
      </c>
      <c r="E3947" s="1" t="s">
        <v>873</v>
      </c>
    </row>
    <row r="3948" spans="1:5" x14ac:dyDescent="0.2">
      <c r="A3948" s="1" t="s">
        <v>1276</v>
      </c>
      <c r="B3948" s="1" t="s">
        <v>866</v>
      </c>
      <c r="C3948" s="5">
        <f>DATE(2025, 6, 25) + TIME(10, 56, 42)</f>
        <v>45833.456041666665</v>
      </c>
      <c r="D3948" s="1" t="s">
        <v>65</v>
      </c>
      <c r="E3948" s="1" t="s">
        <v>918</v>
      </c>
    </row>
    <row r="3949" spans="1:5" x14ac:dyDescent="0.2">
      <c r="A3949" s="1" t="s">
        <v>1276</v>
      </c>
      <c r="B3949" s="1" t="s">
        <v>378</v>
      </c>
      <c r="C3949" s="5">
        <f>DATE(2025, 6, 25) + TIME(9, 36, 10)</f>
        <v>45833.40011574074</v>
      </c>
      <c r="D3949" s="1" t="s">
        <v>754</v>
      </c>
      <c r="E3949" s="1" t="s">
        <v>760</v>
      </c>
    </row>
    <row r="3950" spans="1:5" x14ac:dyDescent="0.2">
      <c r="A3950" s="1" t="s">
        <v>1276</v>
      </c>
      <c r="B3950" s="1" t="s">
        <v>866</v>
      </c>
      <c r="C3950" s="5">
        <f>DATE(2025, 6, 25) + TIME(4, 38, 5)</f>
        <v>45833.193113425928</v>
      </c>
      <c r="D3950" s="1" t="s">
        <v>3</v>
      </c>
      <c r="E3950" s="1" t="s">
        <v>73</v>
      </c>
    </row>
    <row r="3951" spans="1:5" x14ac:dyDescent="0.2">
      <c r="A3951" s="1" t="s">
        <v>1276</v>
      </c>
      <c r="B3951" s="1" t="s">
        <v>866</v>
      </c>
      <c r="C3951" s="5">
        <f>DATE(2025, 6, 24) + TIME(15, 12, 33)</f>
        <v>45832.633715277778</v>
      </c>
      <c r="D3951" s="1" t="s">
        <v>65</v>
      </c>
      <c r="E3951" s="1" t="s">
        <v>555</v>
      </c>
    </row>
    <row r="3952" spans="1:5" x14ac:dyDescent="0.2">
      <c r="A3952" s="1" t="s">
        <v>1276</v>
      </c>
      <c r="B3952" s="1" t="s">
        <v>866</v>
      </c>
      <c r="C3952" s="5">
        <f>DATE(2025, 6, 24) + TIME(12, 59, 51)</f>
        <v>45832.541562500002</v>
      </c>
      <c r="D3952" s="1" t="s">
        <v>871</v>
      </c>
      <c r="E3952" s="1" t="s">
        <v>107</v>
      </c>
    </row>
    <row r="3953" spans="1:5" x14ac:dyDescent="0.2">
      <c r="A3953" s="1" t="s">
        <v>1276</v>
      </c>
      <c r="B3953" s="1" t="s">
        <v>582</v>
      </c>
      <c r="C3953" s="5">
        <f>DATE(2025, 6, 24) + TIME(12, 24, 44)</f>
        <v>45832.517175925925</v>
      </c>
      <c r="D3953" s="1" t="s">
        <v>506</v>
      </c>
      <c r="E3953" s="1" t="s">
        <v>446</v>
      </c>
    </row>
    <row r="3954" spans="1:5" x14ac:dyDescent="0.2">
      <c r="A3954" s="1" t="s">
        <v>1276</v>
      </c>
      <c r="B3954" s="1" t="s">
        <v>818</v>
      </c>
      <c r="C3954" s="5">
        <f>DATE(2025, 6, 23) + TIME(18, 11, 33)</f>
        <v>45831.758020833331</v>
      </c>
      <c r="D3954" s="1" t="s">
        <v>65</v>
      </c>
      <c r="E3954" s="1" t="s">
        <v>404</v>
      </c>
    </row>
    <row r="3955" spans="1:5" x14ac:dyDescent="0.2">
      <c r="A3955" s="1" t="s">
        <v>1276</v>
      </c>
      <c r="B3955" s="1" t="s">
        <v>866</v>
      </c>
      <c r="C3955" s="5">
        <f>DATE(2025, 6, 23) + TIME(15, 42, 22)</f>
        <v>45831.654421296298</v>
      </c>
      <c r="D3955" s="1" t="s">
        <v>65</v>
      </c>
      <c r="E3955" s="1" t="s">
        <v>400</v>
      </c>
    </row>
    <row r="3956" spans="1:5" x14ac:dyDescent="0.2">
      <c r="A3956" s="1" t="s">
        <v>1276</v>
      </c>
      <c r="B3956" s="1" t="s">
        <v>964</v>
      </c>
      <c r="C3956" s="5">
        <f>DATE(2025, 6, 23) + TIME(15, 41, 34)</f>
        <v>45831.653865740744</v>
      </c>
      <c r="D3956" s="1" t="s">
        <v>754</v>
      </c>
      <c r="E3956" s="1" t="s">
        <v>330</v>
      </c>
    </row>
    <row r="3957" spans="1:5" x14ac:dyDescent="0.2">
      <c r="A3957" s="1" t="s">
        <v>1276</v>
      </c>
      <c r="B3957" s="1" t="s">
        <v>866</v>
      </c>
      <c r="C3957" s="5">
        <f>DATE(2025, 6, 23) + TIME(15, 39, 56)</f>
        <v>45831.652731481481</v>
      </c>
      <c r="D3957" s="1" t="s">
        <v>65</v>
      </c>
      <c r="E3957" s="1" t="s">
        <v>103</v>
      </c>
    </row>
    <row r="3958" spans="1:5" x14ac:dyDescent="0.2">
      <c r="A3958" s="1" t="s">
        <v>1276</v>
      </c>
      <c r="B3958" s="1" t="s">
        <v>247</v>
      </c>
      <c r="C3958" s="5">
        <f>DATE(2025, 6, 23) + TIME(15, 10, 23)</f>
        <v>45831.632210648146</v>
      </c>
      <c r="D3958" s="1" t="s">
        <v>459</v>
      </c>
      <c r="E3958" s="1" t="s">
        <v>836</v>
      </c>
    </row>
    <row r="3959" spans="1:5" x14ac:dyDescent="0.2">
      <c r="A3959" s="1" t="s">
        <v>1276</v>
      </c>
      <c r="B3959" s="1" t="s">
        <v>866</v>
      </c>
      <c r="C3959" s="5">
        <f>DATE(2025, 6, 23) + TIME(12, 35, 19)</f>
        <v>45831.524525462963</v>
      </c>
      <c r="D3959" s="1" t="s">
        <v>269</v>
      </c>
      <c r="E3959" s="1" t="s">
        <v>299</v>
      </c>
    </row>
    <row r="3960" spans="1:5" x14ac:dyDescent="0.2">
      <c r="A3960" s="1" t="s">
        <v>1276</v>
      </c>
      <c r="B3960" s="1" t="s">
        <v>866</v>
      </c>
      <c r="C3960" s="5">
        <f>DATE(2025, 6, 23) + TIME(12, 19, 6)</f>
        <v>45831.51326388889</v>
      </c>
      <c r="D3960" s="1" t="s">
        <v>320</v>
      </c>
      <c r="E3960" s="1" t="s">
        <v>698</v>
      </c>
    </row>
    <row r="3961" spans="1:5" x14ac:dyDescent="0.2">
      <c r="A3961" s="1" t="s">
        <v>1276</v>
      </c>
      <c r="B3961" s="1" t="s">
        <v>817</v>
      </c>
      <c r="C3961" s="5">
        <f>DATE(2025, 6, 23) + TIME(10, 10, 22)</f>
        <v>45831.42386574074</v>
      </c>
      <c r="D3961" s="1" t="s">
        <v>126</v>
      </c>
      <c r="E3961" s="1" t="s">
        <v>380</v>
      </c>
    </row>
    <row r="3962" spans="1:5" x14ac:dyDescent="0.2">
      <c r="A3962" s="1" t="s">
        <v>1276</v>
      </c>
      <c r="B3962" s="1" t="s">
        <v>582</v>
      </c>
      <c r="C3962" s="5">
        <f>DATE(2025, 6, 19) + TIME(15, 53, 35)</f>
        <v>45827.662210648145</v>
      </c>
      <c r="D3962" s="1" t="s">
        <v>506</v>
      </c>
      <c r="E3962" s="1" t="s">
        <v>947</v>
      </c>
    </row>
    <row r="3963" spans="1:5" x14ac:dyDescent="0.2">
      <c r="A3963" s="1" t="s">
        <v>1276</v>
      </c>
      <c r="B3963" s="1" t="s">
        <v>908</v>
      </c>
      <c r="C3963" s="5">
        <f>DATE(2025, 6, 19) + TIME(15, 2, 1)</f>
        <v>45827.626400462963</v>
      </c>
      <c r="D3963" s="1" t="s">
        <v>566</v>
      </c>
      <c r="E3963" s="1" t="s">
        <v>324</v>
      </c>
    </row>
    <row r="3964" spans="1:5" x14ac:dyDescent="0.2">
      <c r="A3964" s="1" t="s">
        <v>1276</v>
      </c>
      <c r="B3964" s="1" t="s">
        <v>626</v>
      </c>
      <c r="C3964" s="5">
        <f>DATE(2025, 6, 19) + TIME(15, 2, 1)</f>
        <v>45827.626400462963</v>
      </c>
      <c r="D3964" s="1" t="s">
        <v>566</v>
      </c>
      <c r="E3964" s="1" t="s">
        <v>324</v>
      </c>
    </row>
    <row r="3965" spans="1:5" x14ac:dyDescent="0.2">
      <c r="A3965" s="1" t="s">
        <v>1276</v>
      </c>
      <c r="B3965" s="1" t="s">
        <v>794</v>
      </c>
      <c r="C3965" s="5">
        <f>DATE(2025, 6, 19) + TIME(14, 28, 31)</f>
        <v>45827.603136574071</v>
      </c>
      <c r="D3965" s="1" t="s">
        <v>396</v>
      </c>
      <c r="E3965" s="1" t="s">
        <v>36</v>
      </c>
    </row>
    <row r="3966" spans="1:5" x14ac:dyDescent="0.2">
      <c r="A3966" s="1" t="s">
        <v>1276</v>
      </c>
      <c r="B3966" s="1" t="s">
        <v>866</v>
      </c>
      <c r="C3966" s="5">
        <f>DATE(2025, 6, 19) + TIME(14, 28, 31)</f>
        <v>45827.603136574071</v>
      </c>
      <c r="D3966" s="1" t="s">
        <v>396</v>
      </c>
      <c r="E3966" s="1" t="s">
        <v>652</v>
      </c>
    </row>
    <row r="3967" spans="1:5" x14ac:dyDescent="0.2">
      <c r="A3967" s="1" t="s">
        <v>1276</v>
      </c>
      <c r="B3967" s="1" t="s">
        <v>908</v>
      </c>
      <c r="C3967" s="5">
        <f>DATE(2025, 6, 19) + TIME(14, 28, 27)</f>
        <v>45827.603090277778</v>
      </c>
      <c r="D3967" s="1" t="s">
        <v>506</v>
      </c>
      <c r="E3967" s="1" t="s">
        <v>867</v>
      </c>
    </row>
    <row r="3968" spans="1:5" x14ac:dyDescent="0.2">
      <c r="A3968" s="1" t="s">
        <v>1276</v>
      </c>
      <c r="B3968" s="1" t="s">
        <v>551</v>
      </c>
      <c r="C3968" s="5">
        <f>DATE(2025, 6, 19) + TIME(14, 28, 27)</f>
        <v>45827.603090277778</v>
      </c>
      <c r="D3968" s="1" t="s">
        <v>506</v>
      </c>
      <c r="E3968" s="1" t="s">
        <v>867</v>
      </c>
    </row>
    <row r="3969" spans="1:5" x14ac:dyDescent="0.2">
      <c r="A3969" s="1" t="s">
        <v>1276</v>
      </c>
      <c r="B3969" s="1" t="s">
        <v>626</v>
      </c>
      <c r="C3969" s="5">
        <f>DATE(2025, 6, 19) + TIME(14, 28, 26)</f>
        <v>45827.603078703702</v>
      </c>
      <c r="D3969" s="1" t="s">
        <v>506</v>
      </c>
      <c r="E3969" s="1" t="s">
        <v>867</v>
      </c>
    </row>
    <row r="3970" spans="1:5" x14ac:dyDescent="0.2">
      <c r="A3970" s="1" t="s">
        <v>1276</v>
      </c>
      <c r="B3970" s="1" t="s">
        <v>4</v>
      </c>
      <c r="C3970" s="5">
        <f>DATE(2025, 6, 19) + TIME(14, 24, 39)</f>
        <v>45827.600451388891</v>
      </c>
      <c r="D3970" s="1" t="s">
        <v>869</v>
      </c>
      <c r="E3970" s="1" t="s">
        <v>383</v>
      </c>
    </row>
    <row r="3971" spans="1:5" x14ac:dyDescent="0.2">
      <c r="A3971" s="1" t="s">
        <v>1276</v>
      </c>
      <c r="B3971" s="1" t="s">
        <v>271</v>
      </c>
      <c r="C3971" s="5">
        <f>DATE(2025, 6, 19) + TIME(14, 24, 39)</f>
        <v>45827.600451388891</v>
      </c>
      <c r="D3971" s="1" t="s">
        <v>869</v>
      </c>
      <c r="E3971" s="1" t="s">
        <v>383</v>
      </c>
    </row>
    <row r="3972" spans="1:5" x14ac:dyDescent="0.2">
      <c r="A3972" s="1" t="s">
        <v>1276</v>
      </c>
      <c r="B3972" s="1" t="s">
        <v>911</v>
      </c>
      <c r="C3972" s="5">
        <f>DATE(2025, 6, 19) + TIME(12, 29, 37)</f>
        <v>45827.520567129628</v>
      </c>
      <c r="D3972" s="1" t="s">
        <v>506</v>
      </c>
      <c r="E3972" s="1" t="s">
        <v>158</v>
      </c>
    </row>
    <row r="3973" spans="1:5" x14ac:dyDescent="0.2">
      <c r="A3973" s="1" t="s">
        <v>1276</v>
      </c>
      <c r="B3973" s="1" t="s">
        <v>60</v>
      </c>
      <c r="C3973" s="5">
        <f>DATE(2025, 6, 19) + TIME(12, 21, 3)</f>
        <v>45827.514618055553</v>
      </c>
      <c r="D3973" s="1" t="s">
        <v>871</v>
      </c>
      <c r="E3973" s="1" t="s">
        <v>796</v>
      </c>
    </row>
    <row r="3974" spans="1:5" x14ac:dyDescent="0.2">
      <c r="A3974" s="1" t="s">
        <v>1276</v>
      </c>
      <c r="B3974" s="1" t="s">
        <v>931</v>
      </c>
      <c r="C3974" s="5">
        <f>DATE(2025, 6, 19) + TIME(7, 43, 57)</f>
        <v>45827.322187500002</v>
      </c>
      <c r="D3974" s="1" t="s">
        <v>640</v>
      </c>
      <c r="E3974" s="1" t="s">
        <v>333</v>
      </c>
    </row>
    <row r="3975" spans="1:5" x14ac:dyDescent="0.2">
      <c r="A3975" s="1" t="s">
        <v>1276</v>
      </c>
      <c r="B3975" s="1" t="s">
        <v>317</v>
      </c>
      <c r="C3975" s="5">
        <f>DATE(2025, 6, 18) + TIME(15, 23, 42)</f>
        <v>45826.641458333332</v>
      </c>
      <c r="D3975" s="1" t="s">
        <v>64</v>
      </c>
      <c r="E3975" s="1" t="s">
        <v>233</v>
      </c>
    </row>
    <row r="3976" spans="1:5" x14ac:dyDescent="0.2">
      <c r="A3976" s="1" t="s">
        <v>1276</v>
      </c>
      <c r="B3976" s="1" t="s">
        <v>858</v>
      </c>
      <c r="C3976" s="5">
        <f>DATE(2025, 6, 18) + TIME(14, 44, 6)</f>
        <v>45826.613958333335</v>
      </c>
      <c r="D3976" s="1" t="s">
        <v>566</v>
      </c>
      <c r="E3976" s="1" t="s">
        <v>888</v>
      </c>
    </row>
    <row r="3977" spans="1:5" x14ac:dyDescent="0.2">
      <c r="A3977" s="1" t="s">
        <v>1276</v>
      </c>
      <c r="B3977" s="1" t="s">
        <v>859</v>
      </c>
      <c r="C3977" s="5">
        <f>DATE(2025, 6, 18) + TIME(14, 44, 6)</f>
        <v>45826.613958333335</v>
      </c>
      <c r="D3977" s="1" t="s">
        <v>566</v>
      </c>
      <c r="E3977" s="1" t="s">
        <v>888</v>
      </c>
    </row>
    <row r="3978" spans="1:5" x14ac:dyDescent="0.2">
      <c r="A3978" s="1" t="s">
        <v>1276</v>
      </c>
      <c r="B3978" s="1" t="s">
        <v>72</v>
      </c>
      <c r="C3978" s="5">
        <f>DATE(2025, 6, 18) + TIME(4, 40, 14)</f>
        <v>45826.194606481484</v>
      </c>
      <c r="D3978" s="1" t="s">
        <v>3</v>
      </c>
      <c r="E3978" s="1" t="s">
        <v>890</v>
      </c>
    </row>
    <row r="3979" spans="1:5" x14ac:dyDescent="0.2">
      <c r="A3979" s="1" t="s">
        <v>1276</v>
      </c>
      <c r="B3979" s="1" t="s">
        <v>931</v>
      </c>
      <c r="C3979" s="5">
        <f>DATE(2025, 6, 18) + TIME(4, 40, 13)</f>
        <v>45826.194594907407</v>
      </c>
      <c r="D3979" s="1" t="s">
        <v>3</v>
      </c>
      <c r="E3979" s="1" t="s">
        <v>890</v>
      </c>
    </row>
    <row r="3980" spans="1:5" x14ac:dyDescent="0.2">
      <c r="A3980" s="1" t="s">
        <v>1276</v>
      </c>
      <c r="B3980" s="1" t="s">
        <v>562</v>
      </c>
      <c r="C3980" s="5">
        <f>DATE(2025, 6, 17) + TIME(16, 21, 18)</f>
        <v>45825.681458333333</v>
      </c>
      <c r="D3980" s="1" t="s">
        <v>459</v>
      </c>
      <c r="E3980" s="1" t="s">
        <v>171</v>
      </c>
    </row>
    <row r="3981" spans="1:5" x14ac:dyDescent="0.2">
      <c r="A3981" s="1" t="s">
        <v>1276</v>
      </c>
      <c r="B3981" s="1" t="s">
        <v>682</v>
      </c>
      <c r="C3981" s="5">
        <f>DATE(2025, 6, 17) + TIME(16, 7, 44)</f>
        <v>45825.672037037039</v>
      </c>
      <c r="D3981" s="1" t="s">
        <v>320</v>
      </c>
      <c r="E3981" s="1" t="s">
        <v>239</v>
      </c>
    </row>
    <row r="3982" spans="1:5" x14ac:dyDescent="0.2">
      <c r="A3982" s="1" t="s">
        <v>1276</v>
      </c>
      <c r="B3982" s="1" t="s">
        <v>866</v>
      </c>
      <c r="C3982" s="5">
        <f>DATE(2025, 6, 17) + TIME(15, 13, 52)</f>
        <v>45825.634629629632</v>
      </c>
      <c r="D3982" s="1" t="s">
        <v>869</v>
      </c>
      <c r="E3982" s="1" t="s">
        <v>832</v>
      </c>
    </row>
    <row r="3983" spans="1:5" x14ac:dyDescent="0.2">
      <c r="A3983" s="1" t="s">
        <v>1276</v>
      </c>
      <c r="B3983" s="1" t="s">
        <v>9</v>
      </c>
      <c r="C3983" s="5">
        <f>DATE(2025, 6, 17) + TIME(14, 45, 10)</f>
        <v>45825.614699074074</v>
      </c>
      <c r="D3983" s="1" t="s">
        <v>863</v>
      </c>
      <c r="E3983" s="1" t="s">
        <v>170</v>
      </c>
    </row>
    <row r="3984" spans="1:5" x14ac:dyDescent="0.2">
      <c r="A3984" s="1" t="s">
        <v>1276</v>
      </c>
      <c r="B3984" s="1" t="s">
        <v>866</v>
      </c>
      <c r="C3984" s="5">
        <f>DATE(2025, 6, 17) + TIME(13, 2, 7)</f>
        <v>45825.543136574073</v>
      </c>
      <c r="D3984" s="1" t="s">
        <v>64</v>
      </c>
      <c r="E3984" s="1" t="s">
        <v>433</v>
      </c>
    </row>
    <row r="3985" spans="1:5" x14ac:dyDescent="0.2">
      <c r="A3985" s="1" t="s">
        <v>1276</v>
      </c>
      <c r="B3985" s="1" t="s">
        <v>562</v>
      </c>
      <c r="C3985" s="5">
        <f>DATE(2025, 6, 17) + TIME(11, 20, 50)</f>
        <v>45825.472800925927</v>
      </c>
      <c r="D3985" s="1" t="s">
        <v>216</v>
      </c>
      <c r="E3985" s="1" t="s">
        <v>912</v>
      </c>
    </row>
    <row r="3986" spans="1:5" x14ac:dyDescent="0.2">
      <c r="A3986" s="1" t="s">
        <v>1276</v>
      </c>
      <c r="B3986" s="1" t="s">
        <v>686</v>
      </c>
      <c r="C3986" s="5">
        <f>DATE(2025, 6, 16) + TIME(15, 22, 32)</f>
        <v>45824.640648148146</v>
      </c>
      <c r="D3986" s="1" t="s">
        <v>754</v>
      </c>
      <c r="E3986" s="1" t="s">
        <v>330</v>
      </c>
    </row>
    <row r="3987" spans="1:5" x14ac:dyDescent="0.2">
      <c r="A3987" s="1" t="s">
        <v>1276</v>
      </c>
      <c r="B3987" s="1" t="s">
        <v>322</v>
      </c>
      <c r="C3987" s="5">
        <f>DATE(2025, 6, 16) + TIME(14, 0, 13)</f>
        <v>45824.583483796298</v>
      </c>
      <c r="D3987" s="1" t="s">
        <v>3</v>
      </c>
      <c r="E3987" s="1" t="s">
        <v>307</v>
      </c>
    </row>
    <row r="3988" spans="1:5" x14ac:dyDescent="0.2">
      <c r="A3988" s="1" t="s">
        <v>1276</v>
      </c>
      <c r="B3988" s="1" t="s">
        <v>63</v>
      </c>
      <c r="C3988" s="5">
        <f>DATE(2025, 6, 16) + TIME(13, 49, 24)</f>
        <v>45824.575972222221</v>
      </c>
      <c r="D3988" s="1" t="s">
        <v>640</v>
      </c>
      <c r="E3988" s="1" t="s">
        <v>834</v>
      </c>
    </row>
    <row r="3989" spans="1:5" x14ac:dyDescent="0.2">
      <c r="A3989" s="1" t="s">
        <v>1276</v>
      </c>
      <c r="B3989" s="1" t="s">
        <v>852</v>
      </c>
      <c r="C3989" s="5">
        <f>DATE(2025, 6, 16) + TIME(13, 5, 1)</f>
        <v>45824.54515046296</v>
      </c>
      <c r="D3989" s="1" t="s">
        <v>65</v>
      </c>
      <c r="E3989" s="1" t="s">
        <v>400</v>
      </c>
    </row>
    <row r="3990" spans="1:5" x14ac:dyDescent="0.2">
      <c r="A3990" s="1" t="s">
        <v>1276</v>
      </c>
      <c r="B3990" s="1" t="s">
        <v>866</v>
      </c>
      <c r="C3990" s="5">
        <f>DATE(2025, 6, 16) + TIME(11, 21, 46)</f>
        <v>45824.473449074074</v>
      </c>
      <c r="D3990" s="1" t="s">
        <v>576</v>
      </c>
      <c r="E3990" s="1" t="s">
        <v>795</v>
      </c>
    </row>
    <row r="3991" spans="1:5" x14ac:dyDescent="0.2">
      <c r="A3991" s="1" t="s">
        <v>1276</v>
      </c>
      <c r="B3991" s="1" t="s">
        <v>927</v>
      </c>
      <c r="C3991" s="5">
        <f>DATE(2025, 6, 16) + TIME(9, 55, 43)</f>
        <v>45824.41369212963</v>
      </c>
      <c r="D3991" s="1" t="s">
        <v>320</v>
      </c>
      <c r="E3991" s="1" t="s">
        <v>683</v>
      </c>
    </row>
    <row r="3992" spans="1:5" x14ac:dyDescent="0.2">
      <c r="A3992" s="1" t="s">
        <v>1276</v>
      </c>
      <c r="B3992" s="1" t="s">
        <v>4</v>
      </c>
      <c r="C3992" s="5">
        <f>DATE(2025, 6, 12) + TIME(15, 36, 40)</f>
        <v>45820.650462962964</v>
      </c>
      <c r="D3992" s="1" t="s">
        <v>563</v>
      </c>
      <c r="E3992" s="1" t="s">
        <v>878</v>
      </c>
    </row>
    <row r="3993" spans="1:5" x14ac:dyDescent="0.2">
      <c r="A3993" s="1" t="s">
        <v>1276</v>
      </c>
      <c r="B3993" s="1" t="s">
        <v>673</v>
      </c>
      <c r="C3993" s="5">
        <f>DATE(2025, 6, 12) + TIME(15, 31, 40)</f>
        <v>45820.646990740737</v>
      </c>
      <c r="D3993" s="1" t="s">
        <v>754</v>
      </c>
      <c r="E3993" s="1" t="s">
        <v>870</v>
      </c>
    </row>
    <row r="3994" spans="1:5" x14ac:dyDescent="0.2">
      <c r="A3994" s="1" t="s">
        <v>1276</v>
      </c>
      <c r="B3994" s="1" t="s">
        <v>63</v>
      </c>
      <c r="C3994" s="5">
        <f>DATE(2025, 6, 12) + TIME(15, 29, 48)</f>
        <v>45820.645694444444</v>
      </c>
      <c r="D3994" s="1" t="s">
        <v>754</v>
      </c>
      <c r="E3994" s="1" t="s">
        <v>441</v>
      </c>
    </row>
    <row r="3995" spans="1:5" x14ac:dyDescent="0.2">
      <c r="A3995" s="1" t="s">
        <v>1276</v>
      </c>
      <c r="B3995" s="1" t="s">
        <v>54</v>
      </c>
      <c r="C3995" s="5">
        <f>DATE(2025, 6, 12) + TIME(15, 18, 59)</f>
        <v>45820.638182870367</v>
      </c>
      <c r="D3995" s="1" t="s">
        <v>638</v>
      </c>
      <c r="E3995" s="1" t="s">
        <v>85</v>
      </c>
    </row>
    <row r="3996" spans="1:5" x14ac:dyDescent="0.2">
      <c r="A3996" s="1" t="s">
        <v>1276</v>
      </c>
      <c r="B3996" s="1" t="s">
        <v>303</v>
      </c>
      <c r="C3996" s="5">
        <f>DATE(2025, 6, 12) + TIME(14, 32, 28)</f>
        <v>45820.605879629627</v>
      </c>
      <c r="D3996" s="1" t="s">
        <v>3</v>
      </c>
      <c r="E3996" s="1" t="s">
        <v>684</v>
      </c>
    </row>
    <row r="3997" spans="1:5" x14ac:dyDescent="0.2">
      <c r="A3997" s="1" t="s">
        <v>1276</v>
      </c>
      <c r="B3997" s="1" t="s">
        <v>864</v>
      </c>
      <c r="C3997" s="5">
        <f>DATE(2025, 6, 12) + TIME(13, 41, 21)</f>
        <v>45820.570381944446</v>
      </c>
      <c r="D3997" s="1" t="s">
        <v>356</v>
      </c>
      <c r="E3997" s="1" t="s">
        <v>340</v>
      </c>
    </row>
    <row r="3998" spans="1:5" x14ac:dyDescent="0.2">
      <c r="A3998" s="1" t="s">
        <v>1276</v>
      </c>
      <c r="B3998" s="1" t="s">
        <v>627</v>
      </c>
      <c r="C3998" s="5">
        <f>DATE(2025, 6, 12) + TIME(13, 7, 30)</f>
        <v>45820.546875</v>
      </c>
      <c r="D3998" s="1" t="s">
        <v>506</v>
      </c>
      <c r="E3998" s="1" t="s">
        <v>709</v>
      </c>
    </row>
    <row r="3999" spans="1:5" x14ac:dyDescent="0.2">
      <c r="A3999" s="1" t="s">
        <v>1276</v>
      </c>
      <c r="B3999" s="1" t="s">
        <v>263</v>
      </c>
      <c r="C3999" s="5">
        <f>DATE(2025, 6, 12) + TIME(11, 23, 1)</f>
        <v>45820.474317129629</v>
      </c>
      <c r="D3999" s="1" t="s">
        <v>754</v>
      </c>
      <c r="E3999" s="1" t="s">
        <v>330</v>
      </c>
    </row>
    <row r="4000" spans="1:5" x14ac:dyDescent="0.2">
      <c r="A4000" s="1" t="s">
        <v>1276</v>
      </c>
      <c r="B4000" s="1" t="s">
        <v>9</v>
      </c>
      <c r="C4000" s="5">
        <f>DATE(2025, 6, 12) + TIME(11, 23, 1)</f>
        <v>45820.474317129629</v>
      </c>
      <c r="D4000" s="1" t="s">
        <v>754</v>
      </c>
      <c r="E4000" s="1" t="s">
        <v>330</v>
      </c>
    </row>
    <row r="4001" spans="1:5" x14ac:dyDescent="0.2">
      <c r="A4001" s="1" t="s">
        <v>1276</v>
      </c>
      <c r="B4001" s="1" t="s">
        <v>183</v>
      </c>
      <c r="C4001" s="5">
        <f>DATE(2025, 6, 12) + TIME(11, 23, 1)</f>
        <v>45820.474317129629</v>
      </c>
      <c r="D4001" s="1" t="s">
        <v>754</v>
      </c>
      <c r="E4001" s="1" t="s">
        <v>330</v>
      </c>
    </row>
    <row r="4002" spans="1:5" x14ac:dyDescent="0.2">
      <c r="A4002" s="1" t="s">
        <v>1276</v>
      </c>
      <c r="B4002" s="1" t="s">
        <v>864</v>
      </c>
      <c r="C4002" s="5">
        <f>DATE(2025, 6, 12) + TIME(9, 51, 12)</f>
        <v>45820.410555555558</v>
      </c>
      <c r="D4002" s="1" t="s">
        <v>869</v>
      </c>
      <c r="E4002" s="1" t="s">
        <v>438</v>
      </c>
    </row>
    <row r="4003" spans="1:5" x14ac:dyDescent="0.2">
      <c r="A4003" s="1" t="s">
        <v>1276</v>
      </c>
      <c r="B4003" s="1" t="s">
        <v>4</v>
      </c>
      <c r="C4003" s="5">
        <f>DATE(2025, 6, 11) + TIME(16, 22, 34)</f>
        <v>45819.682337962964</v>
      </c>
      <c r="D4003" s="1" t="s">
        <v>506</v>
      </c>
      <c r="E4003" s="1" t="s">
        <v>347</v>
      </c>
    </row>
    <row r="4004" spans="1:5" x14ac:dyDescent="0.2">
      <c r="A4004" s="1" t="s">
        <v>1276</v>
      </c>
      <c r="B4004" s="1" t="s">
        <v>904</v>
      </c>
      <c r="C4004" s="5">
        <f>DATE(2025, 6, 11) + TIME(16, 22, 34)</f>
        <v>45819.682337962964</v>
      </c>
      <c r="D4004" s="1" t="s">
        <v>506</v>
      </c>
      <c r="E4004" s="1" t="s">
        <v>347</v>
      </c>
    </row>
    <row r="4005" spans="1:5" x14ac:dyDescent="0.2">
      <c r="A4005" s="1" t="s">
        <v>1276</v>
      </c>
      <c r="B4005" s="1" t="s">
        <v>203</v>
      </c>
      <c r="C4005" s="5">
        <f>DATE(2025, 6, 11) + TIME(15, 30, 26)</f>
        <v>45819.646134259259</v>
      </c>
      <c r="D4005" s="1" t="s">
        <v>320</v>
      </c>
      <c r="E4005" s="1" t="s">
        <v>2</v>
      </c>
    </row>
    <row r="4006" spans="1:5" x14ac:dyDescent="0.2">
      <c r="A4006" s="1" t="s">
        <v>1276</v>
      </c>
      <c r="B4006" s="1" t="s">
        <v>131</v>
      </c>
      <c r="C4006" s="5">
        <f>DATE(2025, 6, 11) + TIME(15, 30, 25)</f>
        <v>45819.646122685182</v>
      </c>
      <c r="D4006" s="1" t="s">
        <v>320</v>
      </c>
      <c r="E4006" s="1" t="s">
        <v>2</v>
      </c>
    </row>
    <row r="4007" spans="1:5" x14ac:dyDescent="0.2">
      <c r="A4007" s="1" t="s">
        <v>1276</v>
      </c>
      <c r="B4007" s="1" t="s">
        <v>388</v>
      </c>
      <c r="C4007" s="5">
        <f>DATE(2025, 6, 11) + TIME(13, 53, 29)</f>
        <v>45819.57880787037</v>
      </c>
      <c r="D4007" s="1" t="s">
        <v>320</v>
      </c>
      <c r="E4007" s="1" t="s">
        <v>845</v>
      </c>
    </row>
    <row r="4008" spans="1:5" x14ac:dyDescent="0.2">
      <c r="A4008" s="1" t="s">
        <v>1276</v>
      </c>
      <c r="B4008" s="1" t="s">
        <v>677</v>
      </c>
      <c r="C4008" s="5">
        <f>DATE(2025, 6, 11) + TIME(11, 55, 50)</f>
        <v>45819.497106481482</v>
      </c>
      <c r="D4008" s="1" t="s">
        <v>64</v>
      </c>
      <c r="E4008" s="1" t="s">
        <v>873</v>
      </c>
    </row>
    <row r="4009" spans="1:5" x14ac:dyDescent="0.2">
      <c r="A4009" s="1" t="s">
        <v>1276</v>
      </c>
      <c r="B4009" s="1" t="s">
        <v>969</v>
      </c>
      <c r="C4009" s="5">
        <f>DATE(2025, 6, 11) + TIME(6, 18, 3)</f>
        <v>45819.26253472222</v>
      </c>
      <c r="D4009" s="1" t="s">
        <v>3</v>
      </c>
      <c r="E4009" s="1" t="s">
        <v>165</v>
      </c>
    </row>
    <row r="4010" spans="1:5" x14ac:dyDescent="0.2">
      <c r="A4010" s="1" t="s">
        <v>1276</v>
      </c>
      <c r="B4010" s="1" t="s">
        <v>378</v>
      </c>
      <c r="C4010" s="5">
        <f>DATE(2025, 6, 10) + TIME(15, 49, 53)</f>
        <v>45818.659641203703</v>
      </c>
      <c r="D4010" s="1" t="s">
        <v>148</v>
      </c>
      <c r="E4010" s="1" t="s">
        <v>877</v>
      </c>
    </row>
    <row r="4011" spans="1:5" x14ac:dyDescent="0.2">
      <c r="A4011" s="1" t="s">
        <v>1276</v>
      </c>
      <c r="B4011" s="1" t="s">
        <v>322</v>
      </c>
      <c r="C4011" s="5">
        <f>DATE(2025, 6, 10) + TIME(14, 12, 13)</f>
        <v>45818.591817129629</v>
      </c>
      <c r="D4011" s="1" t="s">
        <v>640</v>
      </c>
      <c r="E4011" s="1" t="s">
        <v>761</v>
      </c>
    </row>
    <row r="4012" spans="1:5" x14ac:dyDescent="0.2">
      <c r="A4012" s="1" t="s">
        <v>1276</v>
      </c>
      <c r="B4012" s="1" t="s">
        <v>715</v>
      </c>
      <c r="C4012" s="5">
        <f>DATE(2025, 6, 10) + TIME(12, 31, 25)</f>
        <v>45818.521817129629</v>
      </c>
      <c r="D4012" s="1" t="s">
        <v>126</v>
      </c>
      <c r="E4012" s="1" t="s">
        <v>143</v>
      </c>
    </row>
    <row r="4013" spans="1:5" x14ac:dyDescent="0.2">
      <c r="A4013" s="1" t="s">
        <v>1276</v>
      </c>
      <c r="B4013" s="1" t="s">
        <v>542</v>
      </c>
      <c r="C4013" s="5">
        <f>DATE(2025, 6, 9) + TIME(16, 54, 57)</f>
        <v>45817.704826388886</v>
      </c>
      <c r="D4013" s="1" t="s">
        <v>320</v>
      </c>
      <c r="E4013" s="1" t="s">
        <v>406</v>
      </c>
    </row>
    <row r="4014" spans="1:5" x14ac:dyDescent="0.2">
      <c r="A4014" s="1" t="s">
        <v>1276</v>
      </c>
      <c r="B4014" s="1" t="s">
        <v>852</v>
      </c>
      <c r="C4014" s="5">
        <f>DATE(2025, 6, 9) + TIME(16, 54, 57)</f>
        <v>45817.704826388886</v>
      </c>
      <c r="D4014" s="1" t="s">
        <v>320</v>
      </c>
      <c r="E4014" s="1" t="s">
        <v>406</v>
      </c>
    </row>
    <row r="4015" spans="1:5" x14ac:dyDescent="0.2">
      <c r="A4015" s="1" t="s">
        <v>1276</v>
      </c>
      <c r="B4015" s="1" t="s">
        <v>766</v>
      </c>
      <c r="C4015" s="5">
        <f>DATE(2025, 6, 9) + TIME(15, 56, 11)</f>
        <v>45817.6640162037</v>
      </c>
      <c r="D4015" s="1" t="s">
        <v>269</v>
      </c>
      <c r="E4015" s="1" t="s">
        <v>299</v>
      </c>
    </row>
    <row r="4016" spans="1:5" x14ac:dyDescent="0.2">
      <c r="A4016" s="1" t="s">
        <v>1276</v>
      </c>
      <c r="B4016" s="1" t="s">
        <v>303</v>
      </c>
      <c r="C4016" s="5">
        <f>DATE(2025, 6, 9) + TIME(15, 56, 11)</f>
        <v>45817.6640162037</v>
      </c>
      <c r="D4016" s="1" t="s">
        <v>269</v>
      </c>
      <c r="E4016" s="1" t="s">
        <v>299</v>
      </c>
    </row>
    <row r="4017" spans="1:5" x14ac:dyDescent="0.2">
      <c r="A4017" s="1" t="s">
        <v>1276</v>
      </c>
      <c r="B4017" s="1" t="s">
        <v>22</v>
      </c>
      <c r="C4017" s="5">
        <f>DATE(2025, 6, 9) + TIME(15, 0, 46)</f>
        <v>45817.625532407408</v>
      </c>
      <c r="D4017" s="1" t="s">
        <v>65</v>
      </c>
      <c r="E4017" s="1" t="s">
        <v>103</v>
      </c>
    </row>
    <row r="4018" spans="1:5" x14ac:dyDescent="0.2">
      <c r="A4018" s="1" t="s">
        <v>1276</v>
      </c>
      <c r="B4018" s="1" t="s">
        <v>322</v>
      </c>
      <c r="C4018" s="5">
        <f>DATE(2025, 6, 9) + TIME(12, 56, 20)</f>
        <v>45817.539120370369</v>
      </c>
      <c r="D4018" s="1" t="s">
        <v>467</v>
      </c>
      <c r="E4018" s="1" t="s">
        <v>307</v>
      </c>
    </row>
    <row r="4019" spans="1:5" x14ac:dyDescent="0.2">
      <c r="A4019" s="1" t="s">
        <v>1276</v>
      </c>
      <c r="B4019" s="1" t="s">
        <v>969</v>
      </c>
      <c r="C4019" s="5">
        <f>DATE(2025, 6, 9) + TIME(12, 38, 41)</f>
        <v>45817.526863425926</v>
      </c>
      <c r="D4019" s="1" t="s">
        <v>65</v>
      </c>
      <c r="E4019" s="1" t="s">
        <v>219</v>
      </c>
    </row>
    <row r="4020" spans="1:5" x14ac:dyDescent="0.2">
      <c r="A4020" s="1" t="s">
        <v>1276</v>
      </c>
      <c r="B4020" s="1" t="s">
        <v>264</v>
      </c>
      <c r="C4020" s="5">
        <f>DATE(2025, 6, 5) + TIME(15, 20, 18)</f>
        <v>45813.639097222222</v>
      </c>
      <c r="D4020" s="1" t="s">
        <v>269</v>
      </c>
      <c r="E4020" s="1" t="s">
        <v>299</v>
      </c>
    </row>
    <row r="4021" spans="1:5" x14ac:dyDescent="0.2">
      <c r="A4021" s="1" t="s">
        <v>1276</v>
      </c>
      <c r="B4021" s="1" t="s">
        <v>139</v>
      </c>
      <c r="C4021" s="5">
        <f>DATE(2025, 6, 5) + TIME(15, 16, 47)</f>
        <v>45813.636655092596</v>
      </c>
      <c r="D4021" s="1" t="s">
        <v>869</v>
      </c>
      <c r="E4021" s="1" t="s">
        <v>631</v>
      </c>
    </row>
    <row r="4022" spans="1:5" x14ac:dyDescent="0.2">
      <c r="A4022" s="1" t="s">
        <v>1276</v>
      </c>
      <c r="B4022" s="1" t="s">
        <v>569</v>
      </c>
      <c r="C4022" s="5">
        <f>DATE(2025, 6, 5) + TIME(15, 11, 52)</f>
        <v>45813.633240740739</v>
      </c>
      <c r="D4022" s="1" t="s">
        <v>869</v>
      </c>
      <c r="E4022" s="1" t="s">
        <v>631</v>
      </c>
    </row>
    <row r="4023" spans="1:5" x14ac:dyDescent="0.2">
      <c r="A4023" s="1" t="s">
        <v>1276</v>
      </c>
      <c r="B4023" s="1" t="s">
        <v>4</v>
      </c>
      <c r="C4023" s="5">
        <f>DATE(2025, 6, 5) + TIME(15, 11, 52)</f>
        <v>45813.633240740739</v>
      </c>
      <c r="D4023" s="1" t="s">
        <v>869</v>
      </c>
      <c r="E4023" s="1" t="s">
        <v>631</v>
      </c>
    </row>
    <row r="4024" spans="1:5" x14ac:dyDescent="0.2">
      <c r="A4024" s="1" t="s">
        <v>1276</v>
      </c>
      <c r="B4024" s="1" t="s">
        <v>852</v>
      </c>
      <c r="C4024" s="5">
        <f>DATE(2025, 6, 5) + TIME(15, 6, 21)</f>
        <v>45813.62940972222</v>
      </c>
      <c r="D4024" s="1" t="s">
        <v>566</v>
      </c>
      <c r="E4024" s="1" t="s">
        <v>324</v>
      </c>
    </row>
    <row r="4025" spans="1:5" x14ac:dyDescent="0.2">
      <c r="A4025" s="1" t="s">
        <v>1276</v>
      </c>
      <c r="B4025" s="1" t="s">
        <v>261</v>
      </c>
      <c r="C4025" s="5">
        <f>DATE(2025, 6, 5) + TIME(15, 6, 21)</f>
        <v>45813.62940972222</v>
      </c>
      <c r="D4025" s="1" t="s">
        <v>566</v>
      </c>
      <c r="E4025" s="1" t="s">
        <v>324</v>
      </c>
    </row>
    <row r="4026" spans="1:5" x14ac:dyDescent="0.2">
      <c r="A4026" s="1" t="s">
        <v>1276</v>
      </c>
      <c r="B4026" s="1" t="s">
        <v>562</v>
      </c>
      <c r="C4026" s="5">
        <f>DATE(2025, 6, 5) + TIME(14, 29, 34)</f>
        <v>45813.603865740741</v>
      </c>
      <c r="D4026" s="1" t="s">
        <v>126</v>
      </c>
      <c r="E4026" s="1" t="s">
        <v>540</v>
      </c>
    </row>
    <row r="4027" spans="1:5" x14ac:dyDescent="0.2">
      <c r="A4027" s="1" t="s">
        <v>1276</v>
      </c>
      <c r="B4027" s="1" t="s">
        <v>271</v>
      </c>
      <c r="C4027" s="5">
        <f>DATE(2025, 6, 5) + TIME(13, 55, 49)</f>
        <v>45813.580428240741</v>
      </c>
      <c r="D4027" s="1" t="s">
        <v>563</v>
      </c>
      <c r="E4027" s="1" t="s">
        <v>657</v>
      </c>
    </row>
    <row r="4028" spans="1:5" x14ac:dyDescent="0.2">
      <c r="A4028" s="1" t="s">
        <v>1276</v>
      </c>
      <c r="B4028" s="1" t="s">
        <v>688</v>
      </c>
      <c r="C4028" s="5">
        <f>DATE(2025, 6, 5) + TIME(12, 33, 54)</f>
        <v>45813.523541666669</v>
      </c>
      <c r="D4028" s="1" t="s">
        <v>640</v>
      </c>
      <c r="E4028" s="1" t="s">
        <v>283</v>
      </c>
    </row>
    <row r="4029" spans="1:5" x14ac:dyDescent="0.2">
      <c r="A4029" s="1" t="s">
        <v>1276</v>
      </c>
      <c r="B4029" s="1" t="s">
        <v>69</v>
      </c>
      <c r="C4029" s="5">
        <f>DATE(2025, 6, 4) + TIME(15, 25, 25)</f>
        <v>45812.642650462964</v>
      </c>
      <c r="D4029" s="1" t="s">
        <v>64</v>
      </c>
      <c r="E4029" s="1" t="s">
        <v>914</v>
      </c>
    </row>
    <row r="4030" spans="1:5" x14ac:dyDescent="0.2">
      <c r="A4030" s="1" t="s">
        <v>1276</v>
      </c>
      <c r="B4030" s="1" t="s">
        <v>557</v>
      </c>
      <c r="C4030" s="5">
        <f>DATE(2025, 6, 4) + TIME(15, 25, 25)</f>
        <v>45812.642650462964</v>
      </c>
      <c r="D4030" s="1" t="s">
        <v>64</v>
      </c>
      <c r="E4030" s="1" t="s">
        <v>914</v>
      </c>
    </row>
    <row r="4031" spans="1:5" x14ac:dyDescent="0.2">
      <c r="A4031" s="1" t="s">
        <v>1276</v>
      </c>
      <c r="B4031" s="1" t="s">
        <v>42</v>
      </c>
      <c r="C4031" s="5">
        <f>DATE(2025, 6, 4) + TIME(15, 25, 24)</f>
        <v>45812.642638888887</v>
      </c>
      <c r="D4031" s="1" t="s">
        <v>64</v>
      </c>
      <c r="E4031" s="1" t="s">
        <v>914</v>
      </c>
    </row>
    <row r="4032" spans="1:5" x14ac:dyDescent="0.2">
      <c r="A4032" s="1" t="s">
        <v>1276</v>
      </c>
      <c r="B4032" s="1" t="s">
        <v>557</v>
      </c>
      <c r="C4032" s="5">
        <f>DATE(2025, 6, 4) + TIME(15, 20, 15)</f>
        <v>45812.639062499999</v>
      </c>
      <c r="D4032" s="1" t="s">
        <v>64</v>
      </c>
      <c r="E4032" s="1" t="s">
        <v>11</v>
      </c>
    </row>
    <row r="4033" spans="1:5" x14ac:dyDescent="0.2">
      <c r="A4033" s="1" t="s">
        <v>1276</v>
      </c>
      <c r="B4033" s="1" t="s">
        <v>688</v>
      </c>
      <c r="C4033" s="5">
        <f>DATE(2025, 6, 4) + TIME(15, 15, 1)</f>
        <v>45812.635428240741</v>
      </c>
      <c r="D4033" s="1" t="s">
        <v>65</v>
      </c>
      <c r="E4033" s="1" t="s">
        <v>918</v>
      </c>
    </row>
    <row r="4034" spans="1:5" x14ac:dyDescent="0.2">
      <c r="A4034" s="1" t="s">
        <v>1276</v>
      </c>
      <c r="B4034" s="1" t="s">
        <v>551</v>
      </c>
      <c r="C4034" s="5">
        <f>DATE(2025, 6, 4) + TIME(15, 15, 0)</f>
        <v>45812.635416666664</v>
      </c>
      <c r="D4034" s="1" t="s">
        <v>65</v>
      </c>
      <c r="E4034" s="1" t="s">
        <v>918</v>
      </c>
    </row>
    <row r="4035" spans="1:5" x14ac:dyDescent="0.2">
      <c r="A4035" s="1" t="s">
        <v>1276</v>
      </c>
      <c r="B4035" s="1" t="s">
        <v>290</v>
      </c>
      <c r="C4035" s="5">
        <f>DATE(2025, 6, 4) + TIME(14, 53, 29)</f>
        <v>45812.620474537034</v>
      </c>
      <c r="D4035" s="1" t="s">
        <v>750</v>
      </c>
      <c r="E4035" s="1" t="s">
        <v>158</v>
      </c>
    </row>
    <row r="4036" spans="1:5" x14ac:dyDescent="0.2">
      <c r="A4036" s="1" t="s">
        <v>1276</v>
      </c>
      <c r="B4036" s="1" t="s">
        <v>54</v>
      </c>
      <c r="C4036" s="5">
        <f>DATE(2025, 6, 4) + TIME(14, 53, 29)</f>
        <v>45812.620474537034</v>
      </c>
      <c r="D4036" s="1" t="s">
        <v>750</v>
      </c>
      <c r="E4036" s="1" t="s">
        <v>158</v>
      </c>
    </row>
    <row r="4037" spans="1:5" x14ac:dyDescent="0.2">
      <c r="A4037" s="1" t="s">
        <v>1276</v>
      </c>
      <c r="B4037" s="1" t="s">
        <v>502</v>
      </c>
      <c r="C4037" s="5">
        <f>DATE(2025, 6, 4) + TIME(14, 53, 29)</f>
        <v>45812.620474537034</v>
      </c>
      <c r="D4037" s="1" t="s">
        <v>750</v>
      </c>
      <c r="E4037" s="1" t="s">
        <v>158</v>
      </c>
    </row>
    <row r="4038" spans="1:5" x14ac:dyDescent="0.2">
      <c r="A4038" s="1" t="s">
        <v>1276</v>
      </c>
      <c r="B4038" s="1" t="s">
        <v>852</v>
      </c>
      <c r="C4038" s="5">
        <f>DATE(2025, 6, 4) + TIME(14, 48, 35)</f>
        <v>45812.617071759261</v>
      </c>
      <c r="D4038" s="1" t="s">
        <v>566</v>
      </c>
      <c r="E4038" s="1" t="s">
        <v>888</v>
      </c>
    </row>
    <row r="4039" spans="1:5" x14ac:dyDescent="0.2">
      <c r="A4039" s="1" t="s">
        <v>1276</v>
      </c>
      <c r="B4039" s="1" t="s">
        <v>4</v>
      </c>
      <c r="C4039" s="5">
        <f>DATE(2025, 6, 4) + TIME(14, 10, 58)</f>
        <v>45812.590949074074</v>
      </c>
      <c r="D4039" s="1" t="s">
        <v>750</v>
      </c>
      <c r="E4039" s="1" t="s">
        <v>947</v>
      </c>
    </row>
    <row r="4040" spans="1:5" x14ac:dyDescent="0.2">
      <c r="A4040" s="1" t="s">
        <v>1276</v>
      </c>
      <c r="B4040" s="1" t="s">
        <v>328</v>
      </c>
      <c r="C4040" s="5">
        <f>DATE(2025, 6, 4) + TIME(13, 34, 10)</f>
        <v>45812.565393518518</v>
      </c>
      <c r="D4040" s="1" t="s">
        <v>64</v>
      </c>
      <c r="E4040" s="1" t="s">
        <v>11</v>
      </c>
    </row>
    <row r="4041" spans="1:5" x14ac:dyDescent="0.2">
      <c r="A4041" s="1" t="s">
        <v>1276</v>
      </c>
      <c r="B4041" s="1" t="s">
        <v>265</v>
      </c>
      <c r="C4041" s="5">
        <f>DATE(2025, 6, 4) + TIME(13, 34, 10)</f>
        <v>45812.565393518518</v>
      </c>
      <c r="D4041" s="1" t="s">
        <v>64</v>
      </c>
      <c r="E4041" s="1" t="s">
        <v>11</v>
      </c>
    </row>
    <row r="4042" spans="1:5" x14ac:dyDescent="0.2">
      <c r="A4042" s="1" t="s">
        <v>1276</v>
      </c>
      <c r="B4042" s="1" t="s">
        <v>562</v>
      </c>
      <c r="C4042" s="5">
        <f>DATE(2025, 6, 4) + TIME(12, 31, 30)</f>
        <v>45812.521874999999</v>
      </c>
      <c r="D4042" s="1" t="s">
        <v>341</v>
      </c>
      <c r="E4042" s="1" t="s">
        <v>258</v>
      </c>
    </row>
    <row r="4043" spans="1:5" x14ac:dyDescent="0.2">
      <c r="A4043" s="1" t="s">
        <v>1276</v>
      </c>
      <c r="B4043" s="1" t="s">
        <v>54</v>
      </c>
      <c r="C4043" s="5">
        <f>DATE(2025, 6, 4) + TIME(11, 2, 20)</f>
        <v>45812.459953703707</v>
      </c>
      <c r="D4043" s="1" t="s">
        <v>64</v>
      </c>
      <c r="E4043" s="1" t="s">
        <v>337</v>
      </c>
    </row>
    <row r="4044" spans="1:5" x14ac:dyDescent="0.2">
      <c r="A4044" s="1" t="s">
        <v>1276</v>
      </c>
      <c r="B4044" s="1" t="s">
        <v>864</v>
      </c>
      <c r="C4044" s="5">
        <f>DATE(2025, 6, 4) + TIME(10, 31, 0)</f>
        <v>45812.438194444447</v>
      </c>
      <c r="D4044" s="1" t="s">
        <v>396</v>
      </c>
      <c r="E4044" s="1" t="s">
        <v>507</v>
      </c>
    </row>
    <row r="4045" spans="1:5" x14ac:dyDescent="0.2">
      <c r="A4045" s="1" t="s">
        <v>1276</v>
      </c>
      <c r="B4045" s="1" t="s">
        <v>261</v>
      </c>
      <c r="C4045" s="5">
        <f>DATE(2025, 6, 4) + TIME(5, 59, 52)</f>
        <v>45812.249907407408</v>
      </c>
      <c r="D4045" s="1" t="s">
        <v>65</v>
      </c>
      <c r="E4045" s="1" t="s">
        <v>152</v>
      </c>
    </row>
    <row r="4046" spans="1:5" x14ac:dyDescent="0.2">
      <c r="A4046" s="1" t="s">
        <v>1276</v>
      </c>
      <c r="B4046" s="1" t="s">
        <v>852</v>
      </c>
      <c r="C4046" s="5">
        <f>DATE(2025, 6, 4) + TIME(5, 58, 30)</f>
        <v>45812.24895833333</v>
      </c>
      <c r="D4046" s="1" t="s">
        <v>65</v>
      </c>
      <c r="E4046" s="1" t="s">
        <v>918</v>
      </c>
    </row>
    <row r="4047" spans="1:5" x14ac:dyDescent="0.2">
      <c r="A4047" s="1" t="s">
        <v>1276</v>
      </c>
      <c r="B4047" s="1" t="s">
        <v>271</v>
      </c>
      <c r="C4047" s="5">
        <f>DATE(2025, 6, 3) + TIME(13, 19, 45)</f>
        <v>45811.555381944447</v>
      </c>
      <c r="D4047" s="1" t="s">
        <v>450</v>
      </c>
      <c r="E4047" s="1" t="s">
        <v>453</v>
      </c>
    </row>
    <row r="4048" spans="1:5" x14ac:dyDescent="0.2">
      <c r="A4048" s="1" t="s">
        <v>1276</v>
      </c>
      <c r="B4048" s="1" t="s">
        <v>15</v>
      </c>
      <c r="C4048" s="5">
        <f>DATE(2025, 6, 3) + TIME(12, 4, 4)</f>
        <v>45811.502824074072</v>
      </c>
      <c r="D4048" s="1" t="s">
        <v>3</v>
      </c>
      <c r="E4048" s="1" t="s">
        <v>571</v>
      </c>
    </row>
    <row r="4049" spans="1:5" x14ac:dyDescent="0.2">
      <c r="A4049" s="1" t="s">
        <v>1276</v>
      </c>
      <c r="B4049" s="1" t="s">
        <v>866</v>
      </c>
      <c r="C4049" s="5">
        <f>DATE(2025, 6, 3) + TIME(11, 37, 0)</f>
        <v>45811.484027777777</v>
      </c>
      <c r="D4049" s="1" t="s">
        <v>65</v>
      </c>
      <c r="E4049" s="1" t="s">
        <v>152</v>
      </c>
    </row>
    <row r="4050" spans="1:5" x14ac:dyDescent="0.2">
      <c r="A4050" s="1" t="s">
        <v>1276</v>
      </c>
      <c r="B4050" s="1" t="s">
        <v>346</v>
      </c>
      <c r="C4050" s="5">
        <f>DATE(2025, 6, 3) + TIME(10, 48, 54)</f>
        <v>45811.450624999998</v>
      </c>
      <c r="D4050" s="1" t="s">
        <v>126</v>
      </c>
      <c r="E4050" s="1" t="s">
        <v>143</v>
      </c>
    </row>
    <row r="4051" spans="1:5" x14ac:dyDescent="0.2">
      <c r="A4051" s="1" t="s">
        <v>1276</v>
      </c>
      <c r="B4051" s="1" t="s">
        <v>215</v>
      </c>
      <c r="C4051" s="5">
        <f>DATE(2025, 6, 3) + TIME(10, 48, 54)</f>
        <v>45811.450624999998</v>
      </c>
      <c r="D4051" s="1" t="s">
        <v>126</v>
      </c>
      <c r="E4051" s="1" t="s">
        <v>143</v>
      </c>
    </row>
    <row r="4052" spans="1:5" x14ac:dyDescent="0.2">
      <c r="A4052" s="1" t="s">
        <v>1276</v>
      </c>
      <c r="B4052" s="1" t="s">
        <v>263</v>
      </c>
      <c r="C4052" s="5">
        <f>DATE(2025, 6, 3) + TIME(9, 27, 32)</f>
        <v>45811.394120370373</v>
      </c>
      <c r="D4052" s="1" t="s">
        <v>640</v>
      </c>
      <c r="E4052" s="1" t="s">
        <v>957</v>
      </c>
    </row>
    <row r="4053" spans="1:5" x14ac:dyDescent="0.2">
      <c r="A4053" s="1" t="s">
        <v>1276</v>
      </c>
      <c r="B4053" s="1" t="s">
        <v>904</v>
      </c>
      <c r="C4053" s="5">
        <f>DATE(2025, 6, 3) + TIME(9, 25, 4)</f>
        <v>45811.392407407409</v>
      </c>
      <c r="D4053" s="1" t="s">
        <v>396</v>
      </c>
      <c r="E4053" s="1" t="s">
        <v>76</v>
      </c>
    </row>
    <row r="4054" spans="1:5" x14ac:dyDescent="0.2">
      <c r="A4054" s="1" t="s">
        <v>1276</v>
      </c>
      <c r="B4054" s="1" t="s">
        <v>852</v>
      </c>
      <c r="C4054" s="5">
        <f>DATE(2025, 6, 2) + TIME(15, 43, 8)</f>
        <v>45810.654953703706</v>
      </c>
      <c r="D4054" s="1" t="s">
        <v>731</v>
      </c>
      <c r="E4054" s="1" t="s">
        <v>870</v>
      </c>
    </row>
    <row r="4055" spans="1:5" x14ac:dyDescent="0.2">
      <c r="A4055" s="1" t="s">
        <v>1276</v>
      </c>
      <c r="B4055" s="1" t="s">
        <v>686</v>
      </c>
      <c r="C4055" s="5">
        <f>DATE(2025, 6, 2) + TIME(10, 56, 10)</f>
        <v>45810.455671296295</v>
      </c>
      <c r="D4055" s="1" t="s">
        <v>148</v>
      </c>
      <c r="E4055" s="1" t="s">
        <v>471</v>
      </c>
    </row>
    <row r="4056" spans="1:5" x14ac:dyDescent="0.2">
      <c r="A4056" s="1" t="s">
        <v>1276</v>
      </c>
      <c r="B4056" s="1" t="s">
        <v>263</v>
      </c>
      <c r="C4056" s="5">
        <f>DATE(2025, 5, 29) + TIME(16, 41, 55)</f>
        <v>45806.695775462962</v>
      </c>
      <c r="D4056" s="1" t="s">
        <v>640</v>
      </c>
      <c r="E4056" s="1" t="s">
        <v>195</v>
      </c>
    </row>
    <row r="4057" spans="1:5" x14ac:dyDescent="0.2">
      <c r="A4057" s="1" t="s">
        <v>1276</v>
      </c>
      <c r="B4057" s="1" t="s">
        <v>9</v>
      </c>
      <c r="C4057" s="5">
        <f>DATE(2025, 5, 29) + TIME(16, 19, 21)</f>
        <v>45806.680104166669</v>
      </c>
      <c r="D4057" s="1" t="s">
        <v>566</v>
      </c>
      <c r="E4057" s="1" t="s">
        <v>324</v>
      </c>
    </row>
    <row r="4058" spans="1:5" x14ac:dyDescent="0.2">
      <c r="A4058" s="1" t="s">
        <v>1276</v>
      </c>
      <c r="B4058" s="1" t="s">
        <v>669</v>
      </c>
      <c r="C4058" s="5">
        <f>DATE(2025, 5, 29) + TIME(16, 19, 21)</f>
        <v>45806.680104166669</v>
      </c>
      <c r="D4058" s="1" t="s">
        <v>566</v>
      </c>
      <c r="E4058" s="1" t="s">
        <v>324</v>
      </c>
    </row>
    <row r="4059" spans="1:5" x14ac:dyDescent="0.2">
      <c r="A4059" s="1" t="s">
        <v>1276</v>
      </c>
      <c r="B4059" s="1" t="s">
        <v>183</v>
      </c>
      <c r="C4059" s="5">
        <f>DATE(2025, 5, 29) + TIME(16, 19, 21)</f>
        <v>45806.680104166669</v>
      </c>
      <c r="D4059" s="1" t="s">
        <v>566</v>
      </c>
      <c r="E4059" s="1" t="s">
        <v>324</v>
      </c>
    </row>
    <row r="4060" spans="1:5" x14ac:dyDescent="0.2">
      <c r="A4060" s="1" t="s">
        <v>1276</v>
      </c>
      <c r="B4060" s="1" t="s">
        <v>338</v>
      </c>
      <c r="C4060" s="5">
        <f>DATE(2025, 5, 29) + TIME(16, 13, 22)</f>
        <v>45806.675949074073</v>
      </c>
      <c r="D4060" s="1" t="s">
        <v>459</v>
      </c>
      <c r="E4060" s="1" t="s">
        <v>164</v>
      </c>
    </row>
    <row r="4061" spans="1:5" x14ac:dyDescent="0.2">
      <c r="A4061" s="1" t="s">
        <v>1276</v>
      </c>
      <c r="B4061" s="1" t="s">
        <v>969</v>
      </c>
      <c r="C4061" s="5">
        <f>DATE(2025, 5, 29) + TIME(15, 40, 52)</f>
        <v>45806.653379629628</v>
      </c>
      <c r="D4061" s="1" t="s">
        <v>506</v>
      </c>
      <c r="E4061" s="1" t="s">
        <v>867</v>
      </c>
    </row>
    <row r="4062" spans="1:5" x14ac:dyDescent="0.2">
      <c r="A4062" s="1" t="s">
        <v>1276</v>
      </c>
      <c r="B4062" s="1" t="s">
        <v>468</v>
      </c>
      <c r="C4062" s="5">
        <f>DATE(2025, 5, 29) + TIME(15, 32, 28)</f>
        <v>45806.647546296299</v>
      </c>
      <c r="D4062" s="1" t="s">
        <v>506</v>
      </c>
      <c r="E4062" s="1" t="s">
        <v>369</v>
      </c>
    </row>
    <row r="4063" spans="1:5" x14ac:dyDescent="0.2">
      <c r="A4063" s="1" t="s">
        <v>1276</v>
      </c>
      <c r="B4063" s="1" t="s">
        <v>907</v>
      </c>
      <c r="C4063" s="5">
        <f>DATE(2025, 5, 29) + TIME(15, 8, 59)</f>
        <v>45806.631238425929</v>
      </c>
      <c r="D4063" s="1" t="s">
        <v>320</v>
      </c>
      <c r="E4063" s="1" t="s">
        <v>845</v>
      </c>
    </row>
    <row r="4064" spans="1:5" x14ac:dyDescent="0.2">
      <c r="A4064" s="1" t="s">
        <v>1276</v>
      </c>
      <c r="B4064" s="1" t="s">
        <v>688</v>
      </c>
      <c r="C4064" s="5">
        <f>DATE(2025, 5, 29) + TIME(12, 26, 51)</f>
        <v>45806.518645833334</v>
      </c>
      <c r="D4064" s="1" t="s">
        <v>640</v>
      </c>
      <c r="E4064" s="1" t="s">
        <v>283</v>
      </c>
    </row>
    <row r="4065" spans="1:5" x14ac:dyDescent="0.2">
      <c r="A4065" s="1" t="s">
        <v>1276</v>
      </c>
      <c r="B4065" s="1" t="s">
        <v>290</v>
      </c>
      <c r="C4065" s="5">
        <f>DATE(2025, 5, 29) + TIME(12, 20, 57)</f>
        <v>45806.514548611114</v>
      </c>
      <c r="D4065" s="1" t="s">
        <v>3</v>
      </c>
      <c r="E4065" s="1" t="s">
        <v>684</v>
      </c>
    </row>
    <row r="4066" spans="1:5" x14ac:dyDescent="0.2">
      <c r="A4066" s="1" t="s">
        <v>1276</v>
      </c>
      <c r="B4066" s="1" t="s">
        <v>69</v>
      </c>
      <c r="C4066" s="5">
        <f>DATE(2025, 5, 29) + TIME(11, 46, 25)</f>
        <v>45806.490567129629</v>
      </c>
      <c r="D4066" s="1" t="s">
        <v>640</v>
      </c>
      <c r="E4066" s="1" t="s">
        <v>70</v>
      </c>
    </row>
    <row r="4067" spans="1:5" x14ac:dyDescent="0.2">
      <c r="A4067" s="1" t="s">
        <v>1276</v>
      </c>
      <c r="B4067" s="1" t="s">
        <v>562</v>
      </c>
      <c r="C4067" s="5">
        <f>DATE(2025, 5, 29) + TIME(11, 46, 25)</f>
        <v>45806.490567129629</v>
      </c>
      <c r="D4067" s="1" t="s">
        <v>640</v>
      </c>
      <c r="E4067" s="1" t="s">
        <v>70</v>
      </c>
    </row>
    <row r="4068" spans="1:5" x14ac:dyDescent="0.2">
      <c r="A4068" s="1" t="s">
        <v>1276</v>
      </c>
      <c r="B4068" s="1" t="s">
        <v>163</v>
      </c>
      <c r="C4068" s="5">
        <f>DATE(2025, 5, 28) + TIME(16, 7, 25)</f>
        <v>45805.671817129631</v>
      </c>
      <c r="D4068" s="1" t="s">
        <v>638</v>
      </c>
      <c r="E4068" s="1" t="s">
        <v>52</v>
      </c>
    </row>
    <row r="4069" spans="1:5" x14ac:dyDescent="0.2">
      <c r="A4069" s="1" t="s">
        <v>1276</v>
      </c>
      <c r="B4069" s="1" t="s">
        <v>686</v>
      </c>
      <c r="C4069" s="5">
        <f>DATE(2025, 5, 28) + TIME(16, 1, 42)</f>
        <v>45805.667847222219</v>
      </c>
      <c r="D4069" s="1" t="s">
        <v>320</v>
      </c>
      <c r="E4069" s="1" t="s">
        <v>2</v>
      </c>
    </row>
    <row r="4070" spans="1:5" x14ac:dyDescent="0.2">
      <c r="A4070" s="1" t="s">
        <v>1276</v>
      </c>
      <c r="B4070" s="1" t="s">
        <v>558</v>
      </c>
      <c r="C4070" s="5">
        <f>DATE(2025, 5, 28) + TIME(16, 1, 42)</f>
        <v>45805.667847222219</v>
      </c>
      <c r="D4070" s="1" t="s">
        <v>320</v>
      </c>
      <c r="E4070" s="1" t="s">
        <v>2</v>
      </c>
    </row>
    <row r="4071" spans="1:5" x14ac:dyDescent="0.2">
      <c r="A4071" s="1" t="s">
        <v>1276</v>
      </c>
      <c r="B4071" s="1" t="s">
        <v>818</v>
      </c>
      <c r="C4071" s="5">
        <f>DATE(2025, 5, 28) + TIME(14, 57, 27)</f>
        <v>45805.623229166667</v>
      </c>
      <c r="D4071" s="1" t="s">
        <v>3</v>
      </c>
      <c r="E4071" s="1" t="s">
        <v>890</v>
      </c>
    </row>
    <row r="4072" spans="1:5" x14ac:dyDescent="0.2">
      <c r="A4072" s="1" t="s">
        <v>1276</v>
      </c>
      <c r="B4072" s="1" t="s">
        <v>864</v>
      </c>
      <c r="C4072" s="5">
        <f>DATE(2025, 5, 28) + TIME(14, 49, 28)</f>
        <v>45805.617685185185</v>
      </c>
      <c r="D4072" s="1" t="s">
        <v>863</v>
      </c>
      <c r="E4072" s="1" t="s">
        <v>170</v>
      </c>
    </row>
    <row r="4073" spans="1:5" x14ac:dyDescent="0.2">
      <c r="A4073" s="1" t="s">
        <v>1276</v>
      </c>
      <c r="B4073" s="1" t="s">
        <v>669</v>
      </c>
      <c r="C4073" s="5">
        <f>DATE(2025, 5, 28) + TIME(14, 44, 22)</f>
        <v>45805.61414351852</v>
      </c>
      <c r="D4073" s="1" t="s">
        <v>566</v>
      </c>
      <c r="E4073" s="1" t="s">
        <v>888</v>
      </c>
    </row>
    <row r="4074" spans="1:5" x14ac:dyDescent="0.2">
      <c r="A4074" s="1" t="s">
        <v>1276</v>
      </c>
      <c r="B4074" s="1" t="s">
        <v>69</v>
      </c>
      <c r="C4074" s="5">
        <f>DATE(2025, 5, 28) + TIME(13, 14, 14)</f>
        <v>45805.551550925928</v>
      </c>
      <c r="D4074" s="1" t="s">
        <v>506</v>
      </c>
      <c r="E4074" s="1" t="s">
        <v>347</v>
      </c>
    </row>
    <row r="4075" spans="1:5" x14ac:dyDescent="0.2">
      <c r="A4075" s="1" t="s">
        <v>1276</v>
      </c>
      <c r="B4075" s="1" t="s">
        <v>817</v>
      </c>
      <c r="C4075" s="5">
        <f>DATE(2025, 5, 28) + TIME(11, 45, 45)</f>
        <v>45805.490104166667</v>
      </c>
      <c r="D4075" s="1" t="s">
        <v>148</v>
      </c>
      <c r="E4075" s="1" t="s">
        <v>632</v>
      </c>
    </row>
    <row r="4076" spans="1:5" x14ac:dyDescent="0.2">
      <c r="A4076" s="1" t="s">
        <v>1276</v>
      </c>
      <c r="B4076" s="1" t="s">
        <v>271</v>
      </c>
      <c r="C4076" s="5">
        <f>DATE(2025, 5, 28) + TIME(11, 45, 44)</f>
        <v>45805.49009259259</v>
      </c>
      <c r="D4076" s="1" t="s">
        <v>148</v>
      </c>
      <c r="E4076" s="1" t="s">
        <v>632</v>
      </c>
    </row>
    <row r="4077" spans="1:5" x14ac:dyDescent="0.2">
      <c r="A4077" s="1" t="s">
        <v>1276</v>
      </c>
      <c r="B4077" s="1" t="s">
        <v>163</v>
      </c>
      <c r="C4077" s="5">
        <f>DATE(2025, 5, 28) + TIME(11, 45, 44)</f>
        <v>45805.49009259259</v>
      </c>
      <c r="D4077" s="1" t="s">
        <v>148</v>
      </c>
      <c r="E4077" s="1" t="s">
        <v>632</v>
      </c>
    </row>
    <row r="4078" spans="1:5" x14ac:dyDescent="0.2">
      <c r="A4078" s="1" t="s">
        <v>1276</v>
      </c>
      <c r="B4078" s="1" t="s">
        <v>4</v>
      </c>
      <c r="C4078" s="5">
        <f>DATE(2025, 5, 28) + TIME(11, 45, 44)</f>
        <v>45805.49009259259</v>
      </c>
      <c r="D4078" s="1" t="s">
        <v>148</v>
      </c>
      <c r="E4078" s="1" t="s">
        <v>632</v>
      </c>
    </row>
    <row r="4079" spans="1:5" x14ac:dyDescent="0.2">
      <c r="A4079" s="1" t="s">
        <v>1276</v>
      </c>
      <c r="B4079" s="1" t="s">
        <v>161</v>
      </c>
      <c r="C4079" s="5">
        <f>DATE(2025, 5, 28) + TIME(11, 45, 44)</f>
        <v>45805.49009259259</v>
      </c>
      <c r="D4079" s="1" t="s">
        <v>148</v>
      </c>
      <c r="E4079" s="1" t="s">
        <v>632</v>
      </c>
    </row>
    <row r="4080" spans="1:5" x14ac:dyDescent="0.2">
      <c r="A4080" s="1" t="s">
        <v>1276</v>
      </c>
      <c r="B4080" s="1" t="s">
        <v>866</v>
      </c>
      <c r="C4080" s="5">
        <f>DATE(2025, 5, 28) + TIME(11, 45, 44)</f>
        <v>45805.49009259259</v>
      </c>
      <c r="D4080" s="1" t="s">
        <v>148</v>
      </c>
      <c r="E4080" s="1" t="s">
        <v>632</v>
      </c>
    </row>
    <row r="4081" spans="1:5" x14ac:dyDescent="0.2">
      <c r="A4081" s="1" t="s">
        <v>1276</v>
      </c>
      <c r="B4081" s="1" t="s">
        <v>338</v>
      </c>
      <c r="C4081" s="5">
        <f>DATE(2025, 5, 28) + TIME(10, 40, 33)</f>
        <v>45805.444826388892</v>
      </c>
      <c r="D4081" s="1" t="s">
        <v>459</v>
      </c>
      <c r="E4081" s="1" t="s">
        <v>799</v>
      </c>
    </row>
    <row r="4082" spans="1:5" x14ac:dyDescent="0.2">
      <c r="A4082" s="1" t="s">
        <v>1276</v>
      </c>
      <c r="B4082" s="1" t="s">
        <v>496</v>
      </c>
      <c r="C4082" s="5">
        <f>DATE(2025, 5, 28) + TIME(10, 19, 20)</f>
        <v>45805.430092592593</v>
      </c>
      <c r="D4082" s="1" t="s">
        <v>754</v>
      </c>
      <c r="E4082" s="1" t="s">
        <v>760</v>
      </c>
    </row>
    <row r="4083" spans="1:5" x14ac:dyDescent="0.2">
      <c r="A4083" s="1" t="s">
        <v>1276</v>
      </c>
      <c r="B4083" s="1" t="s">
        <v>562</v>
      </c>
      <c r="C4083" s="5">
        <f>DATE(2025, 5, 27) + TIME(16, 33, 34)</f>
        <v>45804.689976851849</v>
      </c>
      <c r="D4083" s="1" t="s">
        <v>869</v>
      </c>
      <c r="E4083" s="1" t="s">
        <v>383</v>
      </c>
    </row>
    <row r="4084" spans="1:5" x14ac:dyDescent="0.2">
      <c r="A4084" s="1" t="s">
        <v>1276</v>
      </c>
      <c r="B4084" s="1" t="s">
        <v>15</v>
      </c>
      <c r="C4084" s="5">
        <f>DATE(2025, 5, 27) + TIME(16, 33, 34)</f>
        <v>45804.689976851849</v>
      </c>
      <c r="D4084" s="1" t="s">
        <v>869</v>
      </c>
      <c r="E4084" s="1" t="s">
        <v>383</v>
      </c>
    </row>
    <row r="4085" spans="1:5" x14ac:dyDescent="0.2">
      <c r="A4085" s="1" t="s">
        <v>1276</v>
      </c>
      <c r="B4085" s="1" t="s">
        <v>866</v>
      </c>
      <c r="C4085" s="5">
        <f>DATE(2025, 5, 27) + TIME(16, 33, 34)</f>
        <v>45804.689976851849</v>
      </c>
      <c r="D4085" s="1" t="s">
        <v>869</v>
      </c>
      <c r="E4085" s="1" t="s">
        <v>383</v>
      </c>
    </row>
    <row r="4086" spans="1:5" x14ac:dyDescent="0.2">
      <c r="A4086" s="1" t="s">
        <v>1276</v>
      </c>
      <c r="B4086" s="1" t="s">
        <v>969</v>
      </c>
      <c r="C4086" s="5">
        <f>DATE(2025, 5, 27) + TIME(15, 26, 57)</f>
        <v>45804.64371527778</v>
      </c>
      <c r="D4086" s="1" t="s">
        <v>148</v>
      </c>
      <c r="E4086" s="1" t="s">
        <v>877</v>
      </c>
    </row>
    <row r="4087" spans="1:5" x14ac:dyDescent="0.2">
      <c r="A4087" s="1" t="s">
        <v>1276</v>
      </c>
      <c r="B4087" s="1" t="s">
        <v>24</v>
      </c>
      <c r="C4087" s="5">
        <f>DATE(2025, 5, 27) + TIME(14, 37, 54)</f>
        <v>45804.609652777777</v>
      </c>
      <c r="D4087" s="1" t="s">
        <v>126</v>
      </c>
      <c r="E4087" s="1" t="s">
        <v>541</v>
      </c>
    </row>
    <row r="4088" spans="1:5" x14ac:dyDescent="0.2">
      <c r="A4088" s="1" t="s">
        <v>1276</v>
      </c>
      <c r="B4088" s="1" t="s">
        <v>261</v>
      </c>
      <c r="C4088" s="5">
        <f>DATE(2025, 5, 27) + TIME(13, 41, 45)</f>
        <v>45804.570659722223</v>
      </c>
      <c r="D4088" s="1" t="s">
        <v>126</v>
      </c>
      <c r="E4088" s="1" t="s">
        <v>143</v>
      </c>
    </row>
    <row r="4089" spans="1:5" x14ac:dyDescent="0.2">
      <c r="A4089" s="1" t="s">
        <v>1276</v>
      </c>
      <c r="B4089" s="1" t="s">
        <v>271</v>
      </c>
      <c r="C4089" s="5">
        <f>DATE(2025, 5, 27) + TIME(12, 9, 12)</f>
        <v>45804.506388888891</v>
      </c>
      <c r="D4089" s="1" t="s">
        <v>459</v>
      </c>
      <c r="E4089" s="1" t="s">
        <v>160</v>
      </c>
    </row>
    <row r="4090" spans="1:5" x14ac:dyDescent="0.2">
      <c r="A4090" s="1" t="s">
        <v>1276</v>
      </c>
      <c r="B4090" s="1" t="s">
        <v>388</v>
      </c>
      <c r="C4090" s="5">
        <f>DATE(2025, 5, 27) + TIME(11, 58, 46)</f>
        <v>45804.499143518522</v>
      </c>
      <c r="D4090" s="1" t="s">
        <v>320</v>
      </c>
      <c r="E4090" s="1" t="s">
        <v>342</v>
      </c>
    </row>
    <row r="4091" spans="1:5" x14ac:dyDescent="0.2">
      <c r="A4091" s="1" t="s">
        <v>1276</v>
      </c>
      <c r="B4091" s="1" t="s">
        <v>54</v>
      </c>
      <c r="C4091" s="5">
        <f>DATE(2025, 5, 26) + TIME(14, 41, 46)</f>
        <v>45803.612337962964</v>
      </c>
      <c r="D4091" s="1" t="s">
        <v>320</v>
      </c>
      <c r="E4091" s="1" t="s">
        <v>406</v>
      </c>
    </row>
    <row r="4092" spans="1:5" x14ac:dyDescent="0.2">
      <c r="A4092" s="1" t="s">
        <v>1276</v>
      </c>
      <c r="B4092" s="1" t="s">
        <v>263</v>
      </c>
      <c r="C4092" s="5">
        <f>DATE(2025, 5, 26) + TIME(11, 19, 49)</f>
        <v>45803.472094907411</v>
      </c>
      <c r="D4092" s="1" t="s">
        <v>506</v>
      </c>
      <c r="E4092" s="1" t="s">
        <v>697</v>
      </c>
    </row>
    <row r="4093" spans="1:5" x14ac:dyDescent="0.2">
      <c r="A4093" s="1" t="s">
        <v>1276</v>
      </c>
      <c r="B4093" s="1" t="s">
        <v>765</v>
      </c>
      <c r="C4093" s="5">
        <f>DATE(2025, 5, 22) + TIME(15, 55, 27)</f>
        <v>45799.663506944446</v>
      </c>
      <c r="D4093" s="1" t="s">
        <v>148</v>
      </c>
      <c r="E4093" s="1" t="s">
        <v>480</v>
      </c>
    </row>
    <row r="4094" spans="1:5" x14ac:dyDescent="0.2">
      <c r="A4094" s="1" t="s">
        <v>1276</v>
      </c>
      <c r="B4094" s="1" t="s">
        <v>906</v>
      </c>
      <c r="C4094" s="5">
        <f>DATE(2025, 5, 22) + TIME(15, 49, 29)</f>
        <v>45799.659363425926</v>
      </c>
      <c r="D4094" s="1" t="s">
        <v>320</v>
      </c>
      <c r="E4094" s="1" t="s">
        <v>2</v>
      </c>
    </row>
    <row r="4095" spans="1:5" x14ac:dyDescent="0.2">
      <c r="A4095" s="1" t="s">
        <v>1276</v>
      </c>
      <c r="B4095" s="1" t="s">
        <v>390</v>
      </c>
      <c r="C4095" s="5">
        <f>DATE(2025, 5, 22) + TIME(15, 49, 29)</f>
        <v>45799.659363425926</v>
      </c>
      <c r="D4095" s="1" t="s">
        <v>320</v>
      </c>
      <c r="E4095" s="1" t="s">
        <v>2</v>
      </c>
    </row>
    <row r="4096" spans="1:5" x14ac:dyDescent="0.2">
      <c r="A4096" s="1" t="s">
        <v>1276</v>
      </c>
      <c r="B4096" s="1" t="s">
        <v>969</v>
      </c>
      <c r="C4096" s="5">
        <f>DATE(2025, 5, 22) + TIME(15, 16, 30)</f>
        <v>45799.636458333334</v>
      </c>
      <c r="D4096" s="1" t="s">
        <v>754</v>
      </c>
      <c r="E4096" s="1" t="s">
        <v>441</v>
      </c>
    </row>
    <row r="4097" spans="1:5" x14ac:dyDescent="0.2">
      <c r="A4097" s="1" t="s">
        <v>1276</v>
      </c>
      <c r="B4097" s="1" t="s">
        <v>235</v>
      </c>
      <c r="C4097" s="5">
        <f>DATE(2025, 5, 22) + TIME(14, 14, 47)</f>
        <v>45799.593599537038</v>
      </c>
      <c r="D4097" s="1" t="s">
        <v>566</v>
      </c>
      <c r="E4097" s="1" t="s">
        <v>324</v>
      </c>
    </row>
    <row r="4098" spans="1:5" x14ac:dyDescent="0.2">
      <c r="A4098" s="1" t="s">
        <v>1276</v>
      </c>
      <c r="B4098" s="1" t="s">
        <v>904</v>
      </c>
      <c r="C4098" s="5">
        <f>DATE(2025, 5, 22) + TIME(14, 14, 47)</f>
        <v>45799.593599537038</v>
      </c>
      <c r="D4098" s="1" t="s">
        <v>566</v>
      </c>
      <c r="E4098" s="1" t="s">
        <v>324</v>
      </c>
    </row>
    <row r="4099" spans="1:5" x14ac:dyDescent="0.2">
      <c r="A4099" s="1" t="s">
        <v>1276</v>
      </c>
      <c r="B4099" s="1" t="s">
        <v>122</v>
      </c>
      <c r="C4099" s="5">
        <f>DATE(2025, 5, 22) + TIME(14, 14, 47)</f>
        <v>45799.593599537038</v>
      </c>
      <c r="D4099" s="1" t="s">
        <v>566</v>
      </c>
      <c r="E4099" s="1" t="s">
        <v>324</v>
      </c>
    </row>
    <row r="4100" spans="1:5" x14ac:dyDescent="0.2">
      <c r="A4100" s="1" t="s">
        <v>1276</v>
      </c>
      <c r="B4100" s="1" t="s">
        <v>818</v>
      </c>
      <c r="C4100" s="5">
        <f>DATE(2025, 5, 22) + TIME(14, 3, 47)</f>
        <v>45799.585960648146</v>
      </c>
      <c r="D4100" s="1" t="s">
        <v>3</v>
      </c>
      <c r="E4100" s="1" t="s">
        <v>313</v>
      </c>
    </row>
    <row r="4101" spans="1:5" x14ac:dyDescent="0.2">
      <c r="A4101" s="1" t="s">
        <v>1276</v>
      </c>
      <c r="B4101" s="1" t="s">
        <v>409</v>
      </c>
      <c r="C4101" s="5">
        <f>DATE(2025, 5, 22) + TIME(13, 6, 49)</f>
        <v>45799.546400462961</v>
      </c>
      <c r="D4101" s="1" t="s">
        <v>396</v>
      </c>
      <c r="E4101" s="1" t="s">
        <v>567</v>
      </c>
    </row>
    <row r="4102" spans="1:5" x14ac:dyDescent="0.2">
      <c r="A4102" s="1" t="s">
        <v>1276</v>
      </c>
      <c r="B4102" s="1" t="s">
        <v>688</v>
      </c>
      <c r="C4102" s="5">
        <f>DATE(2025, 5, 22) + TIME(13, 3, 17)</f>
        <v>45799.543946759259</v>
      </c>
      <c r="D4102" s="1" t="s">
        <v>640</v>
      </c>
      <c r="E4102" s="1" t="s">
        <v>283</v>
      </c>
    </row>
    <row r="4103" spans="1:5" x14ac:dyDescent="0.2">
      <c r="A4103" s="1" t="s">
        <v>1276</v>
      </c>
      <c r="B4103" s="1" t="s">
        <v>542</v>
      </c>
      <c r="C4103" s="5">
        <f>DATE(2025, 5, 21) + TIME(16, 30, 33)</f>
        <v>45798.687881944446</v>
      </c>
      <c r="D4103" s="1" t="s">
        <v>320</v>
      </c>
      <c r="E4103" s="1" t="s">
        <v>845</v>
      </c>
    </row>
    <row r="4104" spans="1:5" x14ac:dyDescent="0.2">
      <c r="A4104" s="1" t="s">
        <v>1276</v>
      </c>
      <c r="B4104" s="1" t="s">
        <v>817</v>
      </c>
      <c r="C4104" s="5">
        <f>DATE(2025, 5, 21) + TIME(15, 56, 51)</f>
        <v>45798.664479166669</v>
      </c>
      <c r="D4104" s="1" t="s">
        <v>566</v>
      </c>
      <c r="E4104" s="1" t="s">
        <v>888</v>
      </c>
    </row>
    <row r="4105" spans="1:5" x14ac:dyDescent="0.2">
      <c r="A4105" s="1" t="s">
        <v>1276</v>
      </c>
      <c r="B4105" s="1" t="s">
        <v>261</v>
      </c>
      <c r="C4105" s="5">
        <f>DATE(2025, 5, 21) + TIME(15, 56, 50)</f>
        <v>45798.664467592593</v>
      </c>
      <c r="D4105" s="1" t="s">
        <v>566</v>
      </c>
      <c r="E4105" s="1" t="s">
        <v>888</v>
      </c>
    </row>
    <row r="4106" spans="1:5" x14ac:dyDescent="0.2">
      <c r="A4106" s="1" t="s">
        <v>1276</v>
      </c>
      <c r="B4106" s="1" t="s">
        <v>235</v>
      </c>
      <c r="C4106" s="5">
        <f>DATE(2025, 5, 21) + TIME(15, 56, 50)</f>
        <v>45798.664467592593</v>
      </c>
      <c r="D4106" s="1" t="s">
        <v>566</v>
      </c>
      <c r="E4106" s="1" t="s">
        <v>888</v>
      </c>
    </row>
    <row r="4107" spans="1:5" x14ac:dyDescent="0.2">
      <c r="A4107" s="1" t="s">
        <v>1276</v>
      </c>
      <c r="B4107" s="1" t="s">
        <v>122</v>
      </c>
      <c r="C4107" s="5">
        <f>DATE(2025, 5, 21) + TIME(15, 56, 50)</f>
        <v>45798.664467592593</v>
      </c>
      <c r="D4107" s="1" t="s">
        <v>566</v>
      </c>
      <c r="E4107" s="1" t="s">
        <v>888</v>
      </c>
    </row>
    <row r="4108" spans="1:5" x14ac:dyDescent="0.2">
      <c r="A4108" s="1" t="s">
        <v>1276</v>
      </c>
      <c r="B4108" s="1" t="s">
        <v>794</v>
      </c>
      <c r="C4108" s="5">
        <f>DATE(2025, 5, 21) + TIME(15, 56, 50)</f>
        <v>45798.664467592593</v>
      </c>
      <c r="D4108" s="1" t="s">
        <v>566</v>
      </c>
      <c r="E4108" s="1" t="s">
        <v>888</v>
      </c>
    </row>
    <row r="4109" spans="1:5" x14ac:dyDescent="0.2">
      <c r="A4109" s="1" t="s">
        <v>1276</v>
      </c>
      <c r="B4109" s="1" t="s">
        <v>215</v>
      </c>
      <c r="C4109" s="5">
        <f>DATE(2025, 5, 21) + TIME(15, 49, 47)</f>
        <v>45798.659571759257</v>
      </c>
      <c r="D4109" s="1" t="s">
        <v>320</v>
      </c>
      <c r="E4109" s="1" t="s">
        <v>845</v>
      </c>
    </row>
    <row r="4110" spans="1:5" x14ac:dyDescent="0.2">
      <c r="A4110" s="1" t="s">
        <v>1276</v>
      </c>
      <c r="B4110" s="1" t="s">
        <v>562</v>
      </c>
      <c r="C4110" s="5">
        <f>DATE(2025, 5, 21) + TIME(15, 2, 6)</f>
        <v>45798.626458333332</v>
      </c>
      <c r="D4110" s="1" t="s">
        <v>638</v>
      </c>
      <c r="E4110" s="1" t="s">
        <v>535</v>
      </c>
    </row>
    <row r="4111" spans="1:5" x14ac:dyDescent="0.2">
      <c r="A4111" s="1" t="s">
        <v>1276</v>
      </c>
      <c r="B4111" s="1" t="s">
        <v>864</v>
      </c>
      <c r="C4111" s="5">
        <f>DATE(2025, 5, 21) + TIME(14, 44, 17)</f>
        <v>45798.614085648151</v>
      </c>
      <c r="D4111" s="1" t="s">
        <v>459</v>
      </c>
      <c r="E4111" s="1" t="s">
        <v>633</v>
      </c>
    </row>
    <row r="4112" spans="1:5" x14ac:dyDescent="0.2">
      <c r="A4112" s="1" t="s">
        <v>1276</v>
      </c>
      <c r="B4112" s="1" t="s">
        <v>866</v>
      </c>
      <c r="C4112" s="5">
        <f>DATE(2025, 5, 21) + TIME(14, 44, 17)</f>
        <v>45798.614085648151</v>
      </c>
      <c r="D4112" s="1" t="s">
        <v>459</v>
      </c>
      <c r="E4112" s="1" t="s">
        <v>633</v>
      </c>
    </row>
    <row r="4113" spans="1:5" x14ac:dyDescent="0.2">
      <c r="A4113" s="1" t="s">
        <v>1276</v>
      </c>
      <c r="B4113" s="1" t="s">
        <v>409</v>
      </c>
      <c r="C4113" s="5">
        <f>DATE(2025, 5, 21) + TIME(14, 44, 17)</f>
        <v>45798.614085648151</v>
      </c>
      <c r="D4113" s="1" t="s">
        <v>459</v>
      </c>
      <c r="E4113" s="1" t="s">
        <v>633</v>
      </c>
    </row>
    <row r="4114" spans="1:5" x14ac:dyDescent="0.2">
      <c r="A4114" s="1" t="s">
        <v>1276</v>
      </c>
      <c r="B4114" s="1" t="s">
        <v>69</v>
      </c>
      <c r="C4114" s="5">
        <f>DATE(2025, 5, 21) + TIME(14, 39, 45)</f>
        <v>45798.610937500001</v>
      </c>
      <c r="D4114" s="1" t="s">
        <v>506</v>
      </c>
      <c r="E4114" s="1" t="s">
        <v>538</v>
      </c>
    </row>
    <row r="4115" spans="1:5" x14ac:dyDescent="0.2">
      <c r="A4115" s="1" t="s">
        <v>1276</v>
      </c>
      <c r="B4115" s="1" t="s">
        <v>562</v>
      </c>
      <c r="C4115" s="5">
        <f>DATE(2025, 5, 21) + TIME(13, 28, 36)</f>
        <v>45798.561527777776</v>
      </c>
      <c r="D4115" s="1" t="s">
        <v>871</v>
      </c>
      <c r="E4115" s="1" t="s">
        <v>769</v>
      </c>
    </row>
    <row r="4116" spans="1:5" x14ac:dyDescent="0.2">
      <c r="A4116" s="1" t="s">
        <v>1276</v>
      </c>
      <c r="B4116" s="1" t="s">
        <v>742</v>
      </c>
      <c r="C4116" s="5">
        <f>DATE(2025, 5, 21) + TIME(12, 16, 53)</f>
        <v>45798.511724537035</v>
      </c>
      <c r="D4116" s="1" t="s">
        <v>65</v>
      </c>
      <c r="E4116" s="1" t="s">
        <v>918</v>
      </c>
    </row>
    <row r="4117" spans="1:5" x14ac:dyDescent="0.2">
      <c r="A4117" s="1" t="s">
        <v>1276</v>
      </c>
      <c r="B4117" s="1" t="s">
        <v>906</v>
      </c>
      <c r="C4117" s="5">
        <f>DATE(2025, 5, 21) + TIME(11, 26, 8)</f>
        <v>45798.476481481484</v>
      </c>
      <c r="D4117" s="1" t="s">
        <v>216</v>
      </c>
      <c r="E4117" s="1" t="s">
        <v>321</v>
      </c>
    </row>
    <row r="4118" spans="1:5" x14ac:dyDescent="0.2">
      <c r="A4118" s="1" t="s">
        <v>1276</v>
      </c>
      <c r="B4118" s="1" t="s">
        <v>915</v>
      </c>
      <c r="C4118" s="5">
        <f>DATE(2025, 5, 21) + TIME(11, 26, 8)</f>
        <v>45798.476481481484</v>
      </c>
      <c r="D4118" s="1" t="s">
        <v>216</v>
      </c>
      <c r="E4118" s="1" t="s">
        <v>321</v>
      </c>
    </row>
    <row r="4119" spans="1:5" x14ac:dyDescent="0.2">
      <c r="A4119" s="1" t="s">
        <v>1276</v>
      </c>
      <c r="B4119" s="1" t="s">
        <v>558</v>
      </c>
      <c r="C4119" s="5">
        <f>DATE(2025, 5, 21) + TIME(11, 26, 7)</f>
        <v>45798.476469907408</v>
      </c>
      <c r="D4119" s="1" t="s">
        <v>216</v>
      </c>
      <c r="E4119" s="1" t="s">
        <v>321</v>
      </c>
    </row>
    <row r="4120" spans="1:5" x14ac:dyDescent="0.2">
      <c r="A4120" s="1" t="s">
        <v>1276</v>
      </c>
      <c r="B4120" s="1" t="s">
        <v>235</v>
      </c>
      <c r="C4120" s="5">
        <f>DATE(2025, 5, 21) + TIME(11, 14, 35)</f>
        <v>45798.468460648146</v>
      </c>
      <c r="D4120" s="1" t="s">
        <v>65</v>
      </c>
      <c r="E4120" s="1" t="s">
        <v>918</v>
      </c>
    </row>
    <row r="4121" spans="1:5" x14ac:dyDescent="0.2">
      <c r="A4121" s="1" t="s">
        <v>1276</v>
      </c>
      <c r="B4121" s="1" t="s">
        <v>634</v>
      </c>
      <c r="C4121" s="5">
        <f>DATE(2025, 5, 21) + TIME(11, 14, 35)</f>
        <v>45798.468460648146</v>
      </c>
      <c r="D4121" s="1" t="s">
        <v>65</v>
      </c>
      <c r="E4121" s="1" t="s">
        <v>918</v>
      </c>
    </row>
    <row r="4122" spans="1:5" x14ac:dyDescent="0.2">
      <c r="A4122" s="1" t="s">
        <v>1276</v>
      </c>
      <c r="B4122" s="1" t="s">
        <v>864</v>
      </c>
      <c r="C4122" s="5">
        <f>DATE(2025, 5, 21) + TIME(10, 33, 21)</f>
        <v>45798.439826388887</v>
      </c>
      <c r="D4122" s="1" t="s">
        <v>640</v>
      </c>
      <c r="E4122" s="1" t="s">
        <v>700</v>
      </c>
    </row>
    <row r="4123" spans="1:5" x14ac:dyDescent="0.2">
      <c r="A4123" s="1" t="s">
        <v>1276</v>
      </c>
      <c r="B4123" s="1" t="s">
        <v>800</v>
      </c>
      <c r="C4123" s="5">
        <f>DATE(2025, 5, 21) + TIME(10, 24, 59)</f>
        <v>45798.434016203704</v>
      </c>
      <c r="D4123" s="1" t="s">
        <v>754</v>
      </c>
      <c r="E4123" s="1" t="s">
        <v>760</v>
      </c>
    </row>
    <row r="4124" spans="1:5" x14ac:dyDescent="0.2">
      <c r="A4124" s="1" t="s">
        <v>1276</v>
      </c>
      <c r="B4124" s="1" t="s">
        <v>686</v>
      </c>
      <c r="C4124" s="5">
        <f>DATE(2025, 5, 21) + TIME(7, 55, 24)</f>
        <v>45798.330138888887</v>
      </c>
      <c r="D4124" s="1" t="s">
        <v>3</v>
      </c>
      <c r="E4124" s="1" t="s">
        <v>890</v>
      </c>
    </row>
    <row r="4125" spans="1:5" x14ac:dyDescent="0.2">
      <c r="A4125" s="1" t="s">
        <v>1276</v>
      </c>
      <c r="B4125" s="1" t="s">
        <v>969</v>
      </c>
      <c r="C4125" s="5">
        <f>DATE(2025, 5, 20) + TIME(10, 51, 42)</f>
        <v>45797.452569444446</v>
      </c>
      <c r="D4125" s="1" t="s">
        <v>269</v>
      </c>
      <c r="E4125" s="1" t="s">
        <v>454</v>
      </c>
    </row>
    <row r="4126" spans="1:5" x14ac:dyDescent="0.2">
      <c r="A4126" s="1" t="s">
        <v>1276</v>
      </c>
      <c r="B4126" s="1" t="s">
        <v>205</v>
      </c>
      <c r="C4126" s="5">
        <f>DATE(2025, 5, 20) + TIME(9, 47, 10)</f>
        <v>45797.407754629632</v>
      </c>
      <c r="D4126" s="1" t="s">
        <v>126</v>
      </c>
      <c r="E4126" s="1" t="s">
        <v>143</v>
      </c>
    </row>
    <row r="4127" spans="1:5" x14ac:dyDescent="0.2">
      <c r="A4127" s="1" t="s">
        <v>1276</v>
      </c>
      <c r="B4127" s="1" t="s">
        <v>134</v>
      </c>
      <c r="C4127" s="5">
        <f>DATE(2025, 5, 20) + TIME(9, 47, 10)</f>
        <v>45797.407754629632</v>
      </c>
      <c r="D4127" s="1" t="s">
        <v>126</v>
      </c>
      <c r="E4127" s="1" t="s">
        <v>143</v>
      </c>
    </row>
    <row r="4128" spans="1:5" x14ac:dyDescent="0.2">
      <c r="A4128" s="1" t="s">
        <v>1276</v>
      </c>
      <c r="B4128" s="1" t="s">
        <v>634</v>
      </c>
      <c r="C4128" s="5">
        <f>DATE(2025, 5, 20) + TIME(9, 47, 10)</f>
        <v>45797.407754629632</v>
      </c>
      <c r="D4128" s="1" t="s">
        <v>126</v>
      </c>
      <c r="E4128" s="1" t="s">
        <v>143</v>
      </c>
    </row>
    <row r="4129" spans="1:5" x14ac:dyDescent="0.2">
      <c r="A4129" s="1" t="s">
        <v>1276</v>
      </c>
      <c r="B4129" s="1" t="s">
        <v>688</v>
      </c>
      <c r="C4129" s="5">
        <f>DATE(2025, 5, 19) + TIME(19, 12, 20)</f>
        <v>45796.80023148148</v>
      </c>
      <c r="D4129" s="1" t="s">
        <v>65</v>
      </c>
      <c r="E4129" s="1" t="s">
        <v>404</v>
      </c>
    </row>
    <row r="4130" spans="1:5" x14ac:dyDescent="0.2">
      <c r="A4130" s="1" t="s">
        <v>1276</v>
      </c>
      <c r="B4130" s="1" t="s">
        <v>263</v>
      </c>
      <c r="C4130" s="5">
        <f>DATE(2025, 5, 19) + TIME(16, 36, 2)</f>
        <v>45796.691689814812</v>
      </c>
      <c r="D4130" s="1" t="s">
        <v>871</v>
      </c>
      <c r="E4130" s="1" t="s">
        <v>874</v>
      </c>
    </row>
    <row r="4131" spans="1:5" x14ac:dyDescent="0.2">
      <c r="A4131" s="1" t="s">
        <v>1276</v>
      </c>
      <c r="B4131" s="1" t="s">
        <v>122</v>
      </c>
      <c r="C4131" s="5">
        <f>DATE(2025, 5, 19) + TIME(15, 45, 19)</f>
        <v>45796.656469907408</v>
      </c>
      <c r="D4131" s="1" t="s">
        <v>754</v>
      </c>
      <c r="E4131" s="1" t="s">
        <v>330</v>
      </c>
    </row>
    <row r="4132" spans="1:5" x14ac:dyDescent="0.2">
      <c r="A4132" s="1" t="s">
        <v>1276</v>
      </c>
      <c r="B4132" s="1" t="s">
        <v>915</v>
      </c>
      <c r="C4132" s="5">
        <f>DATE(2025, 5, 19) + TIME(14, 39, 56)</f>
        <v>45796.611064814817</v>
      </c>
      <c r="D4132" s="1" t="s">
        <v>64</v>
      </c>
      <c r="E4132" s="1" t="s">
        <v>308</v>
      </c>
    </row>
    <row r="4133" spans="1:5" x14ac:dyDescent="0.2">
      <c r="A4133" s="1" t="s">
        <v>1276</v>
      </c>
      <c r="B4133" s="1" t="s">
        <v>161</v>
      </c>
      <c r="C4133" s="5">
        <f>DATE(2025, 5, 19) + TIME(12, 57, 44)</f>
        <v>45796.540092592593</v>
      </c>
      <c r="D4133" s="1" t="s">
        <v>566</v>
      </c>
      <c r="E4133" s="1" t="s">
        <v>704</v>
      </c>
    </row>
    <row r="4134" spans="1:5" x14ac:dyDescent="0.2">
      <c r="A4134" s="1" t="s">
        <v>1276</v>
      </c>
      <c r="B4134" s="1" t="s">
        <v>818</v>
      </c>
      <c r="C4134" s="5">
        <f>DATE(2025, 5, 19) + TIME(12, 57, 44)</f>
        <v>45796.540092592593</v>
      </c>
      <c r="D4134" s="1" t="s">
        <v>566</v>
      </c>
      <c r="E4134" s="1" t="s">
        <v>704</v>
      </c>
    </row>
    <row r="4135" spans="1:5" x14ac:dyDescent="0.2">
      <c r="A4135" s="1" t="s">
        <v>1276</v>
      </c>
      <c r="B4135" s="1" t="s">
        <v>388</v>
      </c>
      <c r="C4135" s="5">
        <f>DATE(2025, 5, 19) + TIME(12, 57, 44)</f>
        <v>45796.540092592593</v>
      </c>
      <c r="D4135" s="1" t="s">
        <v>566</v>
      </c>
      <c r="E4135" s="1" t="s">
        <v>704</v>
      </c>
    </row>
    <row r="4136" spans="1:5" x14ac:dyDescent="0.2">
      <c r="A4136" s="1" t="s">
        <v>1276</v>
      </c>
      <c r="B4136" s="1" t="s">
        <v>634</v>
      </c>
      <c r="C4136" s="5">
        <f>DATE(2025, 5, 18) + TIME(8, 56, 52)</f>
        <v>45795.372824074075</v>
      </c>
      <c r="D4136" s="1" t="s">
        <v>65</v>
      </c>
      <c r="E4136" s="1" t="s">
        <v>918</v>
      </c>
    </row>
    <row r="4137" spans="1:5" x14ac:dyDescent="0.2">
      <c r="A4137" s="1" t="s">
        <v>1276</v>
      </c>
      <c r="B4137" s="1" t="s">
        <v>206</v>
      </c>
      <c r="C4137" s="5">
        <f>DATE(2025, 5, 15) + TIME(15, 32, 50)</f>
        <v>45792.647800925923</v>
      </c>
      <c r="D4137" s="1" t="s">
        <v>566</v>
      </c>
      <c r="E4137" s="1" t="s">
        <v>324</v>
      </c>
    </row>
    <row r="4138" spans="1:5" x14ac:dyDescent="0.2">
      <c r="A4138" s="1" t="s">
        <v>1276</v>
      </c>
      <c r="B4138" s="1" t="s">
        <v>558</v>
      </c>
      <c r="C4138" s="5">
        <f>DATE(2025, 5, 15) + TIME(15, 32, 50)</f>
        <v>45792.647800925923</v>
      </c>
      <c r="D4138" s="1" t="s">
        <v>566</v>
      </c>
      <c r="E4138" s="1" t="s">
        <v>324</v>
      </c>
    </row>
    <row r="4139" spans="1:5" x14ac:dyDescent="0.2">
      <c r="A4139" s="1" t="s">
        <v>1276</v>
      </c>
      <c r="B4139" s="1" t="s">
        <v>163</v>
      </c>
      <c r="C4139" s="5">
        <f>DATE(2025, 5, 15) + TIME(13, 6, 47)</f>
        <v>45792.546377314815</v>
      </c>
      <c r="D4139" s="1" t="s">
        <v>638</v>
      </c>
      <c r="E4139" s="1" t="s">
        <v>397</v>
      </c>
    </row>
    <row r="4140" spans="1:5" x14ac:dyDescent="0.2">
      <c r="A4140" s="1" t="s">
        <v>1276</v>
      </c>
      <c r="B4140" s="1" t="s">
        <v>9</v>
      </c>
      <c r="C4140" s="5">
        <f>DATE(2025, 5, 15) + TIME(11, 20, 49)</f>
        <v>45792.47278935185</v>
      </c>
      <c r="D4140" s="1" t="s">
        <v>754</v>
      </c>
      <c r="E4140" s="1" t="s">
        <v>941</v>
      </c>
    </row>
    <row r="4141" spans="1:5" x14ac:dyDescent="0.2">
      <c r="A4141" s="1" t="s">
        <v>1276</v>
      </c>
      <c r="B4141" s="1" t="s">
        <v>911</v>
      </c>
      <c r="C4141" s="5">
        <f>DATE(2025, 5, 15) + TIME(11, 20, 49)</f>
        <v>45792.47278935185</v>
      </c>
      <c r="D4141" s="1" t="s">
        <v>754</v>
      </c>
      <c r="E4141" s="1" t="s">
        <v>135</v>
      </c>
    </row>
    <row r="4142" spans="1:5" x14ac:dyDescent="0.2">
      <c r="A4142" s="1" t="s">
        <v>1276</v>
      </c>
      <c r="B4142" s="1" t="s">
        <v>663</v>
      </c>
      <c r="C4142" s="5">
        <f>DATE(2025, 5, 15) + TIME(10, 23, 23)</f>
        <v>45792.432905092595</v>
      </c>
      <c r="D4142" s="1" t="s">
        <v>255</v>
      </c>
      <c r="E4142" s="1" t="s">
        <v>699</v>
      </c>
    </row>
    <row r="4143" spans="1:5" x14ac:dyDescent="0.2">
      <c r="A4143" s="1" t="s">
        <v>1276</v>
      </c>
      <c r="B4143" s="1" t="s">
        <v>69</v>
      </c>
      <c r="C4143" s="5">
        <f>DATE(2025, 5, 15) + TIME(10, 23, 23)</f>
        <v>45792.432905092595</v>
      </c>
      <c r="D4143" s="1" t="s">
        <v>255</v>
      </c>
      <c r="E4143" s="1" t="s">
        <v>699</v>
      </c>
    </row>
    <row r="4144" spans="1:5" x14ac:dyDescent="0.2">
      <c r="A4144" s="1" t="s">
        <v>1276</v>
      </c>
      <c r="B4144" s="1" t="s">
        <v>817</v>
      </c>
      <c r="C4144" s="5">
        <f>DATE(2025, 5, 15) + TIME(10, 23, 23)</f>
        <v>45792.432905092595</v>
      </c>
      <c r="D4144" s="1" t="s">
        <v>255</v>
      </c>
      <c r="E4144" s="1" t="s">
        <v>699</v>
      </c>
    </row>
    <row r="4145" spans="1:5" x14ac:dyDescent="0.2">
      <c r="A4145" s="1" t="s">
        <v>1276</v>
      </c>
      <c r="B4145" s="1" t="s">
        <v>60</v>
      </c>
      <c r="C4145" s="5">
        <f>DATE(2025, 5, 15) + TIME(10, 23, 22)</f>
        <v>45792.432893518519</v>
      </c>
      <c r="D4145" s="1" t="s">
        <v>255</v>
      </c>
      <c r="E4145" s="1" t="s">
        <v>699</v>
      </c>
    </row>
    <row r="4146" spans="1:5" x14ac:dyDescent="0.2">
      <c r="A4146" s="1" t="s">
        <v>1276</v>
      </c>
      <c r="B4146" s="1" t="s">
        <v>163</v>
      </c>
      <c r="C4146" s="5">
        <f>DATE(2025, 5, 15) + TIME(10, 23, 22)</f>
        <v>45792.432893518519</v>
      </c>
      <c r="D4146" s="1" t="s">
        <v>255</v>
      </c>
      <c r="E4146" s="1" t="s">
        <v>699</v>
      </c>
    </row>
    <row r="4147" spans="1:5" x14ac:dyDescent="0.2">
      <c r="A4147" s="1" t="s">
        <v>1276</v>
      </c>
      <c r="B4147" s="1" t="s">
        <v>323</v>
      </c>
      <c r="C4147" s="5">
        <f>DATE(2025, 5, 15) + TIME(10, 23, 22)</f>
        <v>45792.432893518519</v>
      </c>
      <c r="D4147" s="1" t="s">
        <v>255</v>
      </c>
      <c r="E4147" s="1" t="s">
        <v>699</v>
      </c>
    </row>
    <row r="4148" spans="1:5" x14ac:dyDescent="0.2">
      <c r="A4148" s="1" t="s">
        <v>1276</v>
      </c>
      <c r="B4148" s="1" t="s">
        <v>967</v>
      </c>
      <c r="C4148" s="5">
        <f>DATE(2025, 5, 14) + TIME(16, 37, 50)</f>
        <v>45791.692939814813</v>
      </c>
      <c r="D4148" s="1" t="s">
        <v>126</v>
      </c>
      <c r="E4148" s="1" t="s">
        <v>249</v>
      </c>
    </row>
    <row r="4149" spans="1:5" x14ac:dyDescent="0.2">
      <c r="A4149" s="1" t="s">
        <v>1276</v>
      </c>
      <c r="B4149" s="1" t="s">
        <v>744</v>
      </c>
      <c r="C4149" s="5">
        <f>DATE(2025, 5, 14) + TIME(16, 12, 51)</f>
        <v>45791.67559027778</v>
      </c>
      <c r="D4149" s="1" t="s">
        <v>566</v>
      </c>
      <c r="E4149" s="1" t="s">
        <v>888</v>
      </c>
    </row>
    <row r="4150" spans="1:5" x14ac:dyDescent="0.2">
      <c r="A4150" s="1" t="s">
        <v>1276</v>
      </c>
      <c r="B4150" s="1" t="s">
        <v>22</v>
      </c>
      <c r="C4150" s="5">
        <f>DATE(2025, 5, 14) + TIME(15, 33, 11)</f>
        <v>45791.648043981484</v>
      </c>
      <c r="D4150" s="1" t="s">
        <v>638</v>
      </c>
      <c r="E4150" s="1" t="s">
        <v>198</v>
      </c>
    </row>
    <row r="4151" spans="1:5" x14ac:dyDescent="0.2">
      <c r="A4151" s="1" t="s">
        <v>1276</v>
      </c>
      <c r="B4151" s="1" t="s">
        <v>651</v>
      </c>
      <c r="C4151" s="5">
        <f>DATE(2025, 5, 14) + TIME(14, 50, 42)</f>
        <v>45791.618541666663</v>
      </c>
      <c r="D4151" s="1" t="s">
        <v>506</v>
      </c>
      <c r="E4151" s="1" t="s">
        <v>867</v>
      </c>
    </row>
    <row r="4152" spans="1:5" x14ac:dyDescent="0.2">
      <c r="A4152" s="1" t="s">
        <v>1276</v>
      </c>
      <c r="B4152" s="1" t="s">
        <v>271</v>
      </c>
      <c r="C4152" s="5">
        <f>DATE(2025, 5, 14) + TIME(13, 42, 9)</f>
        <v>45791.570937500001</v>
      </c>
      <c r="D4152" s="1" t="s">
        <v>754</v>
      </c>
      <c r="E4152" s="1" t="s">
        <v>363</v>
      </c>
    </row>
    <row r="4153" spans="1:5" x14ac:dyDescent="0.2">
      <c r="A4153" s="1" t="s">
        <v>1276</v>
      </c>
      <c r="B4153" s="1" t="s">
        <v>15</v>
      </c>
      <c r="C4153" s="5">
        <f>DATE(2025, 5, 14) + TIME(12, 54, 46)</f>
        <v>45791.538032407407</v>
      </c>
      <c r="D4153" s="1" t="s">
        <v>64</v>
      </c>
      <c r="E4153" s="1" t="s">
        <v>337</v>
      </c>
    </row>
    <row r="4154" spans="1:5" x14ac:dyDescent="0.2">
      <c r="A4154" s="1" t="s">
        <v>1276</v>
      </c>
      <c r="B4154" s="1" t="s">
        <v>866</v>
      </c>
      <c r="C4154" s="5">
        <f>DATE(2025, 5, 14) + TIME(12, 54, 30)</f>
        <v>45791.537847222222</v>
      </c>
      <c r="D4154" s="1" t="s">
        <v>506</v>
      </c>
      <c r="E4154" s="1" t="s">
        <v>635</v>
      </c>
    </row>
    <row r="4155" spans="1:5" x14ac:dyDescent="0.2">
      <c r="A4155" s="1" t="s">
        <v>1276</v>
      </c>
      <c r="B4155" s="1" t="s">
        <v>486</v>
      </c>
      <c r="C4155" s="5">
        <f>DATE(2025, 5, 14) + TIME(12, 25, 34)</f>
        <v>45791.517754629633</v>
      </c>
      <c r="D4155" s="1" t="s">
        <v>216</v>
      </c>
      <c r="E4155" s="1" t="s">
        <v>321</v>
      </c>
    </row>
    <row r="4156" spans="1:5" x14ac:dyDescent="0.2">
      <c r="A4156" s="1" t="s">
        <v>1276</v>
      </c>
      <c r="B4156" s="1" t="s">
        <v>919</v>
      </c>
      <c r="C4156" s="5">
        <f>DATE(2025, 5, 14) + TIME(12, 25, 34)</f>
        <v>45791.517754629633</v>
      </c>
      <c r="D4156" s="1" t="s">
        <v>216</v>
      </c>
      <c r="E4156" s="1" t="s">
        <v>321</v>
      </c>
    </row>
    <row r="4157" spans="1:5" x14ac:dyDescent="0.2">
      <c r="A4157" s="1" t="s">
        <v>1276</v>
      </c>
      <c r="B4157" s="1" t="s">
        <v>207</v>
      </c>
      <c r="C4157" s="5">
        <f>DATE(2025, 5, 14) + TIME(12, 25, 34)</f>
        <v>45791.517754629633</v>
      </c>
      <c r="D4157" s="1" t="s">
        <v>216</v>
      </c>
      <c r="E4157" s="1" t="s">
        <v>321</v>
      </c>
    </row>
    <row r="4158" spans="1:5" x14ac:dyDescent="0.2">
      <c r="A4158" s="1" t="s">
        <v>1276</v>
      </c>
      <c r="B4158" s="1" t="s">
        <v>303</v>
      </c>
      <c r="C4158" s="5">
        <f>DATE(2025, 5, 14) + TIME(12, 25, 34)</f>
        <v>45791.517754629633</v>
      </c>
      <c r="D4158" s="1" t="s">
        <v>216</v>
      </c>
      <c r="E4158" s="1" t="s">
        <v>321</v>
      </c>
    </row>
    <row r="4159" spans="1:5" x14ac:dyDescent="0.2">
      <c r="A4159" s="1" t="s">
        <v>1276</v>
      </c>
      <c r="B4159" s="1" t="s">
        <v>392</v>
      </c>
      <c r="C4159" s="5">
        <f>DATE(2025, 5, 13) + TIME(14, 1, 25)</f>
        <v>45790.584317129629</v>
      </c>
      <c r="D4159" s="1" t="s">
        <v>65</v>
      </c>
      <c r="E4159" s="1" t="s">
        <v>555</v>
      </c>
    </row>
    <row r="4160" spans="1:5" x14ac:dyDescent="0.2">
      <c r="A4160" s="1" t="s">
        <v>1276</v>
      </c>
      <c r="B4160" s="1" t="s">
        <v>651</v>
      </c>
      <c r="C4160" s="5">
        <f>DATE(2025, 5, 13) + TIME(9, 28, 13)</f>
        <v>45790.394594907404</v>
      </c>
      <c r="D4160" s="1" t="s">
        <v>869</v>
      </c>
      <c r="E4160" s="1" t="s">
        <v>842</v>
      </c>
    </row>
    <row r="4161" spans="1:5" x14ac:dyDescent="0.2">
      <c r="A4161" s="1" t="s">
        <v>1276</v>
      </c>
      <c r="B4161" s="1" t="s">
        <v>48</v>
      </c>
      <c r="C4161" s="5">
        <f>DATE(2025, 5, 12) + TIME(16, 6, 44)</f>
        <v>45789.671342592592</v>
      </c>
      <c r="D4161" s="1" t="s">
        <v>269</v>
      </c>
      <c r="E4161" s="1" t="s">
        <v>603</v>
      </c>
    </row>
    <row r="4162" spans="1:5" x14ac:dyDescent="0.2">
      <c r="A4162" s="1" t="s">
        <v>1276</v>
      </c>
      <c r="B4162" s="1" t="s">
        <v>408</v>
      </c>
      <c r="C4162" s="5">
        <f>DATE(2025, 5, 12) + TIME(16, 6, 44)</f>
        <v>45789.671342592592</v>
      </c>
      <c r="D4162" s="1" t="s">
        <v>269</v>
      </c>
      <c r="E4162" s="1" t="s">
        <v>603</v>
      </c>
    </row>
    <row r="4163" spans="1:5" x14ac:dyDescent="0.2">
      <c r="A4163" s="1" t="s">
        <v>1276</v>
      </c>
      <c r="B4163" s="1" t="s">
        <v>393</v>
      </c>
      <c r="C4163" s="5">
        <f>DATE(2025, 5, 12) + TIME(14, 42, 17)</f>
        <v>45789.612696759257</v>
      </c>
      <c r="D4163" s="1" t="s">
        <v>126</v>
      </c>
      <c r="E4163" s="1" t="s">
        <v>143</v>
      </c>
    </row>
    <row r="4164" spans="1:5" x14ac:dyDescent="0.2">
      <c r="A4164" s="1" t="s">
        <v>1276</v>
      </c>
      <c r="B4164" s="1" t="s">
        <v>277</v>
      </c>
      <c r="C4164" s="5">
        <f>DATE(2025, 5, 12) + TIME(14, 42, 17)</f>
        <v>45789.612696759257</v>
      </c>
      <c r="D4164" s="1" t="s">
        <v>126</v>
      </c>
      <c r="E4164" s="1" t="s">
        <v>143</v>
      </c>
    </row>
    <row r="4165" spans="1:5" x14ac:dyDescent="0.2">
      <c r="A4165" s="1" t="s">
        <v>1276</v>
      </c>
      <c r="B4165" s="1" t="s">
        <v>577</v>
      </c>
      <c r="C4165" s="5">
        <f>DATE(2025, 5, 12) + TIME(14, 26, 25)</f>
        <v>45789.601678240739</v>
      </c>
      <c r="D4165" s="1" t="s">
        <v>754</v>
      </c>
      <c r="E4165" s="1" t="s">
        <v>282</v>
      </c>
    </row>
    <row r="4166" spans="1:5" x14ac:dyDescent="0.2">
      <c r="A4166" s="1" t="s">
        <v>1276</v>
      </c>
      <c r="B4166" s="1" t="s">
        <v>208</v>
      </c>
      <c r="C4166" s="5">
        <f>DATE(2025, 5, 12) + TIME(14, 11, 24)</f>
        <v>45789.591249999998</v>
      </c>
      <c r="D4166" s="1" t="s">
        <v>754</v>
      </c>
      <c r="E4166" s="1" t="s">
        <v>870</v>
      </c>
    </row>
    <row r="4167" spans="1:5" x14ac:dyDescent="0.2">
      <c r="A4167" s="1" t="s">
        <v>1276</v>
      </c>
      <c r="B4167" s="1" t="s">
        <v>688</v>
      </c>
      <c r="C4167" s="5">
        <f>DATE(2025, 5, 12) + TIME(13, 33, 38)</f>
        <v>45789.565023148149</v>
      </c>
      <c r="D4167" s="1" t="s">
        <v>640</v>
      </c>
      <c r="E4167" s="1" t="s">
        <v>520</v>
      </c>
    </row>
    <row r="4168" spans="1:5" x14ac:dyDescent="0.2">
      <c r="A4168" s="1" t="s">
        <v>1276</v>
      </c>
      <c r="B4168" s="1" t="s">
        <v>271</v>
      </c>
      <c r="C4168" s="5">
        <f>DATE(2025, 5, 12) + TIME(13, 32, 14)</f>
        <v>45789.564050925925</v>
      </c>
      <c r="D4168" s="1" t="s">
        <v>563</v>
      </c>
      <c r="E4168" s="1" t="s">
        <v>351</v>
      </c>
    </row>
    <row r="4169" spans="1:5" x14ac:dyDescent="0.2">
      <c r="A4169" s="1" t="s">
        <v>1276</v>
      </c>
      <c r="B4169" s="1" t="s">
        <v>136</v>
      </c>
      <c r="C4169" s="5">
        <f>DATE(2025, 5, 12) + TIME(13, 6, 23)</f>
        <v>45789.546099537038</v>
      </c>
      <c r="D4169" s="1" t="s">
        <v>754</v>
      </c>
      <c r="E4169" s="1" t="s">
        <v>441</v>
      </c>
    </row>
    <row r="4170" spans="1:5" x14ac:dyDescent="0.2">
      <c r="A4170" s="1" t="s">
        <v>1276</v>
      </c>
      <c r="B4170" s="1" t="s">
        <v>378</v>
      </c>
      <c r="C4170" s="5">
        <f>DATE(2025, 5, 12) + TIME(13, 6, 23)</f>
        <v>45789.546099537038</v>
      </c>
      <c r="D4170" s="1" t="s">
        <v>754</v>
      </c>
      <c r="E4170" s="1" t="s">
        <v>441</v>
      </c>
    </row>
    <row r="4171" spans="1:5" x14ac:dyDescent="0.2">
      <c r="A4171" s="1" t="s">
        <v>1276</v>
      </c>
      <c r="B4171" s="1" t="s">
        <v>782</v>
      </c>
      <c r="C4171" s="5">
        <f>DATE(2025, 5, 12) + TIME(12, 25, 13)</f>
        <v>45789.517511574071</v>
      </c>
      <c r="D4171" s="1" t="s">
        <v>269</v>
      </c>
      <c r="E4171" s="1" t="s">
        <v>299</v>
      </c>
    </row>
    <row r="4172" spans="1:5" x14ac:dyDescent="0.2">
      <c r="A4172" s="1" t="s">
        <v>1276</v>
      </c>
      <c r="B4172" s="1" t="s">
        <v>66</v>
      </c>
      <c r="C4172" s="5">
        <f>DATE(2025, 5, 12) + TIME(12, 25, 13)</f>
        <v>45789.517511574071</v>
      </c>
      <c r="D4172" s="1" t="s">
        <v>269</v>
      </c>
      <c r="E4172" s="1" t="s">
        <v>299</v>
      </c>
    </row>
    <row r="4173" spans="1:5" x14ac:dyDescent="0.2">
      <c r="A4173" s="1" t="s">
        <v>1276</v>
      </c>
      <c r="B4173" s="1" t="s">
        <v>317</v>
      </c>
      <c r="C4173" s="5">
        <f>DATE(2025, 5, 12) + TIME(12, 25, 13)</f>
        <v>45789.517511574071</v>
      </c>
      <c r="D4173" s="1" t="s">
        <v>269</v>
      </c>
      <c r="E4173" s="1" t="s">
        <v>299</v>
      </c>
    </row>
    <row r="4174" spans="1:5" x14ac:dyDescent="0.2">
      <c r="A4174" s="1" t="s">
        <v>1276</v>
      </c>
      <c r="B4174" s="1" t="s">
        <v>688</v>
      </c>
      <c r="C4174" s="5">
        <f>DATE(2025, 5, 8) + TIME(16, 18, 29)</f>
        <v>45785.679502314815</v>
      </c>
      <c r="D4174" s="1" t="s">
        <v>640</v>
      </c>
      <c r="E4174" s="1" t="s">
        <v>520</v>
      </c>
    </row>
    <row r="4175" spans="1:5" x14ac:dyDescent="0.2">
      <c r="A4175" s="1" t="s">
        <v>1276</v>
      </c>
      <c r="B4175" s="1" t="s">
        <v>117</v>
      </c>
      <c r="C4175" s="5">
        <f>DATE(2025, 5, 8) + TIME(15, 13, 35)</f>
        <v>45785.634432870371</v>
      </c>
      <c r="D4175" s="1" t="s">
        <v>144</v>
      </c>
      <c r="E4175" s="1" t="s">
        <v>946</v>
      </c>
    </row>
    <row r="4176" spans="1:5" x14ac:dyDescent="0.2">
      <c r="A4176" s="1" t="s">
        <v>1276</v>
      </c>
      <c r="B4176" s="1" t="s">
        <v>323</v>
      </c>
      <c r="C4176" s="5">
        <f>DATE(2025, 5, 8) + TIME(13, 43, 37)</f>
        <v>45785.571956018517</v>
      </c>
      <c r="D4176" s="1" t="s">
        <v>216</v>
      </c>
      <c r="E4176" s="1" t="s">
        <v>466</v>
      </c>
    </row>
    <row r="4177" spans="1:5" x14ac:dyDescent="0.2">
      <c r="A4177" s="1" t="s">
        <v>1276</v>
      </c>
      <c r="B4177" s="1" t="s">
        <v>744</v>
      </c>
      <c r="C4177" s="5">
        <f>DATE(2025, 5, 8) + TIME(13, 42, 53)</f>
        <v>45785.571446759262</v>
      </c>
      <c r="D4177" s="1" t="s">
        <v>566</v>
      </c>
      <c r="E4177" s="1" t="s">
        <v>324</v>
      </c>
    </row>
    <row r="4178" spans="1:5" x14ac:dyDescent="0.2">
      <c r="A4178" s="1" t="s">
        <v>1276</v>
      </c>
      <c r="B4178" s="1" t="s">
        <v>137</v>
      </c>
      <c r="C4178" s="5">
        <f>DATE(2025, 5, 8) + TIME(13, 42, 52)</f>
        <v>45785.571435185186</v>
      </c>
      <c r="D4178" s="1" t="s">
        <v>566</v>
      </c>
      <c r="E4178" s="1" t="s">
        <v>324</v>
      </c>
    </row>
    <row r="4179" spans="1:5" x14ac:dyDescent="0.2">
      <c r="A4179" s="1" t="s">
        <v>1276</v>
      </c>
      <c r="B4179" s="1" t="s">
        <v>931</v>
      </c>
      <c r="C4179" s="5">
        <f>DATE(2025, 5, 8) + TIME(12, 2, 29)</f>
        <v>45785.50172453704</v>
      </c>
      <c r="D4179" s="1" t="s">
        <v>216</v>
      </c>
      <c r="E4179" s="1" t="s">
        <v>466</v>
      </c>
    </row>
    <row r="4180" spans="1:5" x14ac:dyDescent="0.2">
      <c r="A4180" s="1" t="s">
        <v>1276</v>
      </c>
      <c r="B4180" s="1" t="s">
        <v>81</v>
      </c>
      <c r="C4180" s="5">
        <f>DATE(2025, 5, 8) + TIME(11, 48, 44)</f>
        <v>45785.492175925923</v>
      </c>
      <c r="D4180" s="1" t="s">
        <v>3</v>
      </c>
      <c r="E4180" s="1" t="s">
        <v>307</v>
      </c>
    </row>
    <row r="4181" spans="1:5" x14ac:dyDescent="0.2">
      <c r="A4181" s="1" t="s">
        <v>1276</v>
      </c>
      <c r="B4181" s="1" t="s">
        <v>60</v>
      </c>
      <c r="C4181" s="5">
        <f>DATE(2025, 5, 8) + TIME(11, 43, 50)</f>
        <v>45785.48877314815</v>
      </c>
      <c r="D4181" s="1" t="s">
        <v>640</v>
      </c>
      <c r="E4181" s="1" t="s">
        <v>520</v>
      </c>
    </row>
    <row r="4182" spans="1:5" x14ac:dyDescent="0.2">
      <c r="A4182" s="1" t="s">
        <v>1276</v>
      </c>
      <c r="B4182" s="1" t="s">
        <v>456</v>
      </c>
      <c r="C4182" s="5">
        <f>DATE(2025, 5, 8) + TIME(11, 12, 15)</f>
        <v>45785.466840277775</v>
      </c>
      <c r="D4182" s="1" t="s">
        <v>640</v>
      </c>
      <c r="E4182" s="1" t="s">
        <v>32</v>
      </c>
    </row>
    <row r="4183" spans="1:5" x14ac:dyDescent="0.2">
      <c r="A4183" s="1" t="s">
        <v>1276</v>
      </c>
      <c r="B4183" s="1" t="s">
        <v>206</v>
      </c>
      <c r="C4183" s="5">
        <f>DATE(2025, 5, 7) + TIME(15, 40, 7)</f>
        <v>45784.652858796297</v>
      </c>
      <c r="D4183" s="1" t="s">
        <v>506</v>
      </c>
      <c r="E4183" s="1" t="s">
        <v>158</v>
      </c>
    </row>
    <row r="4184" spans="1:5" x14ac:dyDescent="0.2">
      <c r="A4184" s="1" t="s">
        <v>1276</v>
      </c>
      <c r="B4184" s="1" t="s">
        <v>57</v>
      </c>
      <c r="C4184" s="5">
        <f>DATE(2025, 5, 7) + TIME(15, 2, 23)</f>
        <v>45784.626655092594</v>
      </c>
      <c r="D4184" s="1" t="s">
        <v>148</v>
      </c>
      <c r="E4184" s="1" t="s">
        <v>471</v>
      </c>
    </row>
    <row r="4185" spans="1:5" x14ac:dyDescent="0.2">
      <c r="A4185" s="1" t="s">
        <v>1276</v>
      </c>
      <c r="B4185" s="1" t="s">
        <v>54</v>
      </c>
      <c r="C4185" s="5">
        <f>DATE(2025, 5, 7) + TIME(14, 23, 35)</f>
        <v>45784.599710648145</v>
      </c>
      <c r="D4185" s="1" t="s">
        <v>576</v>
      </c>
      <c r="E4185" s="1" t="s">
        <v>233</v>
      </c>
    </row>
    <row r="4186" spans="1:5" x14ac:dyDescent="0.2">
      <c r="A4186" s="1" t="s">
        <v>1276</v>
      </c>
      <c r="B4186" s="1" t="s">
        <v>271</v>
      </c>
      <c r="C4186" s="5">
        <f>DATE(2025, 5, 7) + TIME(13, 16, 0)</f>
        <v>45784.552777777775</v>
      </c>
      <c r="D4186" s="1" t="s">
        <v>226</v>
      </c>
      <c r="E4186" s="1" t="s">
        <v>918</v>
      </c>
    </row>
    <row r="4187" spans="1:5" x14ac:dyDescent="0.2">
      <c r="A4187" s="1" t="s">
        <v>1276</v>
      </c>
      <c r="B4187" s="1" t="s">
        <v>42</v>
      </c>
      <c r="C4187" s="5">
        <f>DATE(2025, 5, 7) + TIME(13, 9, 1)</f>
        <v>45784.54792824074</v>
      </c>
      <c r="D4187" s="1" t="s">
        <v>506</v>
      </c>
      <c r="E4187" s="1" t="s">
        <v>867</v>
      </c>
    </row>
    <row r="4188" spans="1:5" x14ac:dyDescent="0.2">
      <c r="A4188" s="1" t="s">
        <v>1276</v>
      </c>
      <c r="B4188" s="1" t="s">
        <v>862</v>
      </c>
      <c r="C4188" s="5">
        <f>DATE(2025, 5, 7) + TIME(12, 52, 35)</f>
        <v>45784.536516203705</v>
      </c>
      <c r="D4188" s="1" t="s">
        <v>576</v>
      </c>
      <c r="E4188" s="1" t="s">
        <v>873</v>
      </c>
    </row>
    <row r="4189" spans="1:5" x14ac:dyDescent="0.2">
      <c r="A4189" s="1" t="s">
        <v>1276</v>
      </c>
      <c r="B4189" s="1" t="s">
        <v>562</v>
      </c>
      <c r="C4189" s="5">
        <f>DATE(2025, 5, 7) + TIME(12, 46, 32)</f>
        <v>45784.532314814816</v>
      </c>
      <c r="D4189" s="1" t="s">
        <v>506</v>
      </c>
      <c r="E4189" s="1" t="s">
        <v>635</v>
      </c>
    </row>
    <row r="4190" spans="1:5" x14ac:dyDescent="0.2">
      <c r="A4190" s="1" t="s">
        <v>1276</v>
      </c>
      <c r="B4190" s="1" t="s">
        <v>456</v>
      </c>
      <c r="C4190" s="5">
        <f>DATE(2025, 5, 7) + TIME(11, 58, 40)</f>
        <v>45784.499074074076</v>
      </c>
      <c r="D4190" s="1" t="s">
        <v>320</v>
      </c>
      <c r="E4190" s="1" t="s">
        <v>2</v>
      </c>
    </row>
    <row r="4191" spans="1:5" x14ac:dyDescent="0.2">
      <c r="A4191" s="1" t="s">
        <v>1276</v>
      </c>
      <c r="B4191" s="1" t="s">
        <v>346</v>
      </c>
      <c r="C4191" s="5">
        <f>DATE(2025, 5, 7) + TIME(11, 58, 40)</f>
        <v>45784.499074074076</v>
      </c>
      <c r="D4191" s="1" t="s">
        <v>320</v>
      </c>
      <c r="E4191" s="1" t="s">
        <v>2</v>
      </c>
    </row>
    <row r="4192" spans="1:5" x14ac:dyDescent="0.2">
      <c r="A4192" s="1" t="s">
        <v>1276</v>
      </c>
      <c r="B4192" s="1" t="s">
        <v>542</v>
      </c>
      <c r="C4192" s="5">
        <f>DATE(2025, 5, 7) + TIME(11, 58, 40)</f>
        <v>45784.499074074076</v>
      </c>
      <c r="D4192" s="1" t="s">
        <v>320</v>
      </c>
      <c r="E4192" s="1" t="s">
        <v>2</v>
      </c>
    </row>
    <row r="4193" spans="1:5" x14ac:dyDescent="0.2">
      <c r="A4193" s="1" t="s">
        <v>1276</v>
      </c>
      <c r="B4193" s="1" t="s">
        <v>388</v>
      </c>
      <c r="C4193" s="5">
        <f>DATE(2025, 5, 7) + TIME(11, 58, 40)</f>
        <v>45784.499074074076</v>
      </c>
      <c r="D4193" s="1" t="s">
        <v>320</v>
      </c>
      <c r="E4193" s="1" t="s">
        <v>2</v>
      </c>
    </row>
    <row r="4194" spans="1:5" x14ac:dyDescent="0.2">
      <c r="A4194" s="1" t="s">
        <v>1276</v>
      </c>
      <c r="B4194" s="1" t="s">
        <v>388</v>
      </c>
      <c r="C4194" s="5">
        <f>DATE(2025, 5, 7) + TIME(11, 19, 51)</f>
        <v>45784.472118055557</v>
      </c>
      <c r="D4194" s="1" t="s">
        <v>869</v>
      </c>
      <c r="E4194" s="1" t="s">
        <v>243</v>
      </c>
    </row>
    <row r="4195" spans="1:5" x14ac:dyDescent="0.2">
      <c r="A4195" s="1" t="s">
        <v>1276</v>
      </c>
      <c r="B4195" s="1" t="s">
        <v>208</v>
      </c>
      <c r="C4195" s="5">
        <f>DATE(2025, 5, 7) + TIME(10, 4, 57)</f>
        <v>45784.420104166667</v>
      </c>
      <c r="D4195" s="1" t="s">
        <v>754</v>
      </c>
      <c r="E4195" s="1" t="s">
        <v>760</v>
      </c>
    </row>
    <row r="4196" spans="1:5" x14ac:dyDescent="0.2">
      <c r="A4196" s="1" t="s">
        <v>1276</v>
      </c>
      <c r="B4196" s="1" t="s">
        <v>464</v>
      </c>
      <c r="C4196" s="5">
        <f>DATE(2025, 5, 6) + TIME(15, 44, 5)</f>
        <v>45783.655613425923</v>
      </c>
      <c r="D4196" s="1" t="s">
        <v>226</v>
      </c>
      <c r="E4196" s="1" t="s">
        <v>103</v>
      </c>
    </row>
    <row r="4197" spans="1:5" x14ac:dyDescent="0.2">
      <c r="A4197" s="1" t="s">
        <v>1276</v>
      </c>
      <c r="B4197" s="1" t="s">
        <v>686</v>
      </c>
      <c r="C4197" s="5">
        <f>DATE(2025, 5, 6) + TIME(14, 1, 47)</f>
        <v>45783.58457175926</v>
      </c>
      <c r="D4197" s="1" t="s">
        <v>148</v>
      </c>
      <c r="E4197" s="1" t="s">
        <v>877</v>
      </c>
    </row>
    <row r="4198" spans="1:5" x14ac:dyDescent="0.2">
      <c r="A4198" s="1" t="s">
        <v>1276</v>
      </c>
      <c r="B4198" s="1" t="s">
        <v>42</v>
      </c>
      <c r="C4198" s="5">
        <f>DATE(2025, 5, 6) + TIME(14, 1, 46)</f>
        <v>45783.584560185183</v>
      </c>
      <c r="D4198" s="1" t="s">
        <v>148</v>
      </c>
      <c r="E4198" s="1" t="s">
        <v>877</v>
      </c>
    </row>
    <row r="4199" spans="1:5" x14ac:dyDescent="0.2">
      <c r="A4199" s="1" t="s">
        <v>1276</v>
      </c>
      <c r="B4199" s="1" t="s">
        <v>9</v>
      </c>
      <c r="C4199" s="5">
        <f>DATE(2025, 5, 6) + TIME(13, 55, 57)</f>
        <v>45783.580520833333</v>
      </c>
      <c r="D4199" s="1" t="s">
        <v>640</v>
      </c>
      <c r="E4199" s="1" t="s">
        <v>761</v>
      </c>
    </row>
    <row r="4200" spans="1:5" x14ac:dyDescent="0.2">
      <c r="A4200" s="1" t="s">
        <v>1276</v>
      </c>
      <c r="B4200" s="1" t="s">
        <v>562</v>
      </c>
      <c r="C4200" s="5">
        <f>DATE(2025, 5, 6) + TIME(13, 20, 55)</f>
        <v>45783.556192129632</v>
      </c>
      <c r="D4200" s="1" t="s">
        <v>341</v>
      </c>
      <c r="E4200" s="1" t="s">
        <v>292</v>
      </c>
    </row>
    <row r="4201" spans="1:5" x14ac:dyDescent="0.2">
      <c r="A4201" s="1" t="s">
        <v>1276</v>
      </c>
      <c r="B4201" s="1" t="s">
        <v>69</v>
      </c>
      <c r="C4201" s="5">
        <f>DATE(2025, 5, 6) + TIME(9, 47, 36)</f>
        <v>45783.408055555556</v>
      </c>
      <c r="D4201" s="1" t="s">
        <v>148</v>
      </c>
      <c r="E4201" s="1" t="s">
        <v>671</v>
      </c>
    </row>
    <row r="4202" spans="1:5" x14ac:dyDescent="0.2">
      <c r="A4202" s="1" t="s">
        <v>1276</v>
      </c>
      <c r="B4202" s="1" t="s">
        <v>4</v>
      </c>
      <c r="C4202" s="5">
        <f>DATE(2025, 5, 6) + TIME(9, 47, 36)</f>
        <v>45783.408055555556</v>
      </c>
      <c r="D4202" s="1" t="s">
        <v>148</v>
      </c>
      <c r="E4202" s="1" t="s">
        <v>671</v>
      </c>
    </row>
    <row r="4203" spans="1:5" x14ac:dyDescent="0.2">
      <c r="A4203" s="1" t="s">
        <v>1276</v>
      </c>
      <c r="B4203" s="1" t="s">
        <v>60</v>
      </c>
      <c r="C4203" s="5">
        <f>DATE(2025, 5, 6) + TIME(9, 47, 36)</f>
        <v>45783.408055555556</v>
      </c>
      <c r="D4203" s="1" t="s">
        <v>148</v>
      </c>
      <c r="E4203" s="1" t="s">
        <v>671</v>
      </c>
    </row>
    <row r="4204" spans="1:5" x14ac:dyDescent="0.2">
      <c r="A4204" s="1" t="s">
        <v>1276</v>
      </c>
      <c r="B4204" s="1" t="s">
        <v>803</v>
      </c>
      <c r="C4204" s="5">
        <f>DATE(2025, 5, 5) + TIME(15, 45, 10)</f>
        <v>45782.656365740739</v>
      </c>
      <c r="D4204" s="1" t="s">
        <v>126</v>
      </c>
      <c r="E4204" s="1" t="s">
        <v>143</v>
      </c>
    </row>
    <row r="4205" spans="1:5" x14ac:dyDescent="0.2">
      <c r="A4205" s="1" t="s">
        <v>1276</v>
      </c>
      <c r="B4205" s="1" t="s">
        <v>969</v>
      </c>
      <c r="C4205" s="5">
        <f>DATE(2025, 5, 5) + TIME(14, 42, 50)</f>
        <v>45782.613078703704</v>
      </c>
      <c r="D4205" s="1" t="s">
        <v>576</v>
      </c>
      <c r="E4205" s="1" t="s">
        <v>636</v>
      </c>
    </row>
    <row r="4206" spans="1:5" x14ac:dyDescent="0.2">
      <c r="A4206" s="1" t="s">
        <v>1276</v>
      </c>
      <c r="B4206" s="1" t="s">
        <v>969</v>
      </c>
      <c r="C4206" s="5">
        <f>DATE(2025, 5, 5) + TIME(12, 57, 25)</f>
        <v>45782.539872685185</v>
      </c>
      <c r="D4206" s="1" t="s">
        <v>320</v>
      </c>
      <c r="E4206" s="1" t="s">
        <v>406</v>
      </c>
    </row>
    <row r="4207" spans="1:5" x14ac:dyDescent="0.2">
      <c r="A4207" s="1" t="s">
        <v>1276</v>
      </c>
      <c r="B4207" s="1" t="s">
        <v>817</v>
      </c>
      <c r="C4207" s="5">
        <f>DATE(2025, 5, 5) + TIME(12, 57, 24)</f>
        <v>45782.539861111109</v>
      </c>
      <c r="D4207" s="1" t="s">
        <v>320</v>
      </c>
      <c r="E4207" s="1" t="s">
        <v>406</v>
      </c>
    </row>
    <row r="4208" spans="1:5" x14ac:dyDescent="0.2">
      <c r="A4208" s="1" t="s">
        <v>1276</v>
      </c>
      <c r="B4208" s="1" t="s">
        <v>866</v>
      </c>
      <c r="C4208" s="5">
        <f>DATE(2025, 5, 5) + TIME(12, 6, 10)</f>
        <v>45782.504282407404</v>
      </c>
      <c r="D4208" s="1" t="s">
        <v>341</v>
      </c>
      <c r="E4208" s="1" t="s">
        <v>573</v>
      </c>
    </row>
    <row r="4209" spans="1:5" x14ac:dyDescent="0.2">
      <c r="A4209" s="1" t="s">
        <v>1276</v>
      </c>
      <c r="B4209" s="1" t="s">
        <v>651</v>
      </c>
      <c r="C4209" s="5">
        <f>DATE(2025, 5, 1) + TIME(16, 17, 44)</f>
        <v>45778.678981481484</v>
      </c>
      <c r="D4209" s="1" t="s">
        <v>506</v>
      </c>
      <c r="E4209" s="1" t="s">
        <v>808</v>
      </c>
    </row>
    <row r="4210" spans="1:5" x14ac:dyDescent="0.2">
      <c r="A4210" s="1" t="s">
        <v>1276</v>
      </c>
      <c r="B4210" s="1" t="s">
        <v>139</v>
      </c>
      <c r="C4210" s="5">
        <f>DATE(2025, 5, 1) + TIME(15, 46, 1)</f>
        <v>45778.656956018516</v>
      </c>
      <c r="D4210" s="1" t="s">
        <v>506</v>
      </c>
      <c r="E4210" s="1" t="s">
        <v>697</v>
      </c>
    </row>
    <row r="4211" spans="1:5" x14ac:dyDescent="0.2">
      <c r="A4211" s="1" t="s">
        <v>1276</v>
      </c>
      <c r="B4211" s="1" t="s">
        <v>866</v>
      </c>
      <c r="C4211" s="5">
        <f>DATE(2025, 5, 1) + TIME(15, 46, 0)</f>
        <v>45778.656944444447</v>
      </c>
      <c r="D4211" s="1" t="s">
        <v>506</v>
      </c>
      <c r="E4211" s="1" t="s">
        <v>697</v>
      </c>
    </row>
    <row r="4212" spans="1:5" x14ac:dyDescent="0.2">
      <c r="A4212" s="1" t="s">
        <v>1276</v>
      </c>
      <c r="B4212" s="1" t="s">
        <v>686</v>
      </c>
      <c r="C4212" s="5">
        <f>DATE(2025, 5, 1) + TIME(15, 46, 0)</f>
        <v>45778.656944444447</v>
      </c>
      <c r="D4212" s="1" t="s">
        <v>506</v>
      </c>
      <c r="E4212" s="1" t="s">
        <v>369</v>
      </c>
    </row>
    <row r="4213" spans="1:5" x14ac:dyDescent="0.2">
      <c r="A4213" s="1" t="s">
        <v>1276</v>
      </c>
      <c r="B4213" s="1" t="s">
        <v>407</v>
      </c>
      <c r="C4213" s="5">
        <f>DATE(2025, 5, 1) + TIME(15, 38, 41)</f>
        <v>45778.651863425926</v>
      </c>
      <c r="D4213" s="1" t="s">
        <v>566</v>
      </c>
      <c r="E4213" s="1" t="s">
        <v>324</v>
      </c>
    </row>
    <row r="4214" spans="1:5" x14ac:dyDescent="0.2">
      <c r="A4214" s="1" t="s">
        <v>1276</v>
      </c>
      <c r="B4214" s="1" t="s">
        <v>504</v>
      </c>
      <c r="C4214" s="5">
        <f>DATE(2025, 5, 1) + TIME(15, 38, 41)</f>
        <v>45778.651863425926</v>
      </c>
      <c r="D4214" s="1" t="s">
        <v>566</v>
      </c>
      <c r="E4214" s="1" t="s">
        <v>324</v>
      </c>
    </row>
    <row r="4215" spans="1:5" x14ac:dyDescent="0.2">
      <c r="A4215" s="1" t="s">
        <v>1276</v>
      </c>
      <c r="B4215" s="1" t="s">
        <v>271</v>
      </c>
      <c r="C4215" s="5">
        <f>DATE(2025, 5, 1) + TIME(15, 23, 35)</f>
        <v>45778.641377314816</v>
      </c>
      <c r="D4215" s="1" t="s">
        <v>320</v>
      </c>
      <c r="E4215" s="1" t="s">
        <v>845</v>
      </c>
    </row>
    <row r="4216" spans="1:5" x14ac:dyDescent="0.2">
      <c r="A4216" s="1" t="s">
        <v>1276</v>
      </c>
      <c r="B4216" s="1" t="s">
        <v>688</v>
      </c>
      <c r="C4216" s="5">
        <f>DATE(2025, 5, 1) + TIME(15, 0, 12)</f>
        <v>45778.625138888892</v>
      </c>
      <c r="D4216" s="1" t="s">
        <v>148</v>
      </c>
      <c r="E4216" s="1" t="s">
        <v>618</v>
      </c>
    </row>
    <row r="4217" spans="1:5" x14ac:dyDescent="0.2">
      <c r="A4217" s="1" t="s">
        <v>1276</v>
      </c>
      <c r="B4217" s="1" t="s">
        <v>562</v>
      </c>
      <c r="C4217" s="5">
        <f>DATE(2025, 5, 1) + TIME(14, 46, 50)</f>
        <v>45778.615856481483</v>
      </c>
      <c r="D4217" s="1" t="s">
        <v>640</v>
      </c>
      <c r="E4217" s="1" t="s">
        <v>667</v>
      </c>
    </row>
    <row r="4218" spans="1:5" x14ac:dyDescent="0.2">
      <c r="A4218" s="1" t="s">
        <v>1276</v>
      </c>
      <c r="B4218" s="1" t="s">
        <v>271</v>
      </c>
      <c r="C4218" s="5">
        <f>DATE(2025, 5, 1) + TIME(14, 45, 27)</f>
        <v>45778.614895833336</v>
      </c>
      <c r="D4218" s="1" t="s">
        <v>563</v>
      </c>
      <c r="E4218" s="1" t="s">
        <v>657</v>
      </c>
    </row>
    <row r="4219" spans="1:5" x14ac:dyDescent="0.2">
      <c r="A4219" s="1" t="s">
        <v>1276</v>
      </c>
      <c r="B4219" s="1" t="s">
        <v>385</v>
      </c>
      <c r="C4219" s="5">
        <f>DATE(2025, 5, 1) + TIME(14, 14, 28)</f>
        <v>45778.59337962963</v>
      </c>
      <c r="D4219" s="1" t="s">
        <v>5</v>
      </c>
      <c r="E4219" s="1" t="s">
        <v>641</v>
      </c>
    </row>
    <row r="4220" spans="1:5" x14ac:dyDescent="0.2">
      <c r="A4220" s="1" t="s">
        <v>1276</v>
      </c>
      <c r="B4220" s="1" t="s">
        <v>271</v>
      </c>
      <c r="C4220" s="5">
        <f>DATE(2025, 5, 1) + TIME(13, 36, 1)</f>
        <v>45778.566678240742</v>
      </c>
      <c r="D4220" s="1" t="s">
        <v>356</v>
      </c>
      <c r="E4220" s="1" t="s">
        <v>511</v>
      </c>
    </row>
    <row r="4221" spans="1:5" x14ac:dyDescent="0.2">
      <c r="A4221" s="1" t="s">
        <v>1276</v>
      </c>
      <c r="B4221" s="1" t="s">
        <v>60</v>
      </c>
      <c r="C4221" s="5">
        <f>DATE(2025, 5, 1) + TIME(11, 58, 20)</f>
        <v>45778.498842592591</v>
      </c>
      <c r="D4221" s="1" t="s">
        <v>640</v>
      </c>
      <c r="E4221" s="1" t="s">
        <v>520</v>
      </c>
    </row>
    <row r="4222" spans="1:5" x14ac:dyDescent="0.2">
      <c r="A4222" s="1" t="s">
        <v>1276</v>
      </c>
      <c r="B4222" s="1" t="s">
        <v>818</v>
      </c>
      <c r="C4222" s="5">
        <f>DATE(2025, 5, 1) + TIME(10, 55, 24)</f>
        <v>45778.455138888887</v>
      </c>
      <c r="D4222" s="1" t="s">
        <v>869</v>
      </c>
      <c r="E4222" s="1" t="s">
        <v>16</v>
      </c>
    </row>
    <row r="4223" spans="1:5" x14ac:dyDescent="0.2">
      <c r="A4223" s="1" t="s">
        <v>1276</v>
      </c>
      <c r="B4223" s="1" t="s">
        <v>118</v>
      </c>
      <c r="C4223" s="5">
        <f>DATE(2025, 5, 1) + TIME(10, 52, 0)</f>
        <v>45778.452777777777</v>
      </c>
      <c r="D4223" s="1" t="s">
        <v>3</v>
      </c>
      <c r="E4223" s="1" t="s">
        <v>211</v>
      </c>
    </row>
    <row r="4224" spans="1:5" x14ac:dyDescent="0.2">
      <c r="A4224" s="1" t="s">
        <v>1276</v>
      </c>
      <c r="B4224" s="1" t="s">
        <v>504</v>
      </c>
      <c r="C4224" s="5">
        <f>DATE(2025, 4, 30) + TIME(15, 24, 1)</f>
        <v>45777.64167824074</v>
      </c>
      <c r="D4224" s="1" t="s">
        <v>566</v>
      </c>
      <c r="E4224" s="1" t="s">
        <v>888</v>
      </c>
    </row>
    <row r="4225" spans="1:5" x14ac:dyDescent="0.2">
      <c r="A4225" s="1" t="s">
        <v>1276</v>
      </c>
      <c r="B4225" s="1" t="s">
        <v>569</v>
      </c>
      <c r="C4225" s="5">
        <f>DATE(2025, 4, 30) + TIME(15, 24, 1)</f>
        <v>45777.64167824074</v>
      </c>
      <c r="D4225" s="1" t="s">
        <v>566</v>
      </c>
      <c r="E4225" s="1" t="s">
        <v>888</v>
      </c>
    </row>
    <row r="4226" spans="1:5" x14ac:dyDescent="0.2">
      <c r="A4226" s="1" t="s">
        <v>1276</v>
      </c>
      <c r="B4226" s="1" t="s">
        <v>456</v>
      </c>
      <c r="C4226" s="5">
        <f>DATE(2025, 4, 30) + TIME(15, 20, 20)</f>
        <v>45777.639120370368</v>
      </c>
      <c r="D4226" s="1" t="s">
        <v>506</v>
      </c>
      <c r="E4226" s="1" t="s">
        <v>158</v>
      </c>
    </row>
    <row r="4227" spans="1:5" x14ac:dyDescent="0.2">
      <c r="A4227" s="1" t="s">
        <v>1276</v>
      </c>
      <c r="B4227" s="1" t="s">
        <v>746</v>
      </c>
      <c r="C4227" s="5">
        <f>DATE(2025, 4, 30) + TIME(14, 4, 15)</f>
        <v>45777.586284722223</v>
      </c>
      <c r="D4227" s="1" t="s">
        <v>65</v>
      </c>
      <c r="E4227" s="1" t="s">
        <v>918</v>
      </c>
    </row>
    <row r="4228" spans="1:5" x14ac:dyDescent="0.2">
      <c r="A4228" s="1" t="s">
        <v>1276</v>
      </c>
      <c r="B4228" s="1" t="s">
        <v>271</v>
      </c>
      <c r="C4228" s="5">
        <f>DATE(2025, 4, 30) + TIME(14, 3, 41)</f>
        <v>45777.5858912037</v>
      </c>
      <c r="D4228" s="1" t="s">
        <v>638</v>
      </c>
      <c r="E4228" s="1" t="s">
        <v>119</v>
      </c>
    </row>
    <row r="4229" spans="1:5" x14ac:dyDescent="0.2">
      <c r="A4229" s="1" t="s">
        <v>1276</v>
      </c>
      <c r="B4229" s="1" t="s">
        <v>562</v>
      </c>
      <c r="C4229" s="5">
        <f>DATE(2025, 4, 30) + TIME(14, 3, 41)</f>
        <v>45777.5858912037</v>
      </c>
      <c r="D4229" s="1" t="s">
        <v>638</v>
      </c>
      <c r="E4229" s="1" t="s">
        <v>119</v>
      </c>
    </row>
    <row r="4230" spans="1:5" x14ac:dyDescent="0.2">
      <c r="A4230" s="1" t="s">
        <v>1276</v>
      </c>
      <c r="B4230" s="1" t="s">
        <v>134</v>
      </c>
      <c r="C4230" s="5">
        <f>DATE(2025, 4, 30) + TIME(13, 46, 42)</f>
        <v>45777.574097222219</v>
      </c>
      <c r="D4230" s="1" t="s">
        <v>64</v>
      </c>
      <c r="E4230" s="1" t="s">
        <v>337</v>
      </c>
    </row>
    <row r="4231" spans="1:5" x14ac:dyDescent="0.2">
      <c r="A4231" s="1" t="s">
        <v>1276</v>
      </c>
      <c r="B4231" s="1" t="s">
        <v>904</v>
      </c>
      <c r="C4231" s="5">
        <f>DATE(2025, 4, 30) + TIME(11, 45, 5)</f>
        <v>45777.489641203705</v>
      </c>
      <c r="D4231" s="1" t="s">
        <v>64</v>
      </c>
      <c r="E4231" s="1" t="s">
        <v>873</v>
      </c>
    </row>
    <row r="4232" spans="1:5" x14ac:dyDescent="0.2">
      <c r="A4232" s="1" t="s">
        <v>1276</v>
      </c>
      <c r="B4232" s="1" t="s">
        <v>562</v>
      </c>
      <c r="C4232" s="5">
        <f>DATE(2025, 4, 30) + TIME(8, 39, 59)</f>
        <v>45777.36109953704</v>
      </c>
      <c r="D4232" s="1" t="s">
        <v>869</v>
      </c>
      <c r="E4232" s="1" t="s">
        <v>639</v>
      </c>
    </row>
    <row r="4233" spans="1:5" x14ac:dyDescent="0.2">
      <c r="A4233" s="1" t="s">
        <v>1276</v>
      </c>
      <c r="B4233" s="1" t="s">
        <v>317</v>
      </c>
      <c r="C4233" s="5">
        <f>DATE(2025, 4, 29) + TIME(16, 18, 29)</f>
        <v>45776.679502314815</v>
      </c>
      <c r="D4233" s="1" t="s">
        <v>216</v>
      </c>
      <c r="E4233" s="1" t="s">
        <v>101</v>
      </c>
    </row>
    <row r="4234" spans="1:5" x14ac:dyDescent="0.2">
      <c r="A4234" s="1" t="s">
        <v>1276</v>
      </c>
      <c r="B4234" s="1" t="s">
        <v>651</v>
      </c>
      <c r="C4234" s="5">
        <f>DATE(2025, 4, 29) + TIME(14, 51, 17)</f>
        <v>45776.618946759256</v>
      </c>
      <c r="D4234" s="1" t="s">
        <v>148</v>
      </c>
      <c r="E4234" s="1" t="s">
        <v>877</v>
      </c>
    </row>
    <row r="4235" spans="1:5" x14ac:dyDescent="0.2">
      <c r="A4235" s="1" t="s">
        <v>1276</v>
      </c>
      <c r="B4235" s="1" t="s">
        <v>464</v>
      </c>
      <c r="C4235" s="5">
        <f>DATE(2025, 4, 29) + TIME(14, 41, 57)</f>
        <v>45776.61246527778</v>
      </c>
      <c r="D4235" s="1" t="s">
        <v>506</v>
      </c>
      <c r="E4235" s="1" t="s">
        <v>867</v>
      </c>
    </row>
    <row r="4236" spans="1:5" x14ac:dyDescent="0.2">
      <c r="A4236" s="1" t="s">
        <v>1276</v>
      </c>
      <c r="B4236" s="1" t="s">
        <v>317</v>
      </c>
      <c r="C4236" s="5">
        <f>DATE(2025, 4, 29) + TIME(11, 25, 17)</f>
        <v>45776.475891203707</v>
      </c>
      <c r="D4236" s="1" t="s">
        <v>126</v>
      </c>
      <c r="E4236" s="1" t="s">
        <v>143</v>
      </c>
    </row>
    <row r="4237" spans="1:5" x14ac:dyDescent="0.2">
      <c r="A4237" s="1" t="s">
        <v>1276</v>
      </c>
      <c r="B4237" s="1" t="s">
        <v>66</v>
      </c>
      <c r="C4237" s="5">
        <f>DATE(2025, 4, 28) + TIME(16, 38, 59)</f>
        <v>45775.693738425929</v>
      </c>
      <c r="D4237" s="1" t="s">
        <v>65</v>
      </c>
      <c r="E4237" s="1" t="s">
        <v>400</v>
      </c>
    </row>
    <row r="4238" spans="1:5" x14ac:dyDescent="0.2">
      <c r="A4238" s="1" t="s">
        <v>1276</v>
      </c>
      <c r="B4238" s="1" t="s">
        <v>569</v>
      </c>
      <c r="C4238" s="5">
        <f>DATE(2025, 4, 28) + TIME(15, 51, 33)</f>
        <v>45775.660798611112</v>
      </c>
      <c r="D4238" s="1" t="s">
        <v>144</v>
      </c>
      <c r="E4238" s="1" t="s">
        <v>946</v>
      </c>
    </row>
    <row r="4239" spans="1:5" x14ac:dyDescent="0.2">
      <c r="A4239" s="1" t="s">
        <v>1276</v>
      </c>
      <c r="B4239" s="1" t="s">
        <v>161</v>
      </c>
      <c r="C4239" s="5">
        <f>DATE(2025, 4, 28) + TIME(15, 51, 33)</f>
        <v>45775.660798611112</v>
      </c>
      <c r="D4239" s="1" t="s">
        <v>144</v>
      </c>
      <c r="E4239" s="1" t="s">
        <v>946</v>
      </c>
    </row>
    <row r="4240" spans="1:5" x14ac:dyDescent="0.2">
      <c r="A4240" s="1" t="s">
        <v>1276</v>
      </c>
      <c r="B4240" s="1" t="s">
        <v>682</v>
      </c>
      <c r="C4240" s="5">
        <f>DATE(2025, 4, 28) + TIME(15, 50, 11)</f>
        <v>45775.659849537034</v>
      </c>
      <c r="D4240" s="1" t="s">
        <v>3</v>
      </c>
      <c r="E4240" s="1" t="s">
        <v>890</v>
      </c>
    </row>
    <row r="4241" spans="1:5" x14ac:dyDescent="0.2">
      <c r="A4241" s="1" t="s">
        <v>1276</v>
      </c>
      <c r="B4241" s="1" t="s">
        <v>818</v>
      </c>
      <c r="C4241" s="5">
        <f>DATE(2025, 4, 28) + TIME(13, 26, 10)</f>
        <v>45775.559837962966</v>
      </c>
      <c r="D4241" s="1" t="s">
        <v>356</v>
      </c>
      <c r="E4241" s="1" t="s">
        <v>299</v>
      </c>
    </row>
    <row r="4242" spans="1:5" x14ac:dyDescent="0.2">
      <c r="A4242" s="1" t="s">
        <v>1276</v>
      </c>
      <c r="B4242" s="1" t="s">
        <v>651</v>
      </c>
      <c r="C4242" s="5">
        <f>DATE(2025, 4, 28) + TIME(13, 8, 34)</f>
        <v>45775.547615740739</v>
      </c>
      <c r="D4242" s="1" t="s">
        <v>869</v>
      </c>
      <c r="E4242" s="1" t="s">
        <v>438</v>
      </c>
    </row>
    <row r="4243" spans="1:5" x14ac:dyDescent="0.2">
      <c r="A4243" s="1" t="s">
        <v>1276</v>
      </c>
      <c r="B4243" s="1" t="s">
        <v>390</v>
      </c>
      <c r="C4243" s="5">
        <f>DATE(2025, 4, 28) + TIME(12, 34, 7)</f>
        <v>45775.523692129631</v>
      </c>
      <c r="D4243" s="1" t="s">
        <v>754</v>
      </c>
      <c r="E4243" s="1" t="s">
        <v>441</v>
      </c>
    </row>
    <row r="4244" spans="1:5" x14ac:dyDescent="0.2">
      <c r="A4244" s="1" t="s">
        <v>1276</v>
      </c>
      <c r="B4244" s="1" t="s">
        <v>974</v>
      </c>
      <c r="C4244" s="5">
        <f>DATE(2025, 4, 28) + TIME(12, 15, 54)</f>
        <v>45775.511041666665</v>
      </c>
      <c r="D4244" s="1" t="s">
        <v>754</v>
      </c>
      <c r="E4244" s="1" t="s">
        <v>75</v>
      </c>
    </row>
    <row r="4245" spans="1:5" x14ac:dyDescent="0.2">
      <c r="A4245" s="1" t="s">
        <v>1276</v>
      </c>
      <c r="B4245" s="1" t="s">
        <v>969</v>
      </c>
      <c r="C4245" s="5">
        <f>DATE(2025, 4, 28) + TIME(11, 34, 52)</f>
        <v>45775.482546296298</v>
      </c>
      <c r="D4245" s="1" t="s">
        <v>3</v>
      </c>
      <c r="E4245" s="1" t="s">
        <v>696</v>
      </c>
    </row>
    <row r="4246" spans="1:5" x14ac:dyDescent="0.2">
      <c r="A4246" s="1" t="s">
        <v>1276</v>
      </c>
      <c r="B4246" s="1" t="s">
        <v>69</v>
      </c>
      <c r="C4246" s="5">
        <f>DATE(2025, 4, 24) + TIME(15, 37, 50)</f>
        <v>45771.651273148149</v>
      </c>
      <c r="D4246" s="1" t="s">
        <v>869</v>
      </c>
      <c r="E4246" s="1" t="s">
        <v>16</v>
      </c>
    </row>
    <row r="4247" spans="1:5" x14ac:dyDescent="0.2">
      <c r="A4247" s="1" t="s">
        <v>1276</v>
      </c>
      <c r="B4247" s="1" t="s">
        <v>837</v>
      </c>
      <c r="C4247" s="5">
        <f>DATE(2025, 4, 24) + TIME(15, 37, 50)</f>
        <v>45771.651273148149</v>
      </c>
      <c r="D4247" s="1" t="s">
        <v>869</v>
      </c>
      <c r="E4247" s="1" t="s">
        <v>16</v>
      </c>
    </row>
    <row r="4248" spans="1:5" x14ac:dyDescent="0.2">
      <c r="A4248" s="1" t="s">
        <v>1276</v>
      </c>
      <c r="B4248" s="1" t="s">
        <v>800</v>
      </c>
      <c r="C4248" s="5">
        <f>DATE(2025, 4, 24) + TIME(15, 37, 50)</f>
        <v>45771.651273148149</v>
      </c>
      <c r="D4248" s="1" t="s">
        <v>869</v>
      </c>
      <c r="E4248" s="1" t="s">
        <v>16</v>
      </c>
    </row>
    <row r="4249" spans="1:5" x14ac:dyDescent="0.2">
      <c r="A4249" s="1" t="s">
        <v>1276</v>
      </c>
      <c r="B4249" s="1" t="s">
        <v>57</v>
      </c>
      <c r="C4249" s="5">
        <f>DATE(2025, 4, 24) + TIME(15, 27, 57)</f>
        <v>45771.644409722219</v>
      </c>
      <c r="D4249" s="1" t="s">
        <v>754</v>
      </c>
      <c r="E4249" s="1" t="s">
        <v>441</v>
      </c>
    </row>
    <row r="4250" spans="1:5" x14ac:dyDescent="0.2">
      <c r="A4250" s="1" t="s">
        <v>1276</v>
      </c>
      <c r="B4250" s="1" t="s">
        <v>388</v>
      </c>
      <c r="C4250" s="5">
        <f>DATE(2025, 4, 24) + TIME(15, 22, 11)</f>
        <v>45771.640405092592</v>
      </c>
      <c r="D4250" s="1" t="s">
        <v>396</v>
      </c>
      <c r="E4250" s="1" t="s">
        <v>652</v>
      </c>
    </row>
    <row r="4251" spans="1:5" x14ac:dyDescent="0.2">
      <c r="A4251" s="1" t="s">
        <v>1276</v>
      </c>
      <c r="B4251" s="1" t="s">
        <v>72</v>
      </c>
      <c r="C4251" s="5">
        <f>DATE(2025, 4, 24) + TIME(14, 46, 26)</f>
        <v>45771.615578703706</v>
      </c>
      <c r="D4251" s="1" t="s">
        <v>320</v>
      </c>
      <c r="E4251" s="1" t="s">
        <v>845</v>
      </c>
    </row>
    <row r="4252" spans="1:5" x14ac:dyDescent="0.2">
      <c r="A4252" s="1" t="s">
        <v>1276</v>
      </c>
      <c r="B4252" s="1" t="s">
        <v>388</v>
      </c>
      <c r="C4252" s="5">
        <f>DATE(2025, 4, 24) + TIME(14, 10, 50)</f>
        <v>45771.590856481482</v>
      </c>
      <c r="D4252" s="1" t="s">
        <v>506</v>
      </c>
      <c r="E4252" s="1" t="s">
        <v>867</v>
      </c>
    </row>
    <row r="4253" spans="1:5" x14ac:dyDescent="0.2">
      <c r="A4253" s="1" t="s">
        <v>1276</v>
      </c>
      <c r="B4253" s="1" t="s">
        <v>177</v>
      </c>
      <c r="C4253" s="5">
        <f>DATE(2025, 4, 24) + TIME(14, 10, 50)</f>
        <v>45771.590856481482</v>
      </c>
      <c r="D4253" s="1" t="s">
        <v>506</v>
      </c>
      <c r="E4253" s="1" t="s">
        <v>867</v>
      </c>
    </row>
    <row r="4254" spans="1:5" x14ac:dyDescent="0.2">
      <c r="A4254" s="1" t="s">
        <v>1276</v>
      </c>
      <c r="B4254" s="1" t="s">
        <v>42</v>
      </c>
      <c r="C4254" s="5">
        <f>DATE(2025, 4, 24) + TIME(11, 21, 8)</f>
        <v>45771.473009259258</v>
      </c>
      <c r="D4254" s="1" t="s">
        <v>640</v>
      </c>
      <c r="E4254" s="1" t="s">
        <v>70</v>
      </c>
    </row>
    <row r="4255" spans="1:5" x14ac:dyDescent="0.2">
      <c r="A4255" s="1" t="s">
        <v>1276</v>
      </c>
      <c r="B4255" s="1" t="s">
        <v>72</v>
      </c>
      <c r="C4255" s="5">
        <f>DATE(2025, 4, 24) + TIME(11, 20, 6)</f>
        <v>45771.472291666665</v>
      </c>
      <c r="D4255" s="1" t="s">
        <v>3</v>
      </c>
      <c r="E4255" s="1" t="s">
        <v>684</v>
      </c>
    </row>
    <row r="4256" spans="1:5" x14ac:dyDescent="0.2">
      <c r="A4256" s="1" t="s">
        <v>1276</v>
      </c>
      <c r="B4256" s="1" t="s">
        <v>118</v>
      </c>
      <c r="C4256" s="5">
        <f>DATE(2025, 4, 24) + TIME(10, 55, 44)</f>
        <v>45771.455370370371</v>
      </c>
      <c r="D4256" s="1" t="s">
        <v>3</v>
      </c>
      <c r="E4256" s="1" t="s">
        <v>211</v>
      </c>
    </row>
    <row r="4257" spans="1:5" x14ac:dyDescent="0.2">
      <c r="A4257" s="1" t="s">
        <v>1276</v>
      </c>
      <c r="B4257" s="1" t="s">
        <v>271</v>
      </c>
      <c r="C4257" s="5">
        <f>DATE(2025, 4, 23) + TIME(17, 0, 27)</f>
        <v>45770.708645833336</v>
      </c>
      <c r="D4257" s="1" t="s">
        <v>269</v>
      </c>
      <c r="E4257" s="1" t="s">
        <v>511</v>
      </c>
    </row>
    <row r="4258" spans="1:5" x14ac:dyDescent="0.2">
      <c r="A4258" s="1" t="s">
        <v>1276</v>
      </c>
      <c r="B4258" s="1" t="s">
        <v>864</v>
      </c>
      <c r="C4258" s="5">
        <f>DATE(2025, 4, 23) + TIME(15, 59, 27)</f>
        <v>45770.666284722225</v>
      </c>
      <c r="D4258" s="1" t="s">
        <v>269</v>
      </c>
      <c r="E4258" s="1" t="s">
        <v>511</v>
      </c>
    </row>
    <row r="4259" spans="1:5" x14ac:dyDescent="0.2">
      <c r="A4259" s="1" t="s">
        <v>1276</v>
      </c>
      <c r="B4259" s="1" t="s">
        <v>319</v>
      </c>
      <c r="C4259" s="5">
        <f>DATE(2025, 4, 23) + TIME(15, 45, 41)</f>
        <v>45770.656724537039</v>
      </c>
      <c r="D4259" s="1" t="s">
        <v>638</v>
      </c>
      <c r="E4259" s="1" t="s">
        <v>903</v>
      </c>
    </row>
    <row r="4260" spans="1:5" x14ac:dyDescent="0.2">
      <c r="A4260" s="1" t="s">
        <v>1276</v>
      </c>
      <c r="B4260" s="1" t="s">
        <v>651</v>
      </c>
      <c r="C4260" s="5">
        <f>DATE(2025, 4, 23) + TIME(15, 39, 8)</f>
        <v>45770.652175925927</v>
      </c>
      <c r="D4260" s="1" t="s">
        <v>506</v>
      </c>
      <c r="E4260" s="1" t="s">
        <v>702</v>
      </c>
    </row>
    <row r="4261" spans="1:5" x14ac:dyDescent="0.2">
      <c r="A4261" s="1" t="s">
        <v>1276</v>
      </c>
      <c r="B4261" s="1" t="s">
        <v>394</v>
      </c>
      <c r="C4261" s="5">
        <f>DATE(2025, 4, 23) + TIME(14, 35, 47)</f>
        <v>45770.608182870368</v>
      </c>
      <c r="D4261" s="1" t="s">
        <v>64</v>
      </c>
      <c r="E4261" s="1" t="s">
        <v>11</v>
      </c>
    </row>
    <row r="4262" spans="1:5" x14ac:dyDescent="0.2">
      <c r="A4262" s="1" t="s">
        <v>1276</v>
      </c>
      <c r="B4262" s="1" t="s">
        <v>54</v>
      </c>
      <c r="C4262" s="5">
        <f>DATE(2025, 4, 23) + TIME(14, 20, 48)</f>
        <v>45770.597777777781</v>
      </c>
      <c r="D4262" s="1" t="s">
        <v>64</v>
      </c>
      <c r="E4262" s="1" t="s">
        <v>233</v>
      </c>
    </row>
    <row r="4263" spans="1:5" x14ac:dyDescent="0.2">
      <c r="A4263" s="1" t="s">
        <v>1276</v>
      </c>
      <c r="B4263" s="1" t="s">
        <v>496</v>
      </c>
      <c r="C4263" s="5">
        <f>DATE(2025, 4, 23) + TIME(13, 6, 55)</f>
        <v>45770.546469907407</v>
      </c>
      <c r="D4263" s="1" t="s">
        <v>459</v>
      </c>
      <c r="E4263" s="1" t="s">
        <v>19</v>
      </c>
    </row>
    <row r="4264" spans="1:5" x14ac:dyDescent="0.2">
      <c r="A4264" s="1" t="s">
        <v>1276</v>
      </c>
      <c r="B4264" s="1" t="s">
        <v>906</v>
      </c>
      <c r="C4264" s="5">
        <f>DATE(2025, 4, 23) + TIME(12, 37, 5)</f>
        <v>45770.525752314818</v>
      </c>
      <c r="D4264" s="1" t="s">
        <v>216</v>
      </c>
      <c r="E4264" s="1" t="s">
        <v>321</v>
      </c>
    </row>
    <row r="4265" spans="1:5" x14ac:dyDescent="0.2">
      <c r="A4265" s="1" t="s">
        <v>1276</v>
      </c>
      <c r="B4265" s="1" t="s">
        <v>862</v>
      </c>
      <c r="C4265" s="5">
        <f>DATE(2025, 4, 23) + TIME(12, 20, 26)</f>
        <v>45770.514189814814</v>
      </c>
      <c r="D4265" s="1" t="s">
        <v>459</v>
      </c>
      <c r="E4265" s="1" t="s">
        <v>536</v>
      </c>
    </row>
    <row r="4266" spans="1:5" x14ac:dyDescent="0.2">
      <c r="A4266" s="1" t="s">
        <v>1276</v>
      </c>
      <c r="B4266" s="1" t="s">
        <v>862</v>
      </c>
      <c r="C4266" s="5">
        <f>DATE(2025, 4, 23) + TIME(12, 20, 25)</f>
        <v>45770.514178240737</v>
      </c>
      <c r="D4266" s="1" t="s">
        <v>459</v>
      </c>
      <c r="E4266" s="1" t="s">
        <v>536</v>
      </c>
    </row>
    <row r="4267" spans="1:5" x14ac:dyDescent="0.2">
      <c r="A4267" s="1" t="s">
        <v>1276</v>
      </c>
      <c r="B4267" s="1" t="s">
        <v>927</v>
      </c>
      <c r="C4267" s="5">
        <f>DATE(2025, 4, 22) + TIME(20, 32, 46)</f>
        <v>45769.856087962966</v>
      </c>
      <c r="D4267" s="1" t="s">
        <v>459</v>
      </c>
      <c r="E4267" s="1" t="s">
        <v>522</v>
      </c>
    </row>
    <row r="4268" spans="1:5" ht="16" x14ac:dyDescent="0.2">
      <c r="A4268" s="1" t="s">
        <v>1276</v>
      </c>
      <c r="B4268" s="1" t="s">
        <v>866</v>
      </c>
      <c r="C4268" s="5">
        <f>DATE(2025, 4, 22) + TIME(15, 14, 9)</f>
        <v>45769.634826388887</v>
      </c>
      <c r="D4268" s="1" t="s">
        <v>754</v>
      </c>
      <c r="E4268" s="2" t="s">
        <v>87</v>
      </c>
    </row>
    <row r="4269" spans="1:5" ht="16" x14ac:dyDescent="0.2">
      <c r="A4269" s="1" t="s">
        <v>1276</v>
      </c>
      <c r="B4269" s="1" t="s">
        <v>54</v>
      </c>
      <c r="C4269" s="5">
        <f>DATE(2025, 4, 22) + TIME(15, 8, 9)</f>
        <v>45769.630659722221</v>
      </c>
      <c r="D4269" s="1" t="s">
        <v>754</v>
      </c>
      <c r="E4269" s="2" t="s">
        <v>87</v>
      </c>
    </row>
    <row r="4270" spans="1:5" x14ac:dyDescent="0.2">
      <c r="A4270" s="1" t="s">
        <v>1276</v>
      </c>
      <c r="B4270" s="1" t="s">
        <v>271</v>
      </c>
      <c r="C4270" s="5">
        <f>DATE(2025, 4, 22) + TIME(13, 55, 29)</f>
        <v>45769.580196759256</v>
      </c>
      <c r="D4270" s="1" t="s">
        <v>64</v>
      </c>
      <c r="E4270" s="1" t="s">
        <v>433</v>
      </c>
    </row>
    <row r="4271" spans="1:5" x14ac:dyDescent="0.2">
      <c r="A4271" s="1" t="s">
        <v>1276</v>
      </c>
      <c r="B4271" s="1" t="s">
        <v>376</v>
      </c>
      <c r="C4271" s="5">
        <f>DATE(2025, 4, 22) + TIME(10, 42, 29)</f>
        <v>45769.446168981478</v>
      </c>
      <c r="D4271" s="1" t="s">
        <v>126</v>
      </c>
      <c r="E4271" s="1" t="s">
        <v>143</v>
      </c>
    </row>
    <row r="4272" spans="1:5" x14ac:dyDescent="0.2">
      <c r="A4272" s="1" t="s">
        <v>1276</v>
      </c>
      <c r="B4272" s="1" t="s">
        <v>392</v>
      </c>
      <c r="C4272" s="5">
        <f>DATE(2025, 4, 22) + TIME(10, 42, 29)</f>
        <v>45769.446168981478</v>
      </c>
      <c r="D4272" s="1" t="s">
        <v>126</v>
      </c>
      <c r="E4272" s="1" t="s">
        <v>143</v>
      </c>
    </row>
    <row r="4273" spans="1:5" x14ac:dyDescent="0.2">
      <c r="A4273" s="1" t="s">
        <v>1276</v>
      </c>
      <c r="B4273" s="1" t="s">
        <v>425</v>
      </c>
      <c r="C4273" s="5">
        <f>DATE(2025, 4, 22) + TIME(10, 42, 28)</f>
        <v>45769.446157407408</v>
      </c>
      <c r="D4273" s="1" t="s">
        <v>126</v>
      </c>
      <c r="E4273" s="1" t="s">
        <v>143</v>
      </c>
    </row>
    <row r="4274" spans="1:5" x14ac:dyDescent="0.2">
      <c r="A4274" s="1" t="s">
        <v>1276</v>
      </c>
      <c r="B4274" s="1" t="s">
        <v>209</v>
      </c>
      <c r="C4274" s="5">
        <f>DATE(2025, 4, 22) + TIME(10, 42, 28)</f>
        <v>45769.446157407408</v>
      </c>
      <c r="D4274" s="1" t="s">
        <v>126</v>
      </c>
      <c r="E4274" s="1" t="s">
        <v>143</v>
      </c>
    </row>
    <row r="4275" spans="1:5" x14ac:dyDescent="0.2">
      <c r="A4275" s="1" t="s">
        <v>1276</v>
      </c>
      <c r="B4275" s="1" t="s">
        <v>562</v>
      </c>
      <c r="C4275" s="5">
        <f>DATE(2025, 4, 22) + TIME(10, 3, 2)</f>
        <v>45769.418773148151</v>
      </c>
      <c r="D4275" s="1" t="s">
        <v>869</v>
      </c>
      <c r="E4275" s="1" t="s">
        <v>830</v>
      </c>
    </row>
    <row r="4276" spans="1:5" x14ac:dyDescent="0.2">
      <c r="A4276" s="1" t="s">
        <v>1276</v>
      </c>
      <c r="B4276" s="1" t="s">
        <v>271</v>
      </c>
      <c r="C4276" s="5">
        <f>DATE(2025, 4, 21) + TIME(15, 56, 5)</f>
        <v>45768.663946759261</v>
      </c>
      <c r="D4276" s="1" t="s">
        <v>64</v>
      </c>
      <c r="E4276" s="1" t="s">
        <v>727</v>
      </c>
    </row>
    <row r="4277" spans="1:5" x14ac:dyDescent="0.2">
      <c r="A4277" s="1" t="s">
        <v>1276</v>
      </c>
      <c r="B4277" s="1" t="s">
        <v>663</v>
      </c>
      <c r="C4277" s="5">
        <f>DATE(2025, 4, 21) + TIME(15, 48, 25)</f>
        <v>45768.658622685187</v>
      </c>
      <c r="D4277" s="1" t="s">
        <v>64</v>
      </c>
      <c r="E4277" s="1" t="s">
        <v>308</v>
      </c>
    </row>
    <row r="4278" spans="1:5" x14ac:dyDescent="0.2">
      <c r="A4278" s="1" t="s">
        <v>1276</v>
      </c>
      <c r="B4278" s="1" t="s">
        <v>4</v>
      </c>
      <c r="C4278" s="5">
        <f>DATE(2025, 4, 21) + TIME(15, 48, 25)</f>
        <v>45768.658622685187</v>
      </c>
      <c r="D4278" s="1" t="s">
        <v>64</v>
      </c>
      <c r="E4278" s="1" t="s">
        <v>308</v>
      </c>
    </row>
    <row r="4279" spans="1:5" x14ac:dyDescent="0.2">
      <c r="A4279" s="1" t="s">
        <v>1276</v>
      </c>
      <c r="B4279" s="1" t="s">
        <v>328</v>
      </c>
      <c r="C4279" s="5">
        <f>DATE(2025, 4, 21) + TIME(15, 48, 25)</f>
        <v>45768.658622685187</v>
      </c>
      <c r="D4279" s="1" t="s">
        <v>64</v>
      </c>
      <c r="E4279" s="1" t="s">
        <v>308</v>
      </c>
    </row>
    <row r="4280" spans="1:5" x14ac:dyDescent="0.2">
      <c r="A4280" s="1" t="s">
        <v>1276</v>
      </c>
      <c r="B4280" s="1" t="s">
        <v>794</v>
      </c>
      <c r="C4280" s="5">
        <f>DATE(2025, 4, 21) + TIME(15, 34, 2)</f>
        <v>45768.648634259262</v>
      </c>
      <c r="D4280" s="1" t="s">
        <v>144</v>
      </c>
      <c r="E4280" s="1" t="s">
        <v>806</v>
      </c>
    </row>
    <row r="4281" spans="1:5" x14ac:dyDescent="0.2">
      <c r="A4281" s="1" t="s">
        <v>1276</v>
      </c>
      <c r="B4281" s="1" t="s">
        <v>63</v>
      </c>
      <c r="C4281" s="5">
        <f>DATE(2025, 4, 21) + TIME(14, 30, 54)</f>
        <v>45768.604791666665</v>
      </c>
      <c r="D4281" s="1" t="s">
        <v>754</v>
      </c>
      <c r="E4281" s="1" t="s">
        <v>870</v>
      </c>
    </row>
    <row r="4282" spans="1:5" x14ac:dyDescent="0.2">
      <c r="A4282" s="1" t="s">
        <v>1276</v>
      </c>
      <c r="B4282" s="1" t="s">
        <v>54</v>
      </c>
      <c r="C4282" s="5">
        <f>DATE(2025, 4, 21) + TIME(13, 41, 11)</f>
        <v>45768.5702662037</v>
      </c>
      <c r="D4282" s="1" t="s">
        <v>64</v>
      </c>
      <c r="E4282" s="1" t="s">
        <v>395</v>
      </c>
    </row>
    <row r="4283" spans="1:5" x14ac:dyDescent="0.2">
      <c r="A4283" s="1" t="s">
        <v>1276</v>
      </c>
      <c r="B4283" s="1" t="s">
        <v>688</v>
      </c>
      <c r="C4283" s="5">
        <f>DATE(2025, 4, 21) + TIME(12, 48, 17)</f>
        <v>45768.533530092594</v>
      </c>
      <c r="D4283" s="1" t="s">
        <v>356</v>
      </c>
      <c r="E4283" s="1" t="s">
        <v>210</v>
      </c>
    </row>
    <row r="4284" spans="1:5" x14ac:dyDescent="0.2">
      <c r="A4284" s="1" t="s">
        <v>1276</v>
      </c>
      <c r="B4284" s="1" t="s">
        <v>58</v>
      </c>
      <c r="C4284" s="5">
        <f>DATE(2025, 4, 21) + TIME(12, 30, 21)</f>
        <v>45768.52107638889</v>
      </c>
      <c r="D4284" s="1" t="s">
        <v>871</v>
      </c>
      <c r="E4284" s="1" t="s">
        <v>414</v>
      </c>
    </row>
    <row r="4285" spans="1:5" x14ac:dyDescent="0.2">
      <c r="A4285" s="1" t="s">
        <v>1276</v>
      </c>
      <c r="B4285" s="1" t="s">
        <v>271</v>
      </c>
      <c r="C4285" s="5">
        <f>DATE(2025, 4, 21) + TIME(12, 7, 11)</f>
        <v>45768.504988425928</v>
      </c>
      <c r="D4285" s="1" t="s">
        <v>640</v>
      </c>
      <c r="E4285" s="1" t="s">
        <v>70</v>
      </c>
    </row>
    <row r="4286" spans="1:5" x14ac:dyDescent="0.2">
      <c r="A4286" s="1" t="s">
        <v>1276</v>
      </c>
      <c r="B4286" s="1" t="s">
        <v>818</v>
      </c>
      <c r="C4286" s="5">
        <f>DATE(2025, 4, 21) + TIME(10, 9, 27)</f>
        <v>45768.423229166663</v>
      </c>
      <c r="D4286" s="1" t="s">
        <v>65</v>
      </c>
      <c r="E4286" s="1" t="s">
        <v>404</v>
      </c>
    </row>
    <row r="4287" spans="1:5" x14ac:dyDescent="0.2">
      <c r="A4287" s="1" t="s">
        <v>1276</v>
      </c>
      <c r="B4287" s="1" t="s">
        <v>794</v>
      </c>
      <c r="C4287" s="5">
        <f>DATE(2025, 4, 17) + TIME(16, 18, 15)</f>
        <v>45764.679340277777</v>
      </c>
      <c r="D4287" s="1" t="s">
        <v>566</v>
      </c>
      <c r="E4287" s="1" t="s">
        <v>324</v>
      </c>
    </row>
    <row r="4288" spans="1:5" x14ac:dyDescent="0.2">
      <c r="A4288" s="1" t="s">
        <v>1276</v>
      </c>
      <c r="B4288" s="1" t="s">
        <v>390</v>
      </c>
      <c r="C4288" s="5">
        <f>DATE(2025, 4, 17) + TIME(16, 18, 14)</f>
        <v>45764.679328703707</v>
      </c>
      <c r="D4288" s="1" t="s">
        <v>566</v>
      </c>
      <c r="E4288" s="1" t="s">
        <v>324</v>
      </c>
    </row>
    <row r="4289" spans="1:5" x14ac:dyDescent="0.2">
      <c r="A4289" s="1" t="s">
        <v>1276</v>
      </c>
      <c r="B4289" s="1" t="s">
        <v>386</v>
      </c>
      <c r="C4289" s="5">
        <f>DATE(2025, 4, 17) + TIME(16, 18, 14)</f>
        <v>45764.679328703707</v>
      </c>
      <c r="D4289" s="1" t="s">
        <v>566</v>
      </c>
      <c r="E4289" s="1" t="s">
        <v>324</v>
      </c>
    </row>
    <row r="4290" spans="1:5" x14ac:dyDescent="0.2">
      <c r="A4290" s="1" t="s">
        <v>1276</v>
      </c>
      <c r="B4290" s="1" t="s">
        <v>290</v>
      </c>
      <c r="C4290" s="5">
        <f>DATE(2025, 4, 17) + TIME(15, 18, 32)</f>
        <v>45764.637870370374</v>
      </c>
      <c r="D4290" s="1" t="s">
        <v>255</v>
      </c>
      <c r="E4290" s="1" t="s">
        <v>510</v>
      </c>
    </row>
    <row r="4291" spans="1:5" x14ac:dyDescent="0.2">
      <c r="A4291" s="1" t="s">
        <v>1276</v>
      </c>
      <c r="B4291" s="1" t="s">
        <v>271</v>
      </c>
      <c r="C4291" s="5">
        <f>DATE(2025, 4, 17) + TIME(14, 25, 12)</f>
        <v>45764.60083333333</v>
      </c>
      <c r="D4291" s="1" t="s">
        <v>640</v>
      </c>
      <c r="E4291" s="1" t="s">
        <v>667</v>
      </c>
    </row>
    <row r="4292" spans="1:5" x14ac:dyDescent="0.2">
      <c r="A4292" s="1" t="s">
        <v>1276</v>
      </c>
      <c r="B4292" s="1" t="s">
        <v>932</v>
      </c>
      <c r="C4292" s="5">
        <f>DATE(2025, 4, 17) + TIME(12, 44, 6)</f>
        <v>45764.530624999999</v>
      </c>
      <c r="D4292" s="1" t="s">
        <v>255</v>
      </c>
      <c r="E4292" s="1" t="s">
        <v>867</v>
      </c>
    </row>
    <row r="4293" spans="1:5" x14ac:dyDescent="0.2">
      <c r="A4293" s="1" t="s">
        <v>1276</v>
      </c>
      <c r="B4293" s="1" t="s">
        <v>54</v>
      </c>
      <c r="C4293" s="5">
        <f>DATE(2025, 4, 17) + TIME(12, 44, 6)</f>
        <v>45764.530624999999</v>
      </c>
      <c r="D4293" s="1" t="s">
        <v>255</v>
      </c>
      <c r="E4293" s="1" t="s">
        <v>867</v>
      </c>
    </row>
    <row r="4294" spans="1:5" x14ac:dyDescent="0.2">
      <c r="A4294" s="1" t="s">
        <v>1276</v>
      </c>
      <c r="B4294" s="1" t="s">
        <v>54</v>
      </c>
      <c r="C4294" s="5">
        <f>DATE(2025, 4, 17) + TIME(12, 14, 0)</f>
        <v>45764.509722222225</v>
      </c>
      <c r="D4294" s="1" t="s">
        <v>320</v>
      </c>
      <c r="E4294" s="1" t="s">
        <v>2</v>
      </c>
    </row>
    <row r="4295" spans="1:5" x14ac:dyDescent="0.2">
      <c r="A4295" s="1" t="s">
        <v>1276</v>
      </c>
      <c r="B4295" s="1" t="s">
        <v>72</v>
      </c>
      <c r="C4295" s="5">
        <f>DATE(2025, 4, 17) + TIME(11, 28, 51)</f>
        <v>45764.478368055556</v>
      </c>
      <c r="D4295" s="1" t="s">
        <v>3</v>
      </c>
      <c r="E4295" s="1" t="s">
        <v>684</v>
      </c>
    </row>
    <row r="4296" spans="1:5" x14ac:dyDescent="0.2">
      <c r="A4296" s="1" t="s">
        <v>1276</v>
      </c>
      <c r="B4296" s="1" t="s">
        <v>848</v>
      </c>
      <c r="C4296" s="5">
        <f>DATE(2025, 4, 16) + TIME(16, 22, 50)</f>
        <v>45763.682523148149</v>
      </c>
      <c r="D4296" s="1" t="s">
        <v>566</v>
      </c>
      <c r="E4296" s="1" t="s">
        <v>888</v>
      </c>
    </row>
    <row r="4297" spans="1:5" x14ac:dyDescent="0.2">
      <c r="A4297" s="1" t="s">
        <v>1276</v>
      </c>
      <c r="B4297" s="1" t="s">
        <v>976</v>
      </c>
      <c r="C4297" s="5">
        <f>DATE(2025, 4, 16) + TIME(16, 22, 50)</f>
        <v>45763.682523148149</v>
      </c>
      <c r="D4297" s="1" t="s">
        <v>566</v>
      </c>
      <c r="E4297" s="1" t="s">
        <v>888</v>
      </c>
    </row>
    <row r="4298" spans="1:5" x14ac:dyDescent="0.2">
      <c r="A4298" s="1" t="s">
        <v>1276</v>
      </c>
      <c r="B4298" s="1" t="s">
        <v>390</v>
      </c>
      <c r="C4298" s="5">
        <f>DATE(2025, 4, 16) + TIME(16, 22, 50)</f>
        <v>45763.682523148149</v>
      </c>
      <c r="D4298" s="1" t="s">
        <v>566</v>
      </c>
      <c r="E4298" s="1" t="s">
        <v>888</v>
      </c>
    </row>
    <row r="4299" spans="1:5" x14ac:dyDescent="0.2">
      <c r="A4299" s="1" t="s">
        <v>1276</v>
      </c>
      <c r="B4299" s="1" t="s">
        <v>866</v>
      </c>
      <c r="C4299" s="5">
        <f>DATE(2025, 4, 16) + TIME(15, 51, 39)</f>
        <v>45763.660868055558</v>
      </c>
      <c r="D4299" s="1" t="s">
        <v>638</v>
      </c>
      <c r="E4299" s="1" t="s">
        <v>52</v>
      </c>
    </row>
    <row r="4300" spans="1:5" x14ac:dyDescent="0.2">
      <c r="A4300" s="1" t="s">
        <v>1276</v>
      </c>
      <c r="B4300" s="1" t="s">
        <v>977</v>
      </c>
      <c r="C4300" s="5">
        <f>DATE(2025, 4, 16) + TIME(15, 23, 53)</f>
        <v>45763.641585648147</v>
      </c>
      <c r="D4300" s="1" t="s">
        <v>638</v>
      </c>
      <c r="E4300" s="1" t="s">
        <v>198</v>
      </c>
    </row>
    <row r="4301" spans="1:5" x14ac:dyDescent="0.2">
      <c r="A4301" s="1" t="s">
        <v>1276</v>
      </c>
      <c r="B4301" s="1" t="s">
        <v>562</v>
      </c>
      <c r="C4301" s="5">
        <f>DATE(2025, 4, 16) + TIME(14, 38, 49)</f>
        <v>45763.610289351855</v>
      </c>
      <c r="D4301" s="1" t="s">
        <v>269</v>
      </c>
      <c r="E4301" s="1" t="s">
        <v>781</v>
      </c>
    </row>
    <row r="4302" spans="1:5" x14ac:dyDescent="0.2">
      <c r="A4302" s="1" t="s">
        <v>1276</v>
      </c>
      <c r="B4302" s="1" t="s">
        <v>183</v>
      </c>
      <c r="C4302" s="5">
        <f>DATE(2025, 4, 16) + TIME(14, 7, 25)</f>
        <v>45763.588483796295</v>
      </c>
      <c r="D4302" s="1" t="s">
        <v>869</v>
      </c>
      <c r="E4302" s="1" t="s">
        <v>243</v>
      </c>
    </row>
    <row r="4303" spans="1:5" x14ac:dyDescent="0.2">
      <c r="A4303" s="1" t="s">
        <v>1276</v>
      </c>
      <c r="B4303" s="1" t="s">
        <v>978</v>
      </c>
      <c r="C4303" s="5">
        <f>DATE(2025, 4, 16) + TIME(14, 7, 24)</f>
        <v>45763.588472222225</v>
      </c>
      <c r="D4303" s="1" t="s">
        <v>869</v>
      </c>
      <c r="E4303" s="1" t="s">
        <v>243</v>
      </c>
    </row>
    <row r="4304" spans="1:5" x14ac:dyDescent="0.2">
      <c r="A4304" s="1" t="s">
        <v>1276</v>
      </c>
      <c r="B4304" s="1" t="s">
        <v>979</v>
      </c>
      <c r="C4304" s="5">
        <f>DATE(2025, 4, 16) + TIME(13, 38, 0)</f>
        <v>45763.568055555559</v>
      </c>
      <c r="D4304" s="1" t="s">
        <v>3</v>
      </c>
      <c r="E4304" s="1" t="s">
        <v>890</v>
      </c>
    </row>
    <row r="4305" spans="1:5" x14ac:dyDescent="0.2">
      <c r="A4305" s="1" t="s">
        <v>1276</v>
      </c>
      <c r="B4305" s="1" t="s">
        <v>22</v>
      </c>
      <c r="C4305" s="5">
        <f>DATE(2025, 4, 16) + TIME(13, 28, 46)</f>
        <v>45763.561643518522</v>
      </c>
      <c r="D4305" s="1" t="s">
        <v>64</v>
      </c>
      <c r="E4305" s="1" t="s">
        <v>279</v>
      </c>
    </row>
    <row r="4306" spans="1:5" x14ac:dyDescent="0.2">
      <c r="A4306" s="1" t="s">
        <v>1276</v>
      </c>
      <c r="B4306" s="1" t="s">
        <v>24</v>
      </c>
      <c r="C4306" s="5">
        <f>DATE(2025, 4, 16) + TIME(13, 28, 45)</f>
        <v>45763.561631944445</v>
      </c>
      <c r="D4306" s="1" t="s">
        <v>64</v>
      </c>
      <c r="E4306" s="1" t="s">
        <v>279</v>
      </c>
    </row>
    <row r="4307" spans="1:5" x14ac:dyDescent="0.2">
      <c r="A4307" s="1" t="s">
        <v>1276</v>
      </c>
      <c r="B4307" s="1" t="s">
        <v>390</v>
      </c>
      <c r="C4307" s="5">
        <f>DATE(2025, 4, 16) + TIME(12, 6, 12)</f>
        <v>45763.504305555558</v>
      </c>
      <c r="D4307" s="1" t="s">
        <v>64</v>
      </c>
      <c r="E4307" s="1" t="s">
        <v>873</v>
      </c>
    </row>
    <row r="4308" spans="1:5" x14ac:dyDescent="0.2">
      <c r="A4308" s="1" t="s">
        <v>1276</v>
      </c>
      <c r="B4308" s="1" t="s">
        <v>163</v>
      </c>
      <c r="C4308" s="5">
        <f>DATE(2025, 4, 16) + TIME(11, 58, 47)</f>
        <v>45763.499155092592</v>
      </c>
      <c r="D4308" s="1" t="s">
        <v>459</v>
      </c>
      <c r="E4308" s="1" t="s">
        <v>980</v>
      </c>
    </row>
    <row r="4309" spans="1:5" x14ac:dyDescent="0.2">
      <c r="A4309" s="1" t="s">
        <v>1276</v>
      </c>
      <c r="B4309" s="1" t="s">
        <v>688</v>
      </c>
      <c r="C4309" s="5">
        <f>DATE(2025, 4, 16) + TIME(7, 43, 40)</f>
        <v>45763.32199074074</v>
      </c>
      <c r="D4309" s="1" t="s">
        <v>148</v>
      </c>
      <c r="E4309" s="1" t="s">
        <v>621</v>
      </c>
    </row>
    <row r="4310" spans="1:5" x14ac:dyDescent="0.2">
      <c r="A4310" s="1" t="s">
        <v>1276</v>
      </c>
      <c r="B4310" s="1" t="s">
        <v>562</v>
      </c>
      <c r="C4310" s="5">
        <f>DATE(2025, 4, 15) + TIME(13, 37, 54)</f>
        <v>45762.567986111113</v>
      </c>
      <c r="D4310" s="1" t="s">
        <v>869</v>
      </c>
      <c r="E4310" s="1" t="s">
        <v>327</v>
      </c>
    </row>
    <row r="4311" spans="1:5" x14ac:dyDescent="0.2">
      <c r="A4311" s="1" t="s">
        <v>1276</v>
      </c>
      <c r="B4311" s="1" t="s">
        <v>58</v>
      </c>
      <c r="C4311" s="5">
        <f>DATE(2025, 4, 15) + TIME(10, 33, 14)</f>
        <v>45762.439745370371</v>
      </c>
      <c r="D4311" s="1" t="s">
        <v>871</v>
      </c>
      <c r="E4311" s="1" t="s">
        <v>149</v>
      </c>
    </row>
    <row r="4312" spans="1:5" x14ac:dyDescent="0.2">
      <c r="A4312" s="1" t="s">
        <v>1276</v>
      </c>
      <c r="B4312" s="1" t="s">
        <v>390</v>
      </c>
      <c r="C4312" s="5">
        <f>DATE(2025, 4, 15) + TIME(8, 55, 4)</f>
        <v>45762.371574074074</v>
      </c>
      <c r="D4312" s="1" t="s">
        <v>65</v>
      </c>
      <c r="E4312" s="1" t="s">
        <v>152</v>
      </c>
    </row>
    <row r="4313" spans="1:5" x14ac:dyDescent="0.2">
      <c r="A4313" s="1" t="s">
        <v>1276</v>
      </c>
      <c r="B4313" s="1" t="s">
        <v>271</v>
      </c>
      <c r="C4313" s="5">
        <f>DATE(2025, 4, 14) + TIME(15, 1, 25)</f>
        <v>45761.625983796293</v>
      </c>
      <c r="D4313" s="1" t="s">
        <v>563</v>
      </c>
      <c r="E4313" s="1" t="s">
        <v>878</v>
      </c>
    </row>
    <row r="4314" spans="1:5" x14ac:dyDescent="0.2">
      <c r="A4314" s="1" t="s">
        <v>1276</v>
      </c>
      <c r="B4314" s="1" t="s">
        <v>982</v>
      </c>
      <c r="C4314" s="5">
        <f>DATE(2025, 4, 14) + TIME(12, 43, 48)</f>
        <v>45761.530416666668</v>
      </c>
      <c r="D4314" s="1" t="s">
        <v>754</v>
      </c>
      <c r="E4314" s="1" t="s">
        <v>75</v>
      </c>
    </row>
    <row r="4315" spans="1:5" x14ac:dyDescent="0.2">
      <c r="A4315" s="1" t="s">
        <v>1276</v>
      </c>
      <c r="B4315" s="1" t="s">
        <v>208</v>
      </c>
      <c r="C4315" s="5">
        <f>DATE(2025, 4, 14) + TIME(12, 27, 35)</f>
        <v>45761.519155092596</v>
      </c>
      <c r="D4315" s="1" t="s">
        <v>754</v>
      </c>
      <c r="E4315" s="1" t="s">
        <v>75</v>
      </c>
    </row>
    <row r="4316" spans="1:5" x14ac:dyDescent="0.2">
      <c r="A4316" s="1" t="s">
        <v>1276</v>
      </c>
      <c r="B4316" s="1" t="s">
        <v>542</v>
      </c>
      <c r="C4316" s="5">
        <f>DATE(2025, 4, 14) + TIME(12, 1, 11)</f>
        <v>45761.500821759262</v>
      </c>
      <c r="D4316" s="1" t="s">
        <v>269</v>
      </c>
      <c r="E4316" s="1" t="s">
        <v>299</v>
      </c>
    </row>
    <row r="4317" spans="1:5" x14ac:dyDescent="0.2">
      <c r="A4317" s="1" t="s">
        <v>1276</v>
      </c>
      <c r="B4317" s="1" t="s">
        <v>674</v>
      </c>
      <c r="C4317" s="5">
        <f>DATE(2025, 4, 14) + TIME(12, 1, 11)</f>
        <v>45761.500821759262</v>
      </c>
      <c r="D4317" s="1" t="s">
        <v>269</v>
      </c>
      <c r="E4317" s="1" t="s">
        <v>299</v>
      </c>
    </row>
    <row r="4318" spans="1:5" x14ac:dyDescent="0.2">
      <c r="A4318" s="1" t="s">
        <v>1276</v>
      </c>
      <c r="B4318" s="1" t="s">
        <v>72</v>
      </c>
      <c r="C4318" s="5">
        <f>DATE(2025, 4, 14) + TIME(12, 1, 11)</f>
        <v>45761.500821759262</v>
      </c>
      <c r="D4318" s="1" t="s">
        <v>269</v>
      </c>
      <c r="E4318" s="1" t="s">
        <v>299</v>
      </c>
    </row>
    <row r="4319" spans="1:5" x14ac:dyDescent="0.2">
      <c r="A4319" s="1" t="s">
        <v>1276</v>
      </c>
      <c r="B4319" s="1" t="s">
        <v>968</v>
      </c>
      <c r="C4319" s="5">
        <f>DATE(2025, 4, 14) + TIME(10, 41, 6)</f>
        <v>45761.445208333331</v>
      </c>
      <c r="D4319" s="1" t="s">
        <v>269</v>
      </c>
      <c r="E4319" s="1" t="s">
        <v>537</v>
      </c>
    </row>
    <row r="4320" spans="1:5" x14ac:dyDescent="0.2">
      <c r="A4320" s="1" t="s">
        <v>1276</v>
      </c>
      <c r="B4320" s="1" t="s">
        <v>688</v>
      </c>
      <c r="C4320" s="5">
        <f>DATE(2025, 4, 14) + TIME(9, 38, 8)</f>
        <v>45761.40148148148</v>
      </c>
      <c r="D4320" s="1" t="s">
        <v>341</v>
      </c>
      <c r="E4320" s="1" t="s">
        <v>691</v>
      </c>
    </row>
    <row r="4321" spans="1:5" x14ac:dyDescent="0.2">
      <c r="A4321" s="1" t="s">
        <v>1276</v>
      </c>
      <c r="B4321" s="1" t="s">
        <v>58</v>
      </c>
      <c r="C4321" s="5">
        <f>DATE(2025, 4, 10) + TIME(16, 19, 34)</f>
        <v>45757.680254629631</v>
      </c>
      <c r="D4321" s="1" t="s">
        <v>269</v>
      </c>
      <c r="E4321" s="1" t="s">
        <v>299</v>
      </c>
    </row>
    <row r="4322" spans="1:5" x14ac:dyDescent="0.2">
      <c r="A4322" s="1" t="s">
        <v>1276</v>
      </c>
      <c r="B4322" s="1" t="s">
        <v>163</v>
      </c>
      <c r="C4322" s="5">
        <f>DATE(2025, 4, 10) + TIME(15, 56, 35)</f>
        <v>45757.664293981485</v>
      </c>
      <c r="D4322" s="1" t="s">
        <v>638</v>
      </c>
      <c r="E4322" s="1" t="s">
        <v>315</v>
      </c>
    </row>
    <row r="4323" spans="1:5" x14ac:dyDescent="0.2">
      <c r="A4323" s="1" t="s">
        <v>1276</v>
      </c>
      <c r="B4323" s="1" t="s">
        <v>978</v>
      </c>
      <c r="C4323" s="5">
        <f>DATE(2025, 4, 10) + TIME(15, 2, 27)</f>
        <v>45757.626701388886</v>
      </c>
      <c r="D4323" s="1" t="s">
        <v>566</v>
      </c>
      <c r="E4323" s="1" t="s">
        <v>324</v>
      </c>
    </row>
    <row r="4324" spans="1:5" x14ac:dyDescent="0.2">
      <c r="A4324" s="1" t="s">
        <v>1276</v>
      </c>
      <c r="B4324" s="1" t="s">
        <v>66</v>
      </c>
      <c r="C4324" s="5">
        <f>DATE(2025, 4, 10) + TIME(15, 2, 27)</f>
        <v>45757.626701388886</v>
      </c>
      <c r="D4324" s="1" t="s">
        <v>566</v>
      </c>
      <c r="E4324" s="1" t="s">
        <v>324</v>
      </c>
    </row>
    <row r="4325" spans="1:5" x14ac:dyDescent="0.2">
      <c r="A4325" s="1" t="s">
        <v>1276</v>
      </c>
      <c r="B4325" s="1" t="s">
        <v>66</v>
      </c>
      <c r="C4325" s="5">
        <f>DATE(2025, 4, 10) + TIME(13, 56, 59)</f>
        <v>45757.581238425926</v>
      </c>
      <c r="D4325" s="1" t="s">
        <v>391</v>
      </c>
      <c r="E4325" s="1" t="s">
        <v>829</v>
      </c>
    </row>
    <row r="4326" spans="1:5" x14ac:dyDescent="0.2">
      <c r="A4326" s="1" t="s">
        <v>1276</v>
      </c>
      <c r="B4326" s="1" t="s">
        <v>33</v>
      </c>
      <c r="C4326" s="5">
        <f>DATE(2025, 4, 10) + TIME(13, 56, 58)</f>
        <v>45757.581226851849</v>
      </c>
      <c r="D4326" s="1" t="s">
        <v>391</v>
      </c>
      <c r="E4326" s="1" t="s">
        <v>829</v>
      </c>
    </row>
    <row r="4327" spans="1:5" x14ac:dyDescent="0.2">
      <c r="A4327" s="1" t="s">
        <v>1276</v>
      </c>
      <c r="B4327" s="1" t="s">
        <v>208</v>
      </c>
      <c r="C4327" s="5">
        <f>DATE(2025, 4, 10) + TIME(13, 44, 30)</f>
        <v>45757.572569444441</v>
      </c>
      <c r="D4327" s="1" t="s">
        <v>754</v>
      </c>
      <c r="E4327" s="1" t="s">
        <v>441</v>
      </c>
    </row>
    <row r="4328" spans="1:5" x14ac:dyDescent="0.2">
      <c r="A4328" s="1" t="s">
        <v>1276</v>
      </c>
      <c r="B4328" s="1" t="s">
        <v>759</v>
      </c>
      <c r="C4328" s="5">
        <f>DATE(2025, 4, 10) + TIME(12, 3, 6)</f>
        <v>45757.502152777779</v>
      </c>
      <c r="D4328" s="1" t="s">
        <v>640</v>
      </c>
      <c r="E4328" s="1" t="s">
        <v>520</v>
      </c>
    </row>
    <row r="4329" spans="1:5" x14ac:dyDescent="0.2">
      <c r="A4329" s="1" t="s">
        <v>1276</v>
      </c>
      <c r="B4329" s="1" t="s">
        <v>271</v>
      </c>
      <c r="C4329" s="5">
        <f>DATE(2025, 4, 10) + TIME(11, 34, 8)</f>
        <v>45757.482037037036</v>
      </c>
      <c r="D4329" s="1" t="s">
        <v>754</v>
      </c>
      <c r="E4329" s="1" t="s">
        <v>330</v>
      </c>
    </row>
    <row r="4330" spans="1:5" x14ac:dyDescent="0.2">
      <c r="A4330" s="1" t="s">
        <v>1276</v>
      </c>
      <c r="B4330" s="1" t="s">
        <v>864</v>
      </c>
      <c r="C4330" s="5">
        <f>DATE(2025, 4, 10) + TIME(10, 41, 58)</f>
        <v>45757.445810185185</v>
      </c>
      <c r="D4330" s="1" t="s">
        <v>754</v>
      </c>
      <c r="E4330" s="1" t="s">
        <v>135</v>
      </c>
    </row>
    <row r="4331" spans="1:5" x14ac:dyDescent="0.2">
      <c r="A4331" s="1" t="s">
        <v>1276</v>
      </c>
      <c r="B4331" s="1" t="s">
        <v>746</v>
      </c>
      <c r="C4331" s="5">
        <f>DATE(2025, 4, 9) + TIME(16, 2, 41)</f>
        <v>45756.668530092589</v>
      </c>
      <c r="D4331" s="1" t="s">
        <v>566</v>
      </c>
      <c r="E4331" s="1" t="s">
        <v>888</v>
      </c>
    </row>
    <row r="4332" spans="1:5" x14ac:dyDescent="0.2">
      <c r="A4332" s="1" t="s">
        <v>1276</v>
      </c>
      <c r="B4332" s="1" t="s">
        <v>69</v>
      </c>
      <c r="C4332" s="5">
        <f>DATE(2025, 4, 9) + TIME(16, 2, 41)</f>
        <v>45756.668530092589</v>
      </c>
      <c r="D4332" s="1" t="s">
        <v>566</v>
      </c>
      <c r="E4332" s="1" t="s">
        <v>888</v>
      </c>
    </row>
    <row r="4333" spans="1:5" x14ac:dyDescent="0.2">
      <c r="A4333" s="1" t="s">
        <v>1276</v>
      </c>
      <c r="B4333" s="1" t="s">
        <v>583</v>
      </c>
      <c r="C4333" s="5">
        <f>DATE(2025, 4, 9) + TIME(16, 2, 40)</f>
        <v>45756.66851851852</v>
      </c>
      <c r="D4333" s="1" t="s">
        <v>566</v>
      </c>
      <c r="E4333" s="1" t="s">
        <v>888</v>
      </c>
    </row>
    <row r="4334" spans="1:5" x14ac:dyDescent="0.2">
      <c r="A4334" s="1" t="s">
        <v>1276</v>
      </c>
      <c r="B4334" s="1" t="s">
        <v>163</v>
      </c>
      <c r="C4334" s="5">
        <f>DATE(2025, 4, 9) + TIME(15, 54, 13)</f>
        <v>45756.66265046296</v>
      </c>
      <c r="D4334" s="1" t="s">
        <v>750</v>
      </c>
      <c r="E4334" s="1" t="s">
        <v>983</v>
      </c>
    </row>
    <row r="4335" spans="1:5" x14ac:dyDescent="0.2">
      <c r="A4335" s="1" t="s">
        <v>1276</v>
      </c>
      <c r="B4335" s="1" t="s">
        <v>817</v>
      </c>
      <c r="C4335" s="5">
        <f>DATE(2025, 4, 9) + TIME(15, 44, 28)</f>
        <v>45756.65587962963</v>
      </c>
      <c r="D4335" s="1" t="s">
        <v>459</v>
      </c>
      <c r="E4335" s="1" t="s">
        <v>984</v>
      </c>
    </row>
    <row r="4336" spans="1:5" x14ac:dyDescent="0.2">
      <c r="A4336" s="1" t="s">
        <v>1276</v>
      </c>
      <c r="B4336" s="1" t="s">
        <v>271</v>
      </c>
      <c r="C4336" s="5">
        <f>DATE(2025, 4, 9) + TIME(15, 43, 28)</f>
        <v>45756.655185185184</v>
      </c>
      <c r="D4336" s="1" t="s">
        <v>320</v>
      </c>
      <c r="E4336" s="1" t="s">
        <v>902</v>
      </c>
    </row>
    <row r="4337" spans="1:5" x14ac:dyDescent="0.2">
      <c r="A4337" s="1" t="s">
        <v>1276</v>
      </c>
      <c r="B4337" s="1" t="s">
        <v>562</v>
      </c>
      <c r="C4337" s="5">
        <f>DATE(2025, 4, 9) + TIME(15, 43, 28)</f>
        <v>45756.655185185184</v>
      </c>
      <c r="D4337" s="1" t="s">
        <v>320</v>
      </c>
      <c r="E4337" s="1" t="s">
        <v>902</v>
      </c>
    </row>
    <row r="4338" spans="1:5" x14ac:dyDescent="0.2">
      <c r="A4338" s="1" t="s">
        <v>1276</v>
      </c>
      <c r="B4338" s="1" t="s">
        <v>651</v>
      </c>
      <c r="C4338" s="5">
        <f>DATE(2025, 4, 9) + TIME(15, 7, 55)</f>
        <v>45756.630497685182</v>
      </c>
      <c r="D4338" s="1" t="s">
        <v>750</v>
      </c>
      <c r="E4338" s="1" t="s">
        <v>519</v>
      </c>
    </row>
    <row r="4339" spans="1:5" x14ac:dyDescent="0.2">
      <c r="A4339" s="1" t="s">
        <v>1276</v>
      </c>
      <c r="B4339" s="1" t="s">
        <v>885</v>
      </c>
      <c r="C4339" s="5">
        <f>DATE(2025, 4, 9) + TIME(14, 40, 17)</f>
        <v>45756.611307870371</v>
      </c>
      <c r="D4339" s="1" t="s">
        <v>64</v>
      </c>
      <c r="E4339" s="1" t="s">
        <v>233</v>
      </c>
    </row>
    <row r="4340" spans="1:5" x14ac:dyDescent="0.2">
      <c r="A4340" s="1" t="s">
        <v>1276</v>
      </c>
      <c r="B4340" s="1" t="s">
        <v>794</v>
      </c>
      <c r="C4340" s="5">
        <f>DATE(2025, 4, 9) + TIME(12, 51, 7)</f>
        <v>45756.535497685189</v>
      </c>
      <c r="D4340" s="1" t="s">
        <v>255</v>
      </c>
      <c r="E4340" s="1" t="s">
        <v>6</v>
      </c>
    </row>
    <row r="4341" spans="1:5" x14ac:dyDescent="0.2">
      <c r="A4341" s="1" t="s">
        <v>1276</v>
      </c>
      <c r="B4341" s="1" t="s">
        <v>464</v>
      </c>
      <c r="C4341" s="5">
        <f>DATE(2025, 4, 9) + TIME(12, 37, 42)</f>
        <v>45756.526180555556</v>
      </c>
      <c r="D4341" s="1" t="s">
        <v>754</v>
      </c>
      <c r="E4341" s="1" t="s">
        <v>363</v>
      </c>
    </row>
    <row r="4342" spans="1:5" x14ac:dyDescent="0.2">
      <c r="A4342" s="1" t="s">
        <v>1276</v>
      </c>
      <c r="B4342" s="1" t="s">
        <v>817</v>
      </c>
      <c r="C4342" s="5">
        <f>DATE(2025, 4, 9) + TIME(12, 21, 58)</f>
        <v>45756.51525462963</v>
      </c>
      <c r="D4342" s="1" t="s">
        <v>65</v>
      </c>
      <c r="E4342" s="1" t="s">
        <v>918</v>
      </c>
    </row>
    <row r="4343" spans="1:5" x14ac:dyDescent="0.2">
      <c r="A4343" s="1" t="s">
        <v>1276</v>
      </c>
      <c r="B4343" s="1" t="s">
        <v>215</v>
      </c>
      <c r="C4343" s="5">
        <f>DATE(2025, 4, 9) + TIME(12, 14, 57)</f>
        <v>45756.510381944441</v>
      </c>
      <c r="D4343" s="1" t="s">
        <v>396</v>
      </c>
      <c r="E4343" s="1" t="s">
        <v>507</v>
      </c>
    </row>
    <row r="4344" spans="1:5" x14ac:dyDescent="0.2">
      <c r="A4344" s="1" t="s">
        <v>1276</v>
      </c>
      <c r="B4344" s="1" t="s">
        <v>985</v>
      </c>
      <c r="C4344" s="5">
        <f>DATE(2025, 4, 9) + TIME(11, 56, 58)</f>
        <v>45756.497893518521</v>
      </c>
      <c r="D4344" s="1" t="s">
        <v>64</v>
      </c>
      <c r="E4344" s="1" t="s">
        <v>873</v>
      </c>
    </row>
    <row r="4345" spans="1:5" x14ac:dyDescent="0.2">
      <c r="A4345" s="1" t="s">
        <v>1276</v>
      </c>
      <c r="B4345" s="1" t="s">
        <v>688</v>
      </c>
      <c r="C4345" s="5">
        <f>DATE(2025, 4, 9) + TIME(11, 20, 10)</f>
        <v>45756.472337962965</v>
      </c>
      <c r="D4345" s="1" t="s">
        <v>450</v>
      </c>
      <c r="E4345" s="1" t="s">
        <v>185</v>
      </c>
    </row>
    <row r="4346" spans="1:5" x14ac:dyDescent="0.2">
      <c r="A4346" s="1" t="s">
        <v>1276</v>
      </c>
      <c r="B4346" s="1" t="s">
        <v>969</v>
      </c>
      <c r="C4346" s="5">
        <f>DATE(2025, 4, 9) + TIME(10, 50, 17)</f>
        <v>45756.451585648145</v>
      </c>
      <c r="D4346" s="1" t="s">
        <v>65</v>
      </c>
      <c r="E4346" s="1" t="s">
        <v>918</v>
      </c>
    </row>
    <row r="4347" spans="1:5" x14ac:dyDescent="0.2">
      <c r="A4347" s="1" t="s">
        <v>1276</v>
      </c>
      <c r="B4347" s="1" t="s">
        <v>69</v>
      </c>
      <c r="C4347" s="5">
        <f>DATE(2025, 4, 8) + TIME(15, 40, 37)</f>
        <v>45755.65320601852</v>
      </c>
      <c r="D4347" s="1" t="s">
        <v>64</v>
      </c>
      <c r="E4347" s="1" t="s">
        <v>987</v>
      </c>
    </row>
    <row r="4348" spans="1:5" x14ac:dyDescent="0.2">
      <c r="A4348" s="1" t="s">
        <v>1276</v>
      </c>
      <c r="B4348" s="1" t="s">
        <v>931</v>
      </c>
      <c r="C4348" s="5">
        <f>DATE(2025, 4, 8) + TIME(15, 40, 36)</f>
        <v>45755.653194444443</v>
      </c>
      <c r="D4348" s="1" t="s">
        <v>64</v>
      </c>
      <c r="E4348" s="1" t="s">
        <v>987</v>
      </c>
    </row>
    <row r="4349" spans="1:5" x14ac:dyDescent="0.2">
      <c r="A4349" s="1" t="s">
        <v>1276</v>
      </c>
      <c r="B4349" s="1" t="s">
        <v>208</v>
      </c>
      <c r="C4349" s="5">
        <f>DATE(2025, 4, 8) + TIME(15, 15, 47)</f>
        <v>45755.635960648149</v>
      </c>
      <c r="D4349" s="1" t="s">
        <v>148</v>
      </c>
      <c r="E4349" s="1" t="s">
        <v>877</v>
      </c>
    </row>
    <row r="4350" spans="1:5" x14ac:dyDescent="0.2">
      <c r="A4350" s="1" t="s">
        <v>1276</v>
      </c>
      <c r="B4350" s="1" t="s">
        <v>271</v>
      </c>
      <c r="C4350" s="5">
        <f>DATE(2025, 4, 8) + TIME(14, 28, 34)</f>
        <v>45755.603171296294</v>
      </c>
      <c r="D4350" s="1" t="s">
        <v>750</v>
      </c>
      <c r="E4350" s="1" t="s">
        <v>912</v>
      </c>
    </row>
    <row r="4351" spans="1:5" x14ac:dyDescent="0.2">
      <c r="A4351" s="1" t="s">
        <v>1276</v>
      </c>
      <c r="B4351" s="1" t="s">
        <v>69</v>
      </c>
      <c r="C4351" s="5">
        <f>DATE(2025, 4, 8) + TIME(12, 48, 17)</f>
        <v>45755.533530092594</v>
      </c>
      <c r="D4351" s="1" t="s">
        <v>450</v>
      </c>
      <c r="E4351" s="1" t="s">
        <v>453</v>
      </c>
    </row>
    <row r="4352" spans="1:5" x14ac:dyDescent="0.2">
      <c r="A4352" s="1" t="s">
        <v>1276</v>
      </c>
      <c r="B4352" s="1" t="s">
        <v>969</v>
      </c>
      <c r="C4352" s="5">
        <f>DATE(2025, 4, 8) + TIME(12, 48, 17)</f>
        <v>45755.533530092594</v>
      </c>
      <c r="D4352" s="1" t="s">
        <v>450</v>
      </c>
      <c r="E4352" s="1" t="s">
        <v>453</v>
      </c>
    </row>
    <row r="4353" spans="1:5" x14ac:dyDescent="0.2">
      <c r="A4353" s="1" t="s">
        <v>1276</v>
      </c>
      <c r="B4353" s="1" t="s">
        <v>177</v>
      </c>
      <c r="C4353" s="5">
        <f>DATE(2025, 4, 8) + TIME(12, 4, 21)</f>
        <v>45755.503020833334</v>
      </c>
      <c r="D4353" s="1" t="s">
        <v>320</v>
      </c>
      <c r="E4353" s="1" t="s">
        <v>239</v>
      </c>
    </row>
    <row r="4354" spans="1:5" x14ac:dyDescent="0.2">
      <c r="A4354" s="1" t="s">
        <v>1276</v>
      </c>
      <c r="B4354" s="1" t="s">
        <v>562</v>
      </c>
      <c r="C4354" s="5">
        <f>DATE(2025, 4, 8) + TIME(9, 59, 28)</f>
        <v>45755.416296296295</v>
      </c>
      <c r="D4354" s="1" t="s">
        <v>396</v>
      </c>
      <c r="E4354" s="1" t="s">
        <v>276</v>
      </c>
    </row>
    <row r="4355" spans="1:5" x14ac:dyDescent="0.2">
      <c r="A4355" s="1" t="s">
        <v>1276</v>
      </c>
      <c r="B4355" s="1" t="s">
        <v>66</v>
      </c>
      <c r="C4355" s="5">
        <f>DATE(2025, 4, 7) + TIME(15, 56, 25)</f>
        <v>45754.664178240739</v>
      </c>
      <c r="D4355" s="1" t="s">
        <v>65</v>
      </c>
      <c r="E4355" s="1" t="s">
        <v>400</v>
      </c>
    </row>
    <row r="4356" spans="1:5" x14ac:dyDescent="0.2">
      <c r="A4356" s="1" t="s">
        <v>1276</v>
      </c>
      <c r="B4356" s="1" t="s">
        <v>562</v>
      </c>
      <c r="C4356" s="5">
        <f>DATE(2025, 4, 7) + TIME(15, 41, 14)</f>
        <v>45754.653634259259</v>
      </c>
      <c r="D4356" s="1" t="s">
        <v>754</v>
      </c>
      <c r="E4356" s="1" t="s">
        <v>330</v>
      </c>
    </row>
    <row r="4357" spans="1:5" x14ac:dyDescent="0.2">
      <c r="A4357" s="1" t="s">
        <v>1276</v>
      </c>
      <c r="B4357" s="1" t="s">
        <v>969</v>
      </c>
      <c r="C4357" s="5">
        <f>DATE(2025, 4, 7) + TIME(15, 38, 19)</f>
        <v>45754.651608796295</v>
      </c>
      <c r="D4357" s="1" t="s">
        <v>638</v>
      </c>
      <c r="E4357" s="1" t="s">
        <v>188</v>
      </c>
    </row>
    <row r="4358" spans="1:5" x14ac:dyDescent="0.2">
      <c r="A4358" s="1" t="s">
        <v>1276</v>
      </c>
      <c r="B4358" s="1" t="s">
        <v>682</v>
      </c>
      <c r="C4358" s="5">
        <f>DATE(2025, 4, 7) + TIME(14, 55, 5)</f>
        <v>45754.62158564815</v>
      </c>
      <c r="D4358" s="1" t="s">
        <v>64</v>
      </c>
      <c r="E4358" s="1" t="s">
        <v>395</v>
      </c>
    </row>
    <row r="4359" spans="1:5" x14ac:dyDescent="0.2">
      <c r="A4359" s="1" t="s">
        <v>1276</v>
      </c>
      <c r="B4359" s="1" t="s">
        <v>864</v>
      </c>
      <c r="C4359" s="5">
        <f>DATE(2025, 4, 7) + TIME(13, 35, 52)</f>
        <v>45754.566574074073</v>
      </c>
      <c r="D4359" s="1" t="s">
        <v>269</v>
      </c>
      <c r="E4359" s="1" t="s">
        <v>273</v>
      </c>
    </row>
    <row r="4360" spans="1:5" x14ac:dyDescent="0.2">
      <c r="A4360" s="1" t="s">
        <v>1276</v>
      </c>
      <c r="B4360" s="1" t="s">
        <v>982</v>
      </c>
      <c r="C4360" s="5">
        <f>DATE(2025, 4, 7) + TIME(13, 12, 46)</f>
        <v>45754.550532407404</v>
      </c>
      <c r="D4360" s="1" t="s">
        <v>754</v>
      </c>
      <c r="E4360" s="1" t="s">
        <v>75</v>
      </c>
    </row>
    <row r="4361" spans="1:5" x14ac:dyDescent="0.2">
      <c r="A4361" s="1" t="s">
        <v>1276</v>
      </c>
      <c r="B4361" s="1" t="s">
        <v>988</v>
      </c>
      <c r="C4361" s="5">
        <f>DATE(2025, 4, 3) + TIME(16, 20, 15)</f>
        <v>45750.68072916667</v>
      </c>
      <c r="D4361" s="1" t="s">
        <v>566</v>
      </c>
      <c r="E4361" s="1" t="s">
        <v>324</v>
      </c>
    </row>
    <row r="4362" spans="1:5" x14ac:dyDescent="0.2">
      <c r="A4362" s="1" t="s">
        <v>1276</v>
      </c>
      <c r="B4362" s="1" t="s">
        <v>15</v>
      </c>
      <c r="C4362" s="5">
        <f>DATE(2025, 4, 3) + TIME(16, 20, 15)</f>
        <v>45750.68072916667</v>
      </c>
      <c r="D4362" s="1" t="s">
        <v>566</v>
      </c>
      <c r="E4362" s="1" t="s">
        <v>324</v>
      </c>
    </row>
    <row r="4363" spans="1:5" x14ac:dyDescent="0.2">
      <c r="A4363" s="1" t="s">
        <v>1276</v>
      </c>
      <c r="B4363" s="1" t="s">
        <v>919</v>
      </c>
      <c r="C4363" s="5">
        <f>DATE(2025, 4, 3) + TIME(15, 25, 26)</f>
        <v>45750.64266203704</v>
      </c>
      <c r="D4363" s="1" t="s">
        <v>638</v>
      </c>
      <c r="E4363" s="1" t="s">
        <v>85</v>
      </c>
    </row>
    <row r="4364" spans="1:5" x14ac:dyDescent="0.2">
      <c r="A4364" s="1" t="s">
        <v>1276</v>
      </c>
      <c r="B4364" s="1" t="s">
        <v>967</v>
      </c>
      <c r="C4364" s="5">
        <f>DATE(2025, 4, 3) + TIME(15, 23, 53)</f>
        <v>45750.641585648147</v>
      </c>
      <c r="D4364" s="1" t="s">
        <v>396</v>
      </c>
      <c r="E4364" s="1" t="s">
        <v>652</v>
      </c>
    </row>
    <row r="4365" spans="1:5" x14ac:dyDescent="0.2">
      <c r="A4365" s="1" t="s">
        <v>1276</v>
      </c>
      <c r="B4365" s="1" t="s">
        <v>271</v>
      </c>
      <c r="C4365" s="5">
        <f>DATE(2025, 4, 3) + TIME(15, 18, 24)</f>
        <v>45750.637777777774</v>
      </c>
      <c r="D4365" s="1" t="s">
        <v>640</v>
      </c>
      <c r="E4365" s="1" t="s">
        <v>667</v>
      </c>
    </row>
    <row r="4366" spans="1:5" x14ac:dyDescent="0.2">
      <c r="A4366" s="1" t="s">
        <v>1276</v>
      </c>
      <c r="B4366" s="1" t="s">
        <v>69</v>
      </c>
      <c r="C4366" s="5">
        <f>DATE(2025, 4, 3) + TIME(15, 18, 24)</f>
        <v>45750.637777777774</v>
      </c>
      <c r="D4366" s="1" t="s">
        <v>640</v>
      </c>
      <c r="E4366" s="1" t="s">
        <v>667</v>
      </c>
    </row>
    <row r="4367" spans="1:5" x14ac:dyDescent="0.2">
      <c r="A4367" s="1" t="s">
        <v>1276</v>
      </c>
      <c r="B4367" s="1" t="s">
        <v>663</v>
      </c>
      <c r="C4367" s="5">
        <f>DATE(2025, 4, 3) + TIME(14, 41, 7)</f>
        <v>45750.611886574072</v>
      </c>
      <c r="D4367" s="1" t="s">
        <v>506</v>
      </c>
      <c r="E4367" s="1" t="s">
        <v>369</v>
      </c>
    </row>
    <row r="4368" spans="1:5" x14ac:dyDescent="0.2">
      <c r="A4368" s="1" t="s">
        <v>1276</v>
      </c>
      <c r="B4368" s="1" t="s">
        <v>969</v>
      </c>
      <c r="C4368" s="5">
        <f>DATE(2025, 4, 3) + TIME(14, 41, 7)</f>
        <v>45750.611886574072</v>
      </c>
      <c r="D4368" s="1" t="s">
        <v>506</v>
      </c>
      <c r="E4368" s="1" t="s">
        <v>369</v>
      </c>
    </row>
    <row r="4369" spans="1:5" x14ac:dyDescent="0.2">
      <c r="A4369" s="1" t="s">
        <v>1276</v>
      </c>
      <c r="B4369" s="1" t="s">
        <v>63</v>
      </c>
      <c r="C4369" s="5">
        <f>DATE(2025, 4, 3) + TIME(13, 38, 56)</f>
        <v>45750.568703703706</v>
      </c>
      <c r="D4369" s="1" t="s">
        <v>563</v>
      </c>
      <c r="E4369" s="1" t="s">
        <v>351</v>
      </c>
    </row>
    <row r="4370" spans="1:5" x14ac:dyDescent="0.2">
      <c r="A4370" s="1" t="s">
        <v>1276</v>
      </c>
      <c r="B4370" s="1" t="s">
        <v>72</v>
      </c>
      <c r="C4370" s="5">
        <f>DATE(2025, 4, 3) + TIME(13, 16, 44)</f>
        <v>45750.553287037037</v>
      </c>
      <c r="D4370" s="1" t="s">
        <v>3</v>
      </c>
      <c r="E4370" s="1" t="s">
        <v>211</v>
      </c>
    </row>
    <row r="4371" spans="1:5" x14ac:dyDescent="0.2">
      <c r="A4371" s="1" t="s">
        <v>1276</v>
      </c>
      <c r="B4371" s="1" t="s">
        <v>974</v>
      </c>
      <c r="C4371" s="5">
        <f>DATE(2025, 4, 3) + TIME(11, 27, 40)</f>
        <v>45750.477546296293</v>
      </c>
      <c r="D4371" s="1" t="s">
        <v>754</v>
      </c>
      <c r="E4371" s="1" t="s">
        <v>330</v>
      </c>
    </row>
    <row r="4372" spans="1:5" x14ac:dyDescent="0.2">
      <c r="A4372" s="1" t="s">
        <v>1276</v>
      </c>
      <c r="B4372" s="1" t="s">
        <v>688</v>
      </c>
      <c r="C4372" s="5">
        <f>DATE(2025, 4, 3) + TIME(11, 14, 21)</f>
        <v>45750.468298611115</v>
      </c>
      <c r="D4372" s="1" t="s">
        <v>506</v>
      </c>
      <c r="E4372" s="1" t="s">
        <v>697</v>
      </c>
    </row>
    <row r="4373" spans="1:5" x14ac:dyDescent="0.2">
      <c r="A4373" s="1" t="s">
        <v>1276</v>
      </c>
      <c r="B4373" s="1" t="s">
        <v>969</v>
      </c>
      <c r="C4373" s="5">
        <f>DATE(2025, 4, 3) + TIME(9, 24, 37)</f>
        <v>45750.392094907409</v>
      </c>
      <c r="D4373" s="1" t="s">
        <v>869</v>
      </c>
      <c r="E4373" s="1" t="s">
        <v>314</v>
      </c>
    </row>
    <row r="4374" spans="1:5" x14ac:dyDescent="0.2">
      <c r="A4374" s="1" t="s">
        <v>1276</v>
      </c>
      <c r="B4374" s="1" t="s">
        <v>651</v>
      </c>
      <c r="C4374" s="5">
        <f>DATE(2025, 4, 2) + TIME(16, 58, 53)</f>
        <v>45749.707557870373</v>
      </c>
      <c r="D4374" s="1" t="s">
        <v>216</v>
      </c>
      <c r="E4374" s="1" t="s">
        <v>519</v>
      </c>
    </row>
    <row r="4375" spans="1:5" x14ac:dyDescent="0.2">
      <c r="A4375" s="1" t="s">
        <v>1276</v>
      </c>
      <c r="B4375" s="1" t="s">
        <v>215</v>
      </c>
      <c r="C4375" s="5">
        <f>DATE(2025, 4, 2) + TIME(16, 58, 53)</f>
        <v>45749.707557870373</v>
      </c>
      <c r="D4375" s="1" t="s">
        <v>216</v>
      </c>
      <c r="E4375" s="1" t="s">
        <v>519</v>
      </c>
    </row>
    <row r="4376" spans="1:5" x14ac:dyDescent="0.2">
      <c r="A4376" s="1" t="s">
        <v>1276</v>
      </c>
      <c r="B4376" s="1" t="s">
        <v>290</v>
      </c>
      <c r="C4376" s="5">
        <f>DATE(2025, 4, 2) + TIME(14, 52, 41)</f>
        <v>45749.61991898148</v>
      </c>
      <c r="D4376" s="1" t="s">
        <v>320</v>
      </c>
      <c r="E4376" s="1" t="s">
        <v>2</v>
      </c>
    </row>
    <row r="4377" spans="1:5" x14ac:dyDescent="0.2">
      <c r="A4377" s="1" t="s">
        <v>1276</v>
      </c>
      <c r="B4377" s="1" t="s">
        <v>932</v>
      </c>
      <c r="C4377" s="5">
        <f>DATE(2025, 4, 2) + TIME(14, 45, 41)</f>
        <v>45749.615057870367</v>
      </c>
      <c r="D4377" s="1" t="s">
        <v>64</v>
      </c>
      <c r="E4377" s="1" t="s">
        <v>11</v>
      </c>
    </row>
    <row r="4378" spans="1:5" x14ac:dyDescent="0.2">
      <c r="A4378" s="1" t="s">
        <v>1276</v>
      </c>
      <c r="B4378" s="1" t="s">
        <v>542</v>
      </c>
      <c r="C4378" s="5">
        <f>DATE(2025, 4, 2) + TIME(14, 45, 40)</f>
        <v>45749.615046296298</v>
      </c>
      <c r="D4378" s="1" t="s">
        <v>64</v>
      </c>
      <c r="E4378" s="1" t="s">
        <v>11</v>
      </c>
    </row>
    <row r="4379" spans="1:5" x14ac:dyDescent="0.2">
      <c r="A4379" s="1" t="s">
        <v>1276</v>
      </c>
      <c r="B4379" s="1" t="s">
        <v>837</v>
      </c>
      <c r="C4379" s="5">
        <f>DATE(2025, 4, 2) + TIME(14, 45, 40)</f>
        <v>45749.615046296298</v>
      </c>
      <c r="D4379" s="1" t="s">
        <v>64</v>
      </c>
      <c r="E4379" s="1" t="s">
        <v>11</v>
      </c>
    </row>
    <row r="4380" spans="1:5" x14ac:dyDescent="0.2">
      <c r="A4380" s="1" t="s">
        <v>1276</v>
      </c>
      <c r="B4380" s="1" t="s">
        <v>992</v>
      </c>
      <c r="C4380" s="5">
        <f>DATE(2025, 4, 2) + TIME(14, 45, 40)</f>
        <v>45749.615046296298</v>
      </c>
      <c r="D4380" s="1" t="s">
        <v>64</v>
      </c>
      <c r="E4380" s="1" t="s">
        <v>11</v>
      </c>
    </row>
    <row r="4381" spans="1:5" x14ac:dyDescent="0.2">
      <c r="A4381" s="1" t="s">
        <v>1276</v>
      </c>
      <c r="B4381" s="1" t="s">
        <v>979</v>
      </c>
      <c r="C4381" s="5">
        <f>DATE(2025, 4, 2) + TIME(14, 17, 11)</f>
        <v>45749.595266203702</v>
      </c>
      <c r="D4381" s="1" t="s">
        <v>3</v>
      </c>
      <c r="E4381" s="1" t="s">
        <v>936</v>
      </c>
    </row>
    <row r="4382" spans="1:5" x14ac:dyDescent="0.2">
      <c r="A4382" s="1" t="s">
        <v>1276</v>
      </c>
      <c r="B4382" s="1" t="s">
        <v>686</v>
      </c>
      <c r="C4382" s="5">
        <f>DATE(2025, 4, 2) + TIME(14, 14, 41)</f>
        <v>45749.593530092592</v>
      </c>
      <c r="D4382" s="1" t="s">
        <v>566</v>
      </c>
      <c r="E4382" s="1" t="s">
        <v>888</v>
      </c>
    </row>
    <row r="4383" spans="1:5" x14ac:dyDescent="0.2">
      <c r="A4383" s="1" t="s">
        <v>1276</v>
      </c>
      <c r="B4383" s="1" t="s">
        <v>334</v>
      </c>
      <c r="C4383" s="5">
        <f>DATE(2025, 4, 2) + TIME(14, 14, 41)</f>
        <v>45749.593530092592</v>
      </c>
      <c r="D4383" s="1" t="s">
        <v>566</v>
      </c>
      <c r="E4383" s="1" t="s">
        <v>888</v>
      </c>
    </row>
    <row r="4384" spans="1:5" x14ac:dyDescent="0.2">
      <c r="A4384" s="1" t="s">
        <v>1276</v>
      </c>
      <c r="B4384" s="1" t="s">
        <v>183</v>
      </c>
      <c r="C4384" s="5">
        <f>DATE(2025, 4, 2) + TIME(13, 51, 58)</f>
        <v>45749.57775462963</v>
      </c>
      <c r="D4384" s="1" t="s">
        <v>65</v>
      </c>
      <c r="E4384" s="1" t="s">
        <v>918</v>
      </c>
    </row>
    <row r="4385" spans="1:5" x14ac:dyDescent="0.2">
      <c r="A4385" s="1" t="s">
        <v>1276</v>
      </c>
      <c r="B4385" s="1" t="s">
        <v>993</v>
      </c>
      <c r="C4385" s="5">
        <f>DATE(2025, 4, 2) + TIME(13, 38, 27)</f>
        <v>45749.568368055552</v>
      </c>
      <c r="D4385" s="1" t="s">
        <v>320</v>
      </c>
      <c r="E4385" s="1" t="s">
        <v>239</v>
      </c>
    </row>
    <row r="4386" spans="1:5" x14ac:dyDescent="0.2">
      <c r="A4386" s="1" t="s">
        <v>1276</v>
      </c>
      <c r="B4386" s="1" t="s">
        <v>271</v>
      </c>
      <c r="C4386" s="5">
        <f>DATE(2025, 4, 2) + TIME(13, 38, 27)</f>
        <v>45749.568368055552</v>
      </c>
      <c r="D4386" s="1" t="s">
        <v>320</v>
      </c>
      <c r="E4386" s="1" t="s">
        <v>239</v>
      </c>
    </row>
    <row r="4387" spans="1:5" x14ac:dyDescent="0.2">
      <c r="A4387" s="1" t="s">
        <v>1276</v>
      </c>
      <c r="B4387" s="1" t="s">
        <v>794</v>
      </c>
      <c r="C4387" s="5">
        <f>DATE(2025, 4, 2) + TIME(13, 38, 27)</f>
        <v>45749.568368055552</v>
      </c>
      <c r="D4387" s="1" t="s">
        <v>320</v>
      </c>
      <c r="E4387" s="1" t="s">
        <v>239</v>
      </c>
    </row>
    <row r="4388" spans="1:5" x14ac:dyDescent="0.2">
      <c r="A4388" s="1" t="s">
        <v>1276</v>
      </c>
      <c r="B4388" s="1" t="s">
        <v>994</v>
      </c>
      <c r="C4388" s="5">
        <f>DATE(2025, 4, 2) + TIME(13, 21, 9)</f>
        <v>45749.556354166663</v>
      </c>
      <c r="D4388" s="1" t="s">
        <v>754</v>
      </c>
      <c r="E4388" s="1" t="s">
        <v>363</v>
      </c>
    </row>
    <row r="4389" spans="1:5" x14ac:dyDescent="0.2">
      <c r="A4389" s="1" t="s">
        <v>1276</v>
      </c>
      <c r="B4389" s="1" t="s">
        <v>794</v>
      </c>
      <c r="C4389" s="5">
        <f>DATE(2025, 4, 2) + TIME(12, 4, 9)</f>
        <v>45749.502881944441</v>
      </c>
      <c r="D4389" s="1" t="s">
        <v>216</v>
      </c>
      <c r="E4389" s="1" t="s">
        <v>321</v>
      </c>
    </row>
    <row r="4390" spans="1:5" x14ac:dyDescent="0.2">
      <c r="A4390" s="1" t="s">
        <v>1276</v>
      </c>
      <c r="B4390" s="1" t="s">
        <v>562</v>
      </c>
      <c r="C4390" s="5">
        <f>DATE(2025, 4, 1) + TIME(16, 33, 48)</f>
        <v>45748.690138888887</v>
      </c>
      <c r="D4390" s="1" t="s">
        <v>320</v>
      </c>
      <c r="E4390" s="1" t="s">
        <v>342</v>
      </c>
    </row>
    <row r="4391" spans="1:5" x14ac:dyDescent="0.2">
      <c r="A4391" s="1" t="s">
        <v>1276</v>
      </c>
      <c r="B4391" s="1" t="s">
        <v>969</v>
      </c>
      <c r="C4391" s="5">
        <f>DATE(2025, 4, 1) + TIME(14, 20, 34)</f>
        <v>45748.597615740742</v>
      </c>
      <c r="D4391" s="1" t="s">
        <v>126</v>
      </c>
      <c r="E4391" s="1" t="s">
        <v>143</v>
      </c>
    </row>
    <row r="4392" spans="1:5" x14ac:dyDescent="0.2">
      <c r="A4392" s="1" t="s">
        <v>1276</v>
      </c>
      <c r="B4392" s="1" t="s">
        <v>996</v>
      </c>
      <c r="C4392" s="5">
        <f>DATE(2025, 4, 1) + TIME(14, 4, 18)</f>
        <v>45748.586319444446</v>
      </c>
      <c r="D4392" s="1" t="s">
        <v>126</v>
      </c>
      <c r="E4392" s="1" t="s">
        <v>143</v>
      </c>
    </row>
    <row r="4393" spans="1:5" x14ac:dyDescent="0.2">
      <c r="A4393" s="1" t="s">
        <v>1276</v>
      </c>
      <c r="B4393" s="1" t="s">
        <v>456</v>
      </c>
      <c r="C4393" s="5">
        <f>DATE(2025, 4, 1) + TIME(13, 55, 10)</f>
        <v>45748.579976851855</v>
      </c>
      <c r="D4393" s="1" t="s">
        <v>65</v>
      </c>
      <c r="E4393" s="1" t="s">
        <v>227</v>
      </c>
    </row>
    <row r="4394" spans="1:5" x14ac:dyDescent="0.2">
      <c r="A4394" s="1" t="s">
        <v>1276</v>
      </c>
      <c r="B4394" s="1" t="s">
        <v>562</v>
      </c>
      <c r="C4394" s="5">
        <f>DATE(2025, 4, 1) + TIME(12, 16, 16)</f>
        <v>45748.511296296296</v>
      </c>
      <c r="D4394" s="1" t="s">
        <v>126</v>
      </c>
      <c r="E4394" s="1" t="s">
        <v>541</v>
      </c>
    </row>
    <row r="4395" spans="1:5" x14ac:dyDescent="0.2">
      <c r="A4395" s="1" t="s">
        <v>1276</v>
      </c>
      <c r="B4395" s="1" t="s">
        <v>562</v>
      </c>
      <c r="C4395" s="5">
        <f>DATE(2025, 3, 31) + TIME(16, 14, 28)</f>
        <v>45747.676712962966</v>
      </c>
      <c r="D4395" s="1" t="s">
        <v>269</v>
      </c>
      <c r="E4395" s="1" t="s">
        <v>299</v>
      </c>
    </row>
    <row r="4396" spans="1:5" x14ac:dyDescent="0.2">
      <c r="A4396" s="1" t="s">
        <v>1276</v>
      </c>
      <c r="B4396" s="1" t="s">
        <v>562</v>
      </c>
      <c r="C4396" s="5">
        <f>DATE(2025, 3, 31) + TIME(15, 23, 22)</f>
        <v>45747.641226851854</v>
      </c>
      <c r="D4396" s="1" t="s">
        <v>341</v>
      </c>
      <c r="E4396" s="1" t="s">
        <v>839</v>
      </c>
    </row>
    <row r="4397" spans="1:5" x14ac:dyDescent="0.2">
      <c r="A4397" s="1" t="s">
        <v>1276</v>
      </c>
      <c r="B4397" s="1" t="s">
        <v>999</v>
      </c>
      <c r="C4397" s="5">
        <f>DATE(2025, 3, 31) + TIME(14, 26, 57)</f>
        <v>45747.602048611108</v>
      </c>
      <c r="D4397" s="1" t="s">
        <v>754</v>
      </c>
      <c r="E4397" s="1" t="s">
        <v>330</v>
      </c>
    </row>
    <row r="4398" spans="1:5" x14ac:dyDescent="0.2">
      <c r="A4398" s="1" t="s">
        <v>1276</v>
      </c>
      <c r="B4398" s="1" t="s">
        <v>686</v>
      </c>
      <c r="C4398" s="5">
        <f>DATE(2025, 3, 31) + TIME(14, 21, 29)</f>
        <v>45747.598252314812</v>
      </c>
      <c r="D4398" s="1" t="s">
        <v>869</v>
      </c>
      <c r="E4398" s="1" t="s">
        <v>275</v>
      </c>
    </row>
    <row r="4399" spans="1:5" x14ac:dyDescent="0.2">
      <c r="A4399" s="1" t="s">
        <v>1276</v>
      </c>
      <c r="B4399" s="1" t="s">
        <v>81</v>
      </c>
      <c r="C4399" s="5">
        <f>DATE(2025, 3, 31) + TIME(14, 17, 26)</f>
        <v>45747.595439814817</v>
      </c>
      <c r="D4399" s="1" t="s">
        <v>341</v>
      </c>
      <c r="E4399" s="1" t="s">
        <v>218</v>
      </c>
    </row>
    <row r="4400" spans="1:5" x14ac:dyDescent="0.2">
      <c r="A4400" s="1" t="s">
        <v>1276</v>
      </c>
      <c r="B4400" s="1" t="s">
        <v>271</v>
      </c>
      <c r="C4400" s="5">
        <f>DATE(2025, 3, 31) + TIME(13, 50, 15)</f>
        <v>45747.576562499999</v>
      </c>
      <c r="D4400" s="1" t="s">
        <v>506</v>
      </c>
      <c r="E4400" s="1" t="s">
        <v>510</v>
      </c>
    </row>
    <row r="4401" spans="1:5" x14ac:dyDescent="0.2">
      <c r="A4401" s="1" t="s">
        <v>1276</v>
      </c>
      <c r="B4401" s="1" t="s">
        <v>927</v>
      </c>
      <c r="C4401" s="5">
        <f>DATE(2025, 3, 31) + TIME(13, 26, 56)</f>
        <v>45747.560370370367</v>
      </c>
      <c r="D4401" s="1" t="s">
        <v>450</v>
      </c>
      <c r="E4401" s="1" t="s">
        <v>573</v>
      </c>
    </row>
    <row r="4402" spans="1:5" x14ac:dyDescent="0.2">
      <c r="A4402" s="1" t="s">
        <v>1276</v>
      </c>
      <c r="B4402" s="1" t="s">
        <v>562</v>
      </c>
      <c r="C4402" s="5">
        <f>DATE(2025, 3, 31) + TIME(9, 9, 2)</f>
        <v>45747.381273148145</v>
      </c>
      <c r="D4402" s="1" t="s">
        <v>320</v>
      </c>
      <c r="E4402" s="1" t="s">
        <v>683</v>
      </c>
    </row>
    <row r="4403" spans="1:5" x14ac:dyDescent="0.2">
      <c r="A4403" s="1" t="s">
        <v>1276</v>
      </c>
      <c r="B4403" s="1" t="s">
        <v>456</v>
      </c>
      <c r="C4403" s="5">
        <f>DATE(2025, 3, 30) + TIME(12, 0, 16)</f>
        <v>45746.500185185185</v>
      </c>
      <c r="D4403" s="1" t="s">
        <v>65</v>
      </c>
      <c r="E4403" s="1" t="s">
        <v>404</v>
      </c>
    </row>
    <row r="4404" spans="1:5" x14ac:dyDescent="0.2">
      <c r="A4404" s="1" t="s">
        <v>1276</v>
      </c>
      <c r="B4404" s="1" t="s">
        <v>15</v>
      </c>
      <c r="C4404" s="5">
        <f>DATE(2025, 3, 27) + TIME(15, 49, 52)</f>
        <v>45743.659629629627</v>
      </c>
      <c r="D4404" s="1" t="s">
        <v>566</v>
      </c>
      <c r="E4404" s="1" t="s">
        <v>922</v>
      </c>
    </row>
    <row r="4405" spans="1:5" x14ac:dyDescent="0.2">
      <c r="A4405" s="1" t="s">
        <v>1276</v>
      </c>
      <c r="B4405" s="1" t="s">
        <v>9</v>
      </c>
      <c r="C4405" s="5">
        <f>DATE(2025, 3, 27) + TIME(15, 26, 42)</f>
        <v>45743.643541666665</v>
      </c>
      <c r="D4405" s="1" t="s">
        <v>148</v>
      </c>
      <c r="E4405" s="1" t="s">
        <v>480</v>
      </c>
    </row>
    <row r="4406" spans="1:5" x14ac:dyDescent="0.2">
      <c r="A4406" s="1" t="s">
        <v>1276</v>
      </c>
      <c r="B4406" s="1" t="s">
        <v>408</v>
      </c>
      <c r="C4406" s="5">
        <f>DATE(2025, 3, 27) + TIME(15, 15, 6)</f>
        <v>45743.63548611111</v>
      </c>
      <c r="D4406" s="1" t="s">
        <v>566</v>
      </c>
      <c r="E4406" s="1" t="s">
        <v>324</v>
      </c>
    </row>
    <row r="4407" spans="1:5" x14ac:dyDescent="0.2">
      <c r="A4407" s="1" t="s">
        <v>1276</v>
      </c>
      <c r="B4407" s="1" t="s">
        <v>394</v>
      </c>
      <c r="C4407" s="5">
        <f>DATE(2025, 3, 27) + TIME(15, 15, 5)</f>
        <v>45743.635474537034</v>
      </c>
      <c r="D4407" s="1" t="s">
        <v>566</v>
      </c>
      <c r="E4407" s="1" t="s">
        <v>324</v>
      </c>
    </row>
    <row r="4408" spans="1:5" x14ac:dyDescent="0.2">
      <c r="A4408" s="1" t="s">
        <v>1276</v>
      </c>
      <c r="B4408" s="1" t="s">
        <v>911</v>
      </c>
      <c r="C4408" s="5">
        <f>DATE(2025, 3, 27) + TIME(15, 15, 5)</f>
        <v>45743.635474537034</v>
      </c>
      <c r="D4408" s="1" t="s">
        <v>566</v>
      </c>
      <c r="E4408" s="1" t="s">
        <v>324</v>
      </c>
    </row>
    <row r="4409" spans="1:5" x14ac:dyDescent="0.2">
      <c r="A4409" s="1" t="s">
        <v>1276</v>
      </c>
      <c r="B4409" s="1" t="s">
        <v>562</v>
      </c>
      <c r="C4409" s="5">
        <f>DATE(2025, 3, 27) + TIME(15, 14, 16)</f>
        <v>45743.63490740741</v>
      </c>
      <c r="D4409" s="1" t="s">
        <v>269</v>
      </c>
      <c r="E4409" s="1" t="s">
        <v>299</v>
      </c>
    </row>
    <row r="4410" spans="1:5" x14ac:dyDescent="0.2">
      <c r="A4410" s="1" t="s">
        <v>1276</v>
      </c>
      <c r="B4410" s="1" t="s">
        <v>66</v>
      </c>
      <c r="C4410" s="5">
        <f>DATE(2025, 3, 27) + TIME(13, 23, 32)</f>
        <v>45743.558009259257</v>
      </c>
      <c r="D4410" s="1" t="s">
        <v>754</v>
      </c>
      <c r="E4410" s="1" t="s">
        <v>441</v>
      </c>
    </row>
    <row r="4411" spans="1:5" x14ac:dyDescent="0.2">
      <c r="A4411" s="1" t="s">
        <v>1276</v>
      </c>
      <c r="B4411" s="1" t="s">
        <v>1000</v>
      </c>
      <c r="C4411" s="5">
        <f>DATE(2025, 3, 27) + TIME(11, 33, 7)</f>
        <v>45743.48133101852</v>
      </c>
      <c r="D4411" s="1" t="s">
        <v>3</v>
      </c>
      <c r="E4411" s="1" t="s">
        <v>684</v>
      </c>
    </row>
    <row r="4412" spans="1:5" x14ac:dyDescent="0.2">
      <c r="A4412" s="1" t="s">
        <v>1276</v>
      </c>
      <c r="B4412" s="1" t="s">
        <v>885</v>
      </c>
      <c r="C4412" s="5">
        <f>DATE(2025, 3, 27) + TIME(9, 49, 39)</f>
        <v>45743.409479166665</v>
      </c>
      <c r="D4412" s="1" t="s">
        <v>506</v>
      </c>
      <c r="E4412" s="1" t="s">
        <v>369</v>
      </c>
    </row>
    <row r="4413" spans="1:5" x14ac:dyDescent="0.2">
      <c r="A4413" s="1" t="s">
        <v>1276</v>
      </c>
      <c r="B4413" s="1" t="s">
        <v>932</v>
      </c>
      <c r="C4413" s="5">
        <f>DATE(2025, 3, 26) + TIME(15, 21, 20)</f>
        <v>45742.639814814815</v>
      </c>
      <c r="D4413" s="1" t="s">
        <v>3</v>
      </c>
      <c r="E4413" s="1" t="s">
        <v>1001</v>
      </c>
    </row>
    <row r="4414" spans="1:5" x14ac:dyDescent="0.2">
      <c r="A4414" s="1" t="s">
        <v>1276</v>
      </c>
      <c r="B4414" s="1" t="s">
        <v>271</v>
      </c>
      <c r="C4414" s="5">
        <f>DATE(2025, 3, 26) + TIME(15, 18, 14)</f>
        <v>45742.637662037036</v>
      </c>
      <c r="D4414" s="1" t="s">
        <v>506</v>
      </c>
      <c r="E4414" s="1" t="s">
        <v>158</v>
      </c>
    </row>
    <row r="4415" spans="1:5" x14ac:dyDescent="0.2">
      <c r="A4415" s="1" t="s">
        <v>1276</v>
      </c>
      <c r="B4415" s="1" t="s">
        <v>817</v>
      </c>
      <c r="C4415" s="5">
        <f>DATE(2025, 3, 26) + TIME(15, 10, 34)</f>
        <v>45742.632337962961</v>
      </c>
      <c r="D4415" s="1" t="s">
        <v>566</v>
      </c>
      <c r="E4415" s="1" t="s">
        <v>888</v>
      </c>
    </row>
    <row r="4416" spans="1:5" x14ac:dyDescent="0.2">
      <c r="A4416" s="1" t="s">
        <v>1276</v>
      </c>
      <c r="B4416" s="1" t="s">
        <v>562</v>
      </c>
      <c r="C4416" s="5">
        <f>DATE(2025, 3, 26) + TIME(15, 10, 34)</f>
        <v>45742.632337962961</v>
      </c>
      <c r="D4416" s="1" t="s">
        <v>566</v>
      </c>
      <c r="E4416" s="1" t="s">
        <v>888</v>
      </c>
    </row>
    <row r="4417" spans="1:5" x14ac:dyDescent="0.2">
      <c r="A4417" s="1" t="s">
        <v>1276</v>
      </c>
      <c r="B4417" s="1" t="s">
        <v>1002</v>
      </c>
      <c r="C4417" s="5">
        <f>DATE(2025, 3, 26) + TIME(15, 10, 34)</f>
        <v>45742.632337962961</v>
      </c>
      <c r="D4417" s="1" t="s">
        <v>566</v>
      </c>
      <c r="E4417" s="1" t="s">
        <v>888</v>
      </c>
    </row>
    <row r="4418" spans="1:5" x14ac:dyDescent="0.2">
      <c r="A4418" s="1" t="s">
        <v>1276</v>
      </c>
      <c r="B4418" s="1" t="s">
        <v>408</v>
      </c>
      <c r="C4418" s="5">
        <f>DATE(2025, 3, 26) + TIME(15, 10, 34)</f>
        <v>45742.632337962961</v>
      </c>
      <c r="D4418" s="1" t="s">
        <v>566</v>
      </c>
      <c r="E4418" s="1" t="s">
        <v>888</v>
      </c>
    </row>
    <row r="4419" spans="1:5" x14ac:dyDescent="0.2">
      <c r="A4419" s="1" t="s">
        <v>1276</v>
      </c>
      <c r="B4419" s="1" t="s">
        <v>456</v>
      </c>
      <c r="C4419" s="5">
        <f>DATE(2025, 3, 26) + TIME(15, 10, 34)</f>
        <v>45742.632337962961</v>
      </c>
      <c r="D4419" s="1" t="s">
        <v>566</v>
      </c>
      <c r="E4419" s="1" t="s">
        <v>888</v>
      </c>
    </row>
    <row r="4420" spans="1:5" x14ac:dyDescent="0.2">
      <c r="A4420" s="1" t="s">
        <v>1276</v>
      </c>
      <c r="B4420" s="1" t="s">
        <v>72</v>
      </c>
      <c r="C4420" s="5">
        <f>DATE(2025, 3, 26) + TIME(15, 3, 32)</f>
        <v>45742.627453703702</v>
      </c>
      <c r="D4420" s="1" t="s">
        <v>638</v>
      </c>
      <c r="E4420" s="1" t="s">
        <v>518</v>
      </c>
    </row>
    <row r="4421" spans="1:5" x14ac:dyDescent="0.2">
      <c r="A4421" s="1" t="s">
        <v>1276</v>
      </c>
      <c r="B4421" s="1" t="s">
        <v>562</v>
      </c>
      <c r="C4421" s="5">
        <f>DATE(2025, 3, 26) + TIME(14, 16, 36)</f>
        <v>45742.594861111109</v>
      </c>
      <c r="D4421" s="1" t="s">
        <v>563</v>
      </c>
      <c r="E4421" s="1" t="s">
        <v>217</v>
      </c>
    </row>
    <row r="4422" spans="1:5" x14ac:dyDescent="0.2">
      <c r="A4422" s="1" t="s">
        <v>1276</v>
      </c>
      <c r="B4422" s="1" t="s">
        <v>9</v>
      </c>
      <c r="C4422" s="5">
        <f>DATE(2025, 3, 26) + TIME(14, 0, 18)</f>
        <v>45742.583541666667</v>
      </c>
      <c r="D4422" s="1" t="s">
        <v>320</v>
      </c>
      <c r="E4422" s="1" t="s">
        <v>2</v>
      </c>
    </row>
    <row r="4423" spans="1:5" x14ac:dyDescent="0.2">
      <c r="A4423" s="1" t="s">
        <v>1276</v>
      </c>
      <c r="B4423" s="1" t="s">
        <v>1003</v>
      </c>
      <c r="C4423" s="5">
        <f>DATE(2025, 3, 26) + TIME(14, 0, 17)</f>
        <v>45742.58353009259</v>
      </c>
      <c r="D4423" s="1" t="s">
        <v>320</v>
      </c>
      <c r="E4423" s="1" t="s">
        <v>2</v>
      </c>
    </row>
    <row r="4424" spans="1:5" x14ac:dyDescent="0.2">
      <c r="A4424" s="1" t="s">
        <v>1276</v>
      </c>
      <c r="B4424" s="1" t="s">
        <v>66</v>
      </c>
      <c r="C4424" s="5">
        <f>DATE(2025, 3, 26) + TIME(13, 9, 5)</f>
        <v>45742.547974537039</v>
      </c>
      <c r="D4424" s="1" t="s">
        <v>216</v>
      </c>
      <c r="E4424" s="1" t="s">
        <v>321</v>
      </c>
    </row>
    <row r="4425" spans="1:5" x14ac:dyDescent="0.2">
      <c r="A4425" s="1" t="s">
        <v>1276</v>
      </c>
      <c r="B4425" s="1" t="s">
        <v>271</v>
      </c>
      <c r="C4425" s="5">
        <f>DATE(2025, 3, 26) + TIME(12, 12, 46)</f>
        <v>45742.50886574074</v>
      </c>
      <c r="D4425" s="1" t="s">
        <v>566</v>
      </c>
      <c r="E4425" s="1" t="s">
        <v>938</v>
      </c>
    </row>
    <row r="4426" spans="1:5" x14ac:dyDescent="0.2">
      <c r="A4426" s="1" t="s">
        <v>1276</v>
      </c>
      <c r="B4426" s="1" t="s">
        <v>322</v>
      </c>
      <c r="C4426" s="5">
        <f>DATE(2025, 3, 26) + TIME(10, 21, 29)</f>
        <v>45742.431585648148</v>
      </c>
      <c r="D4426" s="1" t="s">
        <v>640</v>
      </c>
      <c r="E4426" s="1" t="s">
        <v>700</v>
      </c>
    </row>
    <row r="4427" spans="1:5" x14ac:dyDescent="0.2">
      <c r="A4427" s="1" t="s">
        <v>1276</v>
      </c>
      <c r="B4427" s="1" t="s">
        <v>247</v>
      </c>
      <c r="C4427" s="5">
        <f>DATE(2025, 3, 26) + TIME(9, 38, 57)</f>
        <v>45742.402048611111</v>
      </c>
      <c r="D4427" s="1" t="s">
        <v>459</v>
      </c>
      <c r="E4427" s="1" t="s">
        <v>222</v>
      </c>
    </row>
    <row r="4428" spans="1:5" x14ac:dyDescent="0.2">
      <c r="A4428" s="1" t="s">
        <v>1276</v>
      </c>
      <c r="B4428" s="1" t="s">
        <v>686</v>
      </c>
      <c r="C4428" s="5">
        <f>DATE(2025, 3, 25) + TIME(15, 30, 59)</f>
        <v>45741.646516203706</v>
      </c>
      <c r="D4428" s="1" t="s">
        <v>126</v>
      </c>
      <c r="E4428" s="1" t="s">
        <v>121</v>
      </c>
    </row>
    <row r="4429" spans="1:5" x14ac:dyDescent="0.2">
      <c r="A4429" s="1" t="s">
        <v>1276</v>
      </c>
      <c r="B4429" s="1" t="s">
        <v>271</v>
      </c>
      <c r="C4429" s="5">
        <f>DATE(2025, 3, 25) + TIME(14, 58, 39)</f>
        <v>45741.624062499999</v>
      </c>
      <c r="D4429" s="1" t="s">
        <v>506</v>
      </c>
      <c r="E4429" s="1" t="s">
        <v>823</v>
      </c>
    </row>
    <row r="4430" spans="1:5" x14ac:dyDescent="0.2">
      <c r="A4430" s="1" t="s">
        <v>1276</v>
      </c>
      <c r="B4430" s="1" t="s">
        <v>271</v>
      </c>
      <c r="C4430" s="5">
        <f>DATE(2025, 3, 25) + TIME(13, 8, 39)</f>
        <v>45741.547673611109</v>
      </c>
      <c r="D4430" s="1" t="s">
        <v>869</v>
      </c>
      <c r="E4430" s="1" t="s">
        <v>639</v>
      </c>
    </row>
    <row r="4431" spans="1:5" x14ac:dyDescent="0.2">
      <c r="A4431" s="1" t="s">
        <v>1276</v>
      </c>
      <c r="B4431" s="1" t="s">
        <v>9</v>
      </c>
      <c r="C4431" s="5">
        <f>DATE(2025, 3, 25) + TIME(11, 20, 50)</f>
        <v>45741.472800925927</v>
      </c>
      <c r="D4431" s="1" t="s">
        <v>576</v>
      </c>
      <c r="E4431" s="1" t="s">
        <v>395</v>
      </c>
    </row>
    <row r="4432" spans="1:5" x14ac:dyDescent="0.2">
      <c r="A4432" s="1" t="s">
        <v>1276</v>
      </c>
      <c r="B4432" s="1" t="s">
        <v>66</v>
      </c>
      <c r="C4432" s="5">
        <f>DATE(2025, 3, 25) + TIME(11, 20, 49)</f>
        <v>45741.47278935185</v>
      </c>
      <c r="D4432" s="1" t="s">
        <v>576</v>
      </c>
      <c r="E4432" s="1" t="s">
        <v>395</v>
      </c>
    </row>
    <row r="4433" spans="1:5" x14ac:dyDescent="0.2">
      <c r="A4433" s="1" t="s">
        <v>1276</v>
      </c>
      <c r="B4433" s="1" t="s">
        <v>864</v>
      </c>
      <c r="C4433" s="5">
        <f>DATE(2025, 3, 25) + TIME(11, 20, 49)</f>
        <v>45741.47278935185</v>
      </c>
      <c r="D4433" s="1" t="s">
        <v>576</v>
      </c>
      <c r="E4433" s="1" t="s">
        <v>395</v>
      </c>
    </row>
    <row r="4434" spans="1:5" x14ac:dyDescent="0.2">
      <c r="A4434" s="1" t="s">
        <v>1276</v>
      </c>
      <c r="B4434" s="1" t="s">
        <v>932</v>
      </c>
      <c r="C4434" s="5">
        <f>DATE(2025, 3, 25) + TIME(9, 30, 58)</f>
        <v>45741.396504629629</v>
      </c>
      <c r="D4434" s="1" t="s">
        <v>65</v>
      </c>
      <c r="E4434" s="1" t="s">
        <v>152</v>
      </c>
    </row>
    <row r="4435" spans="1:5" x14ac:dyDescent="0.2">
      <c r="A4435" s="1" t="s">
        <v>1276</v>
      </c>
      <c r="B4435" s="1" t="s">
        <v>33</v>
      </c>
      <c r="C4435" s="5">
        <f>DATE(2025, 3, 25) + TIME(9, 30, 58)</f>
        <v>45741.396504629629</v>
      </c>
      <c r="D4435" s="1" t="s">
        <v>65</v>
      </c>
      <c r="E4435" s="1" t="s">
        <v>152</v>
      </c>
    </row>
    <row r="4436" spans="1:5" x14ac:dyDescent="0.2">
      <c r="A4436" s="1" t="s">
        <v>1276</v>
      </c>
      <c r="B4436" s="1" t="s">
        <v>864</v>
      </c>
      <c r="C4436" s="5">
        <f>DATE(2025, 3, 25) + TIME(9, 8, 13)</f>
        <v>45741.380706018521</v>
      </c>
      <c r="D4436" s="1" t="s">
        <v>148</v>
      </c>
      <c r="E4436" s="1" t="s">
        <v>471</v>
      </c>
    </row>
    <row r="4437" spans="1:5" x14ac:dyDescent="0.2">
      <c r="A4437" s="1" t="s">
        <v>1276</v>
      </c>
      <c r="B4437" s="1" t="s">
        <v>456</v>
      </c>
      <c r="C4437" s="5">
        <f>DATE(2025, 3, 24) + TIME(15, 23, 41)</f>
        <v>45740.641446759262</v>
      </c>
      <c r="D4437" s="1" t="s">
        <v>396</v>
      </c>
      <c r="E4437" s="1" t="s">
        <v>652</v>
      </c>
    </row>
    <row r="4438" spans="1:5" x14ac:dyDescent="0.2">
      <c r="A4438" s="1" t="s">
        <v>1276</v>
      </c>
      <c r="B4438" s="1" t="s">
        <v>807</v>
      </c>
      <c r="C4438" s="5">
        <f>DATE(2025, 3, 24) + TIME(14, 39, 14)</f>
        <v>45740.610578703701</v>
      </c>
      <c r="D4438" s="1" t="s">
        <v>871</v>
      </c>
      <c r="E4438" s="1" t="s">
        <v>839</v>
      </c>
    </row>
    <row r="4439" spans="1:5" x14ac:dyDescent="0.2">
      <c r="A4439" s="1" t="s">
        <v>1276</v>
      </c>
      <c r="B4439" s="1" t="s">
        <v>864</v>
      </c>
      <c r="C4439" s="5">
        <f>DATE(2025, 3, 24) + TIME(14, 18, 26)</f>
        <v>45740.596134259256</v>
      </c>
      <c r="D4439" s="1" t="s">
        <v>754</v>
      </c>
      <c r="E4439" s="1" t="s">
        <v>282</v>
      </c>
    </row>
    <row r="4440" spans="1:5" x14ac:dyDescent="0.2">
      <c r="A4440" s="1" t="s">
        <v>1276</v>
      </c>
      <c r="B4440" s="1" t="s">
        <v>789</v>
      </c>
      <c r="C4440" s="5">
        <f>DATE(2025, 3, 24) + TIME(13, 29, 31)</f>
        <v>45740.562164351853</v>
      </c>
      <c r="D4440" s="1" t="s">
        <v>754</v>
      </c>
      <c r="E4440" s="1" t="s">
        <v>441</v>
      </c>
    </row>
    <row r="4441" spans="1:5" x14ac:dyDescent="0.2">
      <c r="A4441" s="1" t="s">
        <v>1276</v>
      </c>
      <c r="B4441" s="1" t="s">
        <v>9</v>
      </c>
      <c r="C4441" s="5">
        <f>DATE(2025, 3, 24) + TIME(13, 29, 31)</f>
        <v>45740.562164351853</v>
      </c>
      <c r="D4441" s="1" t="s">
        <v>754</v>
      </c>
      <c r="E4441" s="1" t="s">
        <v>441</v>
      </c>
    </row>
    <row r="4442" spans="1:5" x14ac:dyDescent="0.2">
      <c r="A4442" s="1" t="s">
        <v>1276</v>
      </c>
      <c r="B4442" s="1" t="s">
        <v>562</v>
      </c>
      <c r="C4442" s="5">
        <f>DATE(2025, 3, 24) + TIME(13, 28, 41)</f>
        <v>45740.561585648145</v>
      </c>
      <c r="D4442" s="1" t="s">
        <v>5</v>
      </c>
      <c r="E4442" s="1" t="s">
        <v>599</v>
      </c>
    </row>
    <row r="4443" spans="1:5" x14ac:dyDescent="0.2">
      <c r="A4443" s="1" t="s">
        <v>1276</v>
      </c>
      <c r="B4443" s="1" t="s">
        <v>932</v>
      </c>
      <c r="C4443" s="5">
        <f>DATE(2025, 3, 24) + TIME(13, 21, 41)</f>
        <v>45740.55672453704</v>
      </c>
      <c r="D4443" s="1" t="s">
        <v>65</v>
      </c>
      <c r="E4443" s="1" t="s">
        <v>152</v>
      </c>
    </row>
    <row r="4444" spans="1:5" x14ac:dyDescent="0.2">
      <c r="A4444" s="1" t="s">
        <v>1276</v>
      </c>
      <c r="B4444" s="1" t="s">
        <v>456</v>
      </c>
      <c r="C4444" s="5">
        <f>DATE(2025, 3, 24) + TIME(12, 59, 47)</f>
        <v>45740.541516203702</v>
      </c>
      <c r="D4444" s="1" t="s">
        <v>396</v>
      </c>
      <c r="E4444" s="1" t="s">
        <v>567</v>
      </c>
    </row>
    <row r="4445" spans="1:5" x14ac:dyDescent="0.2">
      <c r="A4445" s="1" t="s">
        <v>1276</v>
      </c>
      <c r="B4445" s="1" t="s">
        <v>456</v>
      </c>
      <c r="C4445" s="5">
        <f>DATE(2025, 3, 24) + TIME(11, 10, 18)</f>
        <v>45740.465486111112</v>
      </c>
      <c r="D4445" s="1" t="s">
        <v>65</v>
      </c>
      <c r="E4445" s="1" t="s">
        <v>404</v>
      </c>
    </row>
    <row r="4446" spans="1:5" x14ac:dyDescent="0.2">
      <c r="A4446" s="1" t="s">
        <v>1276</v>
      </c>
      <c r="B4446" s="1" t="s">
        <v>271</v>
      </c>
      <c r="C4446" s="5">
        <f>DATE(2025, 3, 24) + TIME(10, 13, 47)</f>
        <v>45740.426238425927</v>
      </c>
      <c r="D4446" s="1" t="s">
        <v>356</v>
      </c>
      <c r="E4446" s="1" t="s">
        <v>145</v>
      </c>
    </row>
    <row r="4447" spans="1:5" x14ac:dyDescent="0.2">
      <c r="A4447" s="1" t="s">
        <v>1276</v>
      </c>
      <c r="B4447" s="1" t="s">
        <v>932</v>
      </c>
      <c r="C4447" s="5">
        <f>DATE(2025, 3, 21) + TIME(19, 14, 19)</f>
        <v>45737.801608796297</v>
      </c>
      <c r="D4447" s="1" t="s">
        <v>65</v>
      </c>
      <c r="E4447" s="1" t="s">
        <v>152</v>
      </c>
    </row>
    <row r="4448" spans="1:5" x14ac:dyDescent="0.2">
      <c r="A4448" s="1" t="s">
        <v>1276</v>
      </c>
      <c r="B4448" s="1" t="s">
        <v>747</v>
      </c>
      <c r="C4448" s="5">
        <f>DATE(2025, 3, 20) + TIME(15, 11, 52)</f>
        <v>45736.633240740739</v>
      </c>
      <c r="D4448" s="1" t="s">
        <v>566</v>
      </c>
      <c r="E4448" s="1" t="s">
        <v>324</v>
      </c>
    </row>
    <row r="4449" spans="1:5" x14ac:dyDescent="0.2">
      <c r="A4449" s="1" t="s">
        <v>1276</v>
      </c>
      <c r="B4449" s="1" t="s">
        <v>250</v>
      </c>
      <c r="C4449" s="5">
        <f>DATE(2025, 3, 20) + TIME(15, 11, 52)</f>
        <v>45736.633240740739</v>
      </c>
      <c r="D4449" s="1" t="s">
        <v>566</v>
      </c>
      <c r="E4449" s="1" t="s">
        <v>324</v>
      </c>
    </row>
    <row r="4450" spans="1:5" x14ac:dyDescent="0.2">
      <c r="A4450" s="1" t="s">
        <v>1276</v>
      </c>
      <c r="B4450" s="1" t="s">
        <v>663</v>
      </c>
      <c r="C4450" s="5">
        <f>DATE(2025, 3, 20) + TIME(15, 9, 19)</f>
        <v>45736.631469907406</v>
      </c>
      <c r="D4450" s="1" t="s">
        <v>576</v>
      </c>
      <c r="E4450" s="1" t="s">
        <v>641</v>
      </c>
    </row>
    <row r="4451" spans="1:5" x14ac:dyDescent="0.2">
      <c r="A4451" s="1" t="s">
        <v>1276</v>
      </c>
      <c r="B4451" s="1" t="s">
        <v>271</v>
      </c>
      <c r="C4451" s="5">
        <f>DATE(2025, 3, 20) + TIME(14, 34, 46)</f>
        <v>45736.607476851852</v>
      </c>
      <c r="D4451" s="1" t="s">
        <v>638</v>
      </c>
      <c r="E4451" s="1" t="s">
        <v>397</v>
      </c>
    </row>
    <row r="4452" spans="1:5" x14ac:dyDescent="0.2">
      <c r="A4452" s="1" t="s">
        <v>1276</v>
      </c>
      <c r="B4452" s="1" t="s">
        <v>927</v>
      </c>
      <c r="C4452" s="5">
        <f>DATE(2025, 3, 20) + TIME(12, 53, 14)</f>
        <v>45736.53696759259</v>
      </c>
      <c r="D4452" s="1" t="s">
        <v>576</v>
      </c>
      <c r="E4452" s="1" t="s">
        <v>1005</v>
      </c>
    </row>
    <row r="4453" spans="1:5" x14ac:dyDescent="0.2">
      <c r="A4453" s="1" t="s">
        <v>1276</v>
      </c>
      <c r="B4453" s="1" t="s">
        <v>9</v>
      </c>
      <c r="C4453" s="5">
        <f>DATE(2025, 3, 20) + TIME(11, 31, 16)</f>
        <v>45736.480046296296</v>
      </c>
      <c r="D4453" s="1" t="s">
        <v>3</v>
      </c>
      <c r="E4453" s="1" t="s">
        <v>684</v>
      </c>
    </row>
    <row r="4454" spans="1:5" x14ac:dyDescent="0.2">
      <c r="A4454" s="1" t="s">
        <v>1276</v>
      </c>
      <c r="B4454" s="1" t="s">
        <v>271</v>
      </c>
      <c r="C4454" s="5">
        <f>DATE(2025, 3, 19) + TIME(15, 39, 38)</f>
        <v>45735.65252314815</v>
      </c>
      <c r="D4454" s="1" t="s">
        <v>638</v>
      </c>
      <c r="E4454" s="1" t="s">
        <v>903</v>
      </c>
    </row>
    <row r="4455" spans="1:5" x14ac:dyDescent="0.2">
      <c r="A4455" s="1" t="s">
        <v>1276</v>
      </c>
      <c r="B4455" s="1" t="s">
        <v>686</v>
      </c>
      <c r="C4455" s="5">
        <f>DATE(2025, 3, 19) + TIME(15, 35, 33)</f>
        <v>45735.649687500001</v>
      </c>
      <c r="D4455" s="1" t="s">
        <v>64</v>
      </c>
      <c r="E4455" s="1" t="s">
        <v>1008</v>
      </c>
    </row>
    <row r="4456" spans="1:5" x14ac:dyDescent="0.2">
      <c r="A4456" s="1" t="s">
        <v>1276</v>
      </c>
      <c r="B4456" s="1" t="s">
        <v>456</v>
      </c>
      <c r="C4456" s="5">
        <f>DATE(2025, 3, 19) + TIME(15, 22, 16)</f>
        <v>45735.640462962961</v>
      </c>
      <c r="D4456" s="1" t="s">
        <v>65</v>
      </c>
      <c r="E4456" s="1" t="s">
        <v>404</v>
      </c>
    </row>
    <row r="4457" spans="1:5" x14ac:dyDescent="0.2">
      <c r="A4457" s="1" t="s">
        <v>1276</v>
      </c>
      <c r="B4457" s="1" t="s">
        <v>72</v>
      </c>
      <c r="C4457" s="5">
        <f>DATE(2025, 3, 19) + TIME(14, 48, 29)</f>
        <v>45735.617002314815</v>
      </c>
      <c r="D4457" s="1" t="s">
        <v>638</v>
      </c>
      <c r="E4457" s="1" t="s">
        <v>198</v>
      </c>
    </row>
    <row r="4458" spans="1:5" x14ac:dyDescent="0.2">
      <c r="A4458" s="1" t="s">
        <v>1276</v>
      </c>
      <c r="B4458" s="1" t="s">
        <v>866</v>
      </c>
      <c r="C4458" s="5">
        <f>DATE(2025, 3, 19) + TIME(14, 3, 6)</f>
        <v>45735.585486111115</v>
      </c>
      <c r="D4458" s="1" t="s">
        <v>396</v>
      </c>
      <c r="E4458" s="1" t="s">
        <v>1009</v>
      </c>
    </row>
    <row r="4459" spans="1:5" x14ac:dyDescent="0.2">
      <c r="A4459" s="1" t="s">
        <v>1276</v>
      </c>
      <c r="B4459" s="1" t="s">
        <v>271</v>
      </c>
      <c r="C4459" s="5">
        <f>DATE(2025, 3, 19) + TIME(13, 26, 35)</f>
        <v>45735.560127314813</v>
      </c>
      <c r="D4459" s="1" t="s">
        <v>506</v>
      </c>
      <c r="E4459" s="1" t="s">
        <v>347</v>
      </c>
    </row>
    <row r="4460" spans="1:5" x14ac:dyDescent="0.2">
      <c r="A4460" s="1" t="s">
        <v>1276</v>
      </c>
      <c r="B4460" s="1" t="s">
        <v>864</v>
      </c>
      <c r="C4460" s="5">
        <f>DATE(2025, 3, 19) + TIME(13, 26, 35)</f>
        <v>45735.560127314813</v>
      </c>
      <c r="D4460" s="1" t="s">
        <v>506</v>
      </c>
      <c r="E4460" s="1" t="s">
        <v>347</v>
      </c>
    </row>
    <row r="4461" spans="1:5" x14ac:dyDescent="0.2">
      <c r="A4461" s="1" t="s">
        <v>1276</v>
      </c>
      <c r="B4461" s="1" t="s">
        <v>1010</v>
      </c>
      <c r="C4461" s="5">
        <f>DATE(2025, 3, 19) + TIME(13, 23, 36)</f>
        <v>45735.558055555557</v>
      </c>
      <c r="D4461" s="1" t="s">
        <v>566</v>
      </c>
      <c r="E4461" s="1" t="s">
        <v>888</v>
      </c>
    </row>
    <row r="4462" spans="1:5" x14ac:dyDescent="0.2">
      <c r="A4462" s="1" t="s">
        <v>1276</v>
      </c>
      <c r="B4462" s="1" t="s">
        <v>24</v>
      </c>
      <c r="C4462" s="5">
        <f>DATE(2025, 3, 19) + TIME(13, 23, 36)</f>
        <v>45735.558055555557</v>
      </c>
      <c r="D4462" s="1" t="s">
        <v>566</v>
      </c>
      <c r="E4462" s="1" t="s">
        <v>888</v>
      </c>
    </row>
    <row r="4463" spans="1:5" x14ac:dyDescent="0.2">
      <c r="A4463" s="1" t="s">
        <v>1276</v>
      </c>
      <c r="B4463" s="1" t="s">
        <v>817</v>
      </c>
      <c r="C4463" s="5">
        <f>DATE(2025, 3, 19) + TIME(13, 10, 54)</f>
        <v>45735.54923611111</v>
      </c>
      <c r="D4463" s="1" t="s">
        <v>576</v>
      </c>
      <c r="E4463" s="1" t="s">
        <v>1011</v>
      </c>
    </row>
    <row r="4464" spans="1:5" x14ac:dyDescent="0.2">
      <c r="A4464" s="1" t="s">
        <v>1276</v>
      </c>
      <c r="B4464" s="1" t="s">
        <v>271</v>
      </c>
      <c r="C4464" s="5">
        <f>DATE(2025, 3, 19) + TIME(12, 39, 25)</f>
        <v>45735.527372685188</v>
      </c>
      <c r="D4464" s="1" t="s">
        <v>638</v>
      </c>
      <c r="E4464" s="1" t="s">
        <v>535</v>
      </c>
    </row>
    <row r="4465" spans="1:5" x14ac:dyDescent="0.2">
      <c r="A4465" s="1" t="s">
        <v>1276</v>
      </c>
      <c r="B4465" s="1" t="s">
        <v>817</v>
      </c>
      <c r="C4465" s="5">
        <f>DATE(2025, 3, 19) + TIME(12, 18, 19)</f>
        <v>45735.512719907405</v>
      </c>
      <c r="D4465" s="1" t="s">
        <v>341</v>
      </c>
      <c r="E4465" s="1" t="s">
        <v>845</v>
      </c>
    </row>
    <row r="4466" spans="1:5" x14ac:dyDescent="0.2">
      <c r="A4466" s="1" t="s">
        <v>1276</v>
      </c>
      <c r="B4466" s="1" t="s">
        <v>864</v>
      </c>
      <c r="C4466" s="5">
        <f>DATE(2025, 3, 19) + TIME(12, 18, 19)</f>
        <v>45735.512719907405</v>
      </c>
      <c r="D4466" s="1" t="s">
        <v>341</v>
      </c>
      <c r="E4466" s="1" t="s">
        <v>845</v>
      </c>
    </row>
    <row r="4467" spans="1:5" x14ac:dyDescent="0.2">
      <c r="A4467" s="1" t="s">
        <v>1276</v>
      </c>
      <c r="B4467" s="1" t="s">
        <v>69</v>
      </c>
      <c r="C4467" s="5">
        <f>DATE(2025, 3, 19) + TIME(12, 18, 18)</f>
        <v>45735.512708333335</v>
      </c>
      <c r="D4467" s="1" t="s">
        <v>341</v>
      </c>
      <c r="E4467" s="1" t="s">
        <v>201</v>
      </c>
    </row>
    <row r="4468" spans="1:5" x14ac:dyDescent="0.2">
      <c r="A4468" s="1" t="s">
        <v>1276</v>
      </c>
      <c r="B4468" s="1" t="s">
        <v>60</v>
      </c>
      <c r="C4468" s="5">
        <f>DATE(2025, 3, 19) + TIME(12, 18, 18)</f>
        <v>45735.512708333335</v>
      </c>
      <c r="D4468" s="1" t="s">
        <v>341</v>
      </c>
      <c r="E4468" s="1" t="s">
        <v>201</v>
      </c>
    </row>
    <row r="4469" spans="1:5" x14ac:dyDescent="0.2">
      <c r="A4469" s="1" t="s">
        <v>1276</v>
      </c>
      <c r="B4469" s="1" t="s">
        <v>60</v>
      </c>
      <c r="C4469" s="5">
        <f>DATE(2025, 3, 19) + TIME(12, 18, 18)</f>
        <v>45735.512708333335</v>
      </c>
      <c r="D4469" s="1" t="s">
        <v>341</v>
      </c>
      <c r="E4469" s="1" t="s">
        <v>845</v>
      </c>
    </row>
    <row r="4470" spans="1:5" x14ac:dyDescent="0.2">
      <c r="A4470" s="1" t="s">
        <v>1276</v>
      </c>
      <c r="B4470" s="1" t="s">
        <v>682</v>
      </c>
      <c r="C4470" s="5">
        <f>DATE(2025, 3, 19) + TIME(8, 44, 40)</f>
        <v>45735.364351851851</v>
      </c>
      <c r="D4470" s="1" t="s">
        <v>148</v>
      </c>
      <c r="E4470" s="1" t="s">
        <v>621</v>
      </c>
    </row>
    <row r="4471" spans="1:5" x14ac:dyDescent="0.2">
      <c r="A4471" s="1" t="s">
        <v>1276</v>
      </c>
      <c r="B4471" s="1" t="s">
        <v>69</v>
      </c>
      <c r="C4471" s="5">
        <f>DATE(2025, 3, 19) + TIME(8, 20, 9)</f>
        <v>45735.347326388888</v>
      </c>
      <c r="D4471" s="1" t="s">
        <v>640</v>
      </c>
      <c r="E4471" s="1" t="s">
        <v>426</v>
      </c>
    </row>
    <row r="4472" spans="1:5" x14ac:dyDescent="0.2">
      <c r="A4472" s="1" t="s">
        <v>1276</v>
      </c>
      <c r="B4472" s="1" t="s">
        <v>969</v>
      </c>
      <c r="C4472" s="5">
        <f>DATE(2025, 3, 18) + TIME(14, 15, 57)</f>
        <v>45734.594409722224</v>
      </c>
      <c r="D4472" s="1" t="s">
        <v>566</v>
      </c>
      <c r="E4472" s="1" t="s">
        <v>893</v>
      </c>
    </row>
    <row r="4473" spans="1:5" x14ac:dyDescent="0.2">
      <c r="A4473" s="1" t="s">
        <v>1276</v>
      </c>
      <c r="B4473" s="1" t="s">
        <v>864</v>
      </c>
      <c r="C4473" s="5">
        <f>DATE(2025, 3, 18) + TIME(11, 37, 9)</f>
        <v>45734.484131944446</v>
      </c>
      <c r="D4473" s="1" t="s">
        <v>3</v>
      </c>
      <c r="E4473" s="1" t="s">
        <v>925</v>
      </c>
    </row>
    <row r="4474" spans="1:5" x14ac:dyDescent="0.2">
      <c r="A4474" s="1" t="s">
        <v>1276</v>
      </c>
      <c r="B4474" s="1" t="s">
        <v>562</v>
      </c>
      <c r="C4474" s="5">
        <f>DATE(2025, 3, 17) + TIME(14, 27, 40)</f>
        <v>45733.602546296293</v>
      </c>
      <c r="D4474" s="1" t="s">
        <v>576</v>
      </c>
      <c r="E4474" s="1" t="s">
        <v>599</v>
      </c>
    </row>
    <row r="4475" spans="1:5" x14ac:dyDescent="0.2">
      <c r="A4475" s="1" t="s">
        <v>1276</v>
      </c>
      <c r="B4475" s="1" t="s">
        <v>866</v>
      </c>
      <c r="C4475" s="5">
        <f>DATE(2025, 3, 17) + TIME(14, 2, 40)</f>
        <v>45733.585185185184</v>
      </c>
      <c r="D4475" s="1" t="s">
        <v>467</v>
      </c>
      <c r="E4475" s="1" t="s">
        <v>342</v>
      </c>
    </row>
    <row r="4476" spans="1:5" x14ac:dyDescent="0.2">
      <c r="A4476" s="1" t="s">
        <v>1276</v>
      </c>
      <c r="B4476" s="1" t="s">
        <v>161</v>
      </c>
      <c r="C4476" s="5">
        <f>DATE(2025, 3, 17) + TIME(13, 45, 27)</f>
        <v>45733.573229166665</v>
      </c>
      <c r="D4476" s="1" t="s">
        <v>269</v>
      </c>
      <c r="E4476" s="1" t="s">
        <v>299</v>
      </c>
    </row>
    <row r="4477" spans="1:5" x14ac:dyDescent="0.2">
      <c r="A4477" s="1" t="s">
        <v>1276</v>
      </c>
      <c r="B4477" s="1" t="s">
        <v>552</v>
      </c>
      <c r="C4477" s="5">
        <f>DATE(2025, 3, 17) + TIME(13, 45, 27)</f>
        <v>45733.573229166665</v>
      </c>
      <c r="D4477" s="1" t="s">
        <v>269</v>
      </c>
      <c r="E4477" s="1" t="s">
        <v>299</v>
      </c>
    </row>
    <row r="4478" spans="1:5" x14ac:dyDescent="0.2">
      <c r="A4478" s="1" t="s">
        <v>1276</v>
      </c>
      <c r="B4478" s="1" t="s">
        <v>1015</v>
      </c>
      <c r="C4478" s="5">
        <f>DATE(2025, 3, 17) + TIME(13, 45, 26)</f>
        <v>45733.573217592595</v>
      </c>
      <c r="D4478" s="1" t="s">
        <v>269</v>
      </c>
      <c r="E4478" s="1" t="s">
        <v>299</v>
      </c>
    </row>
    <row r="4479" spans="1:5" x14ac:dyDescent="0.2">
      <c r="A4479" s="1" t="s">
        <v>1276</v>
      </c>
      <c r="B4479" s="1" t="s">
        <v>562</v>
      </c>
      <c r="C4479" s="5">
        <f>DATE(2025, 3, 17) + TIME(12, 9, 46)</f>
        <v>45733.506782407407</v>
      </c>
      <c r="D4479" s="1" t="s">
        <v>269</v>
      </c>
      <c r="E4479" s="1" t="s">
        <v>748</v>
      </c>
    </row>
    <row r="4480" spans="1:5" x14ac:dyDescent="0.2">
      <c r="A4480" s="1" t="s">
        <v>1276</v>
      </c>
      <c r="B4480" s="1" t="s">
        <v>968</v>
      </c>
      <c r="C4480" s="5">
        <f>DATE(2025, 3, 17) + TIME(12, 9, 45)</f>
        <v>45733.50677083333</v>
      </c>
      <c r="D4480" s="1" t="s">
        <v>269</v>
      </c>
      <c r="E4480" s="1" t="s">
        <v>748</v>
      </c>
    </row>
    <row r="4481" spans="1:5" x14ac:dyDescent="0.2">
      <c r="A4481" s="1" t="s">
        <v>1276</v>
      </c>
      <c r="B4481" s="1" t="s">
        <v>271</v>
      </c>
      <c r="C4481" s="5">
        <f>DATE(2025, 3, 17) + TIME(7, 20, 59)</f>
        <v>45733.306238425925</v>
      </c>
      <c r="D4481" s="1" t="s">
        <v>640</v>
      </c>
      <c r="E4481" s="1" t="s">
        <v>333</v>
      </c>
    </row>
    <row r="4482" spans="1:5" x14ac:dyDescent="0.2">
      <c r="A4482" s="1" t="s">
        <v>1276</v>
      </c>
      <c r="B4482" s="1" t="s">
        <v>146</v>
      </c>
      <c r="C4482" s="5">
        <f>DATE(2025, 3, 13) + TIME(16, 1, 41)</f>
        <v>45729.66783564815</v>
      </c>
      <c r="D4482" s="1" t="s">
        <v>566</v>
      </c>
      <c r="E4482" s="1" t="s">
        <v>324</v>
      </c>
    </row>
    <row r="4483" spans="1:5" x14ac:dyDescent="0.2">
      <c r="A4483" s="1" t="s">
        <v>1276</v>
      </c>
      <c r="B4483" s="1" t="s">
        <v>789</v>
      </c>
      <c r="C4483" s="5">
        <f>DATE(2025, 3, 13) + TIME(16, 1, 41)</f>
        <v>45729.66783564815</v>
      </c>
      <c r="D4483" s="1" t="s">
        <v>566</v>
      </c>
      <c r="E4483" s="1" t="s">
        <v>324</v>
      </c>
    </row>
    <row r="4484" spans="1:5" x14ac:dyDescent="0.2">
      <c r="A4484" s="1" t="s">
        <v>1276</v>
      </c>
      <c r="B4484" s="1" t="s">
        <v>155</v>
      </c>
      <c r="C4484" s="5">
        <f>DATE(2025, 3, 13) + TIME(12, 54, 32)</f>
        <v>45729.537870370368</v>
      </c>
      <c r="D4484" s="1" t="s">
        <v>269</v>
      </c>
      <c r="E4484" s="1" t="s">
        <v>299</v>
      </c>
    </row>
    <row r="4485" spans="1:5" x14ac:dyDescent="0.2">
      <c r="A4485" s="1" t="s">
        <v>1276</v>
      </c>
      <c r="B4485" s="1" t="s">
        <v>155</v>
      </c>
      <c r="C4485" s="5">
        <f>DATE(2025, 3, 13) + TIME(12, 29, 13)</f>
        <v>45729.520289351851</v>
      </c>
      <c r="D4485" s="1" t="s">
        <v>566</v>
      </c>
      <c r="E4485" s="1" t="s">
        <v>71</v>
      </c>
    </row>
    <row r="4486" spans="1:5" x14ac:dyDescent="0.2">
      <c r="A4486" s="1" t="s">
        <v>1276</v>
      </c>
      <c r="B4486" s="1" t="s">
        <v>456</v>
      </c>
      <c r="C4486" s="5">
        <f>DATE(2025, 3, 12) + TIME(14, 56, 24)</f>
        <v>45728.622499999998</v>
      </c>
      <c r="D4486" s="1" t="s">
        <v>506</v>
      </c>
      <c r="E4486" s="1" t="s">
        <v>635</v>
      </c>
    </row>
    <row r="4487" spans="1:5" x14ac:dyDescent="0.2">
      <c r="A4487" s="1" t="s">
        <v>1276</v>
      </c>
      <c r="B4487" s="1" t="s">
        <v>146</v>
      </c>
      <c r="C4487" s="5">
        <f>DATE(2025, 3, 12) + TIME(14, 49, 36)</f>
        <v>45728.617777777778</v>
      </c>
      <c r="D4487" s="1" t="s">
        <v>320</v>
      </c>
      <c r="E4487" s="1" t="s">
        <v>2</v>
      </c>
    </row>
    <row r="4488" spans="1:5" x14ac:dyDescent="0.2">
      <c r="A4488" s="1" t="s">
        <v>1276</v>
      </c>
      <c r="B4488" s="1" t="s">
        <v>789</v>
      </c>
      <c r="C4488" s="5">
        <f>DATE(2025, 3, 12) + TIME(14, 6, 35)</f>
        <v>45728.587905092594</v>
      </c>
      <c r="D4488" s="1" t="s">
        <v>754</v>
      </c>
      <c r="E4488" s="1" t="s">
        <v>441</v>
      </c>
    </row>
    <row r="4489" spans="1:5" x14ac:dyDescent="0.2">
      <c r="A4489" s="1" t="s">
        <v>1276</v>
      </c>
      <c r="B4489" s="1" t="s">
        <v>587</v>
      </c>
      <c r="C4489" s="5">
        <f>DATE(2025, 3, 12) + TIME(14, 4, 43)</f>
        <v>45728.586608796293</v>
      </c>
      <c r="D4489" s="1" t="s">
        <v>566</v>
      </c>
      <c r="E4489" s="1" t="s">
        <v>888</v>
      </c>
    </row>
    <row r="4490" spans="1:5" x14ac:dyDescent="0.2">
      <c r="A4490" s="1" t="s">
        <v>1276</v>
      </c>
      <c r="B4490" s="1" t="s">
        <v>57</v>
      </c>
      <c r="C4490" s="5">
        <f>DATE(2025, 3, 12) + TIME(14, 4, 43)</f>
        <v>45728.586608796293</v>
      </c>
      <c r="D4490" s="1" t="s">
        <v>566</v>
      </c>
      <c r="E4490" s="1" t="s">
        <v>888</v>
      </c>
    </row>
    <row r="4491" spans="1:5" x14ac:dyDescent="0.2">
      <c r="A4491" s="1" t="s">
        <v>1276</v>
      </c>
      <c r="B4491" s="1" t="s">
        <v>992</v>
      </c>
      <c r="C4491" s="5">
        <f>DATE(2025, 3, 12) + TIME(14, 3, 45)</f>
        <v>45728.5859375</v>
      </c>
      <c r="D4491" s="1" t="s">
        <v>3</v>
      </c>
      <c r="E4491" s="1" t="s">
        <v>936</v>
      </c>
    </row>
    <row r="4492" spans="1:5" x14ac:dyDescent="0.2">
      <c r="A4492" s="1" t="s">
        <v>1276</v>
      </c>
      <c r="B4492" s="1" t="s">
        <v>22</v>
      </c>
      <c r="C4492" s="5">
        <f>DATE(2025, 3, 12) + TIME(13, 45, 15)</f>
        <v>45728.57309027778</v>
      </c>
      <c r="D4492" s="1" t="s">
        <v>3</v>
      </c>
      <c r="E4492" s="1" t="s">
        <v>684</v>
      </c>
    </row>
    <row r="4493" spans="1:5" x14ac:dyDescent="0.2">
      <c r="A4493" s="1" t="s">
        <v>1276</v>
      </c>
      <c r="B4493" s="1" t="s">
        <v>9</v>
      </c>
      <c r="C4493" s="5">
        <f>DATE(2025, 3, 12) + TIME(13, 33, 34)</f>
        <v>45728.564976851849</v>
      </c>
      <c r="D4493" s="1" t="s">
        <v>754</v>
      </c>
      <c r="E4493" s="1" t="s">
        <v>441</v>
      </c>
    </row>
    <row r="4494" spans="1:5" x14ac:dyDescent="0.2">
      <c r="A4494" s="1" t="s">
        <v>1276</v>
      </c>
      <c r="B4494" s="1" t="s">
        <v>161</v>
      </c>
      <c r="C4494" s="5">
        <f>DATE(2025, 3, 12) + TIME(13, 33, 33)</f>
        <v>45728.564965277779</v>
      </c>
      <c r="D4494" s="1" t="s">
        <v>754</v>
      </c>
      <c r="E4494" s="1" t="s">
        <v>330</v>
      </c>
    </row>
    <row r="4495" spans="1:5" ht="16" x14ac:dyDescent="0.2">
      <c r="A4495" s="1" t="s">
        <v>1276</v>
      </c>
      <c r="B4495" s="1" t="s">
        <v>44</v>
      </c>
      <c r="C4495" s="5">
        <f>DATE(2025, 3, 12) + TIME(12, 46, 22)</f>
        <v>45728.532199074078</v>
      </c>
      <c r="D4495" s="1" t="s">
        <v>754</v>
      </c>
      <c r="E4495" s="2" t="s">
        <v>87</v>
      </c>
    </row>
    <row r="4496" spans="1:5" ht="16" x14ac:dyDescent="0.2">
      <c r="A4496" s="1" t="s">
        <v>1276</v>
      </c>
      <c r="B4496" s="1" t="s">
        <v>155</v>
      </c>
      <c r="C4496" s="5">
        <f>DATE(2025, 3, 12) + TIME(12, 46, 21)</f>
        <v>45728.532187500001</v>
      </c>
      <c r="D4496" s="1" t="s">
        <v>754</v>
      </c>
      <c r="E4496" s="2" t="s">
        <v>87</v>
      </c>
    </row>
    <row r="4497" spans="1:5" x14ac:dyDescent="0.2">
      <c r="A4497" s="1" t="s">
        <v>1276</v>
      </c>
      <c r="B4497" s="1" t="s">
        <v>456</v>
      </c>
      <c r="C4497" s="5">
        <f>DATE(2025, 3, 12) + TIME(12, 28, 6)</f>
        <v>45728.519513888888</v>
      </c>
      <c r="D4497" s="1" t="s">
        <v>754</v>
      </c>
      <c r="E4497" s="1" t="s">
        <v>330</v>
      </c>
    </row>
    <row r="4498" spans="1:5" x14ac:dyDescent="0.2">
      <c r="A4498" s="1" t="s">
        <v>1276</v>
      </c>
      <c r="B4498" s="1" t="s">
        <v>215</v>
      </c>
      <c r="C4498" s="5">
        <f>DATE(2025, 3, 11) + TIME(15, 16, 4)</f>
        <v>45727.636157407411</v>
      </c>
      <c r="D4498" s="1" t="s">
        <v>320</v>
      </c>
      <c r="E4498" s="1" t="s">
        <v>214</v>
      </c>
    </row>
    <row r="4499" spans="1:5" x14ac:dyDescent="0.2">
      <c r="A4499" s="1" t="s">
        <v>1276</v>
      </c>
      <c r="B4499" s="1" t="s">
        <v>271</v>
      </c>
      <c r="C4499" s="5">
        <f>DATE(2025, 3, 11) + TIME(13, 54, 22)</f>
        <v>45727.579421296294</v>
      </c>
      <c r="D4499" s="1" t="s">
        <v>506</v>
      </c>
      <c r="E4499" s="1" t="s">
        <v>823</v>
      </c>
    </row>
    <row r="4500" spans="1:5" x14ac:dyDescent="0.2">
      <c r="A4500" s="1" t="s">
        <v>1276</v>
      </c>
      <c r="B4500" s="1" t="s">
        <v>456</v>
      </c>
      <c r="C4500" s="5">
        <f>DATE(2025, 3, 11) + TIME(13, 34, 20)</f>
        <v>45727.565509259257</v>
      </c>
      <c r="D4500" s="1" t="s">
        <v>320</v>
      </c>
      <c r="E4500" s="1" t="s">
        <v>239</v>
      </c>
    </row>
    <row r="4501" spans="1:5" x14ac:dyDescent="0.2">
      <c r="A4501" s="1" t="s">
        <v>1276</v>
      </c>
      <c r="B4501" s="1" t="s">
        <v>456</v>
      </c>
      <c r="C4501" s="5">
        <f>DATE(2025, 3, 11) + TIME(12, 46, 31)</f>
        <v>45727.53230324074</v>
      </c>
      <c r="D4501" s="1" t="s">
        <v>754</v>
      </c>
      <c r="E4501" s="1" t="s">
        <v>363</v>
      </c>
    </row>
    <row r="4502" spans="1:5" x14ac:dyDescent="0.2">
      <c r="A4502" s="1" t="s">
        <v>1276</v>
      </c>
      <c r="B4502" s="1" t="s">
        <v>927</v>
      </c>
      <c r="C4502" s="5">
        <f>DATE(2025, 3, 11) + TIME(11, 31, 24)</f>
        <v>45727.480138888888</v>
      </c>
      <c r="D4502" s="1" t="s">
        <v>226</v>
      </c>
      <c r="E4502" s="1" t="s">
        <v>838</v>
      </c>
    </row>
    <row r="4503" spans="1:5" x14ac:dyDescent="0.2">
      <c r="A4503" s="1" t="s">
        <v>1276</v>
      </c>
      <c r="B4503" s="1" t="s">
        <v>155</v>
      </c>
      <c r="C4503" s="5">
        <f>DATE(2025, 3, 11) + TIME(11, 2, 56)</f>
        <v>45727.460370370369</v>
      </c>
      <c r="D4503" s="1" t="s">
        <v>65</v>
      </c>
      <c r="E4503" s="1" t="s">
        <v>918</v>
      </c>
    </row>
    <row r="4504" spans="1:5" x14ac:dyDescent="0.2">
      <c r="A4504" s="1" t="s">
        <v>1276</v>
      </c>
      <c r="B4504" s="1" t="s">
        <v>271</v>
      </c>
      <c r="C4504" s="5">
        <f>DATE(2025, 3, 11) + TIME(9, 37, 46)</f>
        <v>45727.401226851849</v>
      </c>
      <c r="D4504" s="1" t="s">
        <v>869</v>
      </c>
      <c r="E4504" s="1" t="s">
        <v>832</v>
      </c>
    </row>
    <row r="4505" spans="1:5" x14ac:dyDescent="0.2">
      <c r="A4505" s="1" t="s">
        <v>1276</v>
      </c>
      <c r="B4505" s="1" t="s">
        <v>60</v>
      </c>
      <c r="C4505" s="5">
        <f>DATE(2025, 3, 11) + TIME(9, 36, 47)</f>
        <v>45727.400543981479</v>
      </c>
      <c r="D4505" s="1" t="s">
        <v>396</v>
      </c>
      <c r="E4505" s="1" t="s">
        <v>76</v>
      </c>
    </row>
    <row r="4506" spans="1:5" x14ac:dyDescent="0.2">
      <c r="A4506" s="1" t="s">
        <v>1276</v>
      </c>
      <c r="B4506" s="1" t="s">
        <v>967</v>
      </c>
      <c r="C4506" s="5">
        <f>DATE(2025, 3, 10) + TIME(16, 23, 46)</f>
        <v>45726.683171296296</v>
      </c>
      <c r="D4506" s="1" t="s">
        <v>269</v>
      </c>
      <c r="E4506" s="1" t="s">
        <v>299</v>
      </c>
    </row>
    <row r="4507" spans="1:5" x14ac:dyDescent="0.2">
      <c r="A4507" s="1" t="s">
        <v>1276</v>
      </c>
      <c r="B4507" s="1" t="s">
        <v>456</v>
      </c>
      <c r="C4507" s="5">
        <f>DATE(2025, 3, 10) + TIME(16, 23, 46)</f>
        <v>45726.683171296296</v>
      </c>
      <c r="D4507" s="1" t="s">
        <v>269</v>
      </c>
      <c r="E4507" s="1" t="s">
        <v>299</v>
      </c>
    </row>
    <row r="4508" spans="1:5" x14ac:dyDescent="0.2">
      <c r="A4508" s="1" t="s">
        <v>1276</v>
      </c>
      <c r="B4508" s="1" t="s">
        <v>866</v>
      </c>
      <c r="C4508" s="5">
        <f>DATE(2025, 3, 10) + TIME(15, 4, 23)</f>
        <v>45726.62804398148</v>
      </c>
      <c r="D4508" s="1" t="s">
        <v>144</v>
      </c>
      <c r="E4508" s="1" t="s">
        <v>946</v>
      </c>
    </row>
    <row r="4509" spans="1:5" x14ac:dyDescent="0.2">
      <c r="A4509" s="1" t="s">
        <v>1276</v>
      </c>
      <c r="B4509" s="1" t="s">
        <v>562</v>
      </c>
      <c r="C4509" s="5">
        <f>DATE(2025, 3, 10) + TIME(14, 30, 21)</f>
        <v>45726.604409722226</v>
      </c>
      <c r="D4509" s="1" t="s">
        <v>269</v>
      </c>
      <c r="E4509" s="1" t="s">
        <v>273</v>
      </c>
    </row>
    <row r="4510" spans="1:5" x14ac:dyDescent="0.2">
      <c r="A4510" s="1" t="s">
        <v>1276</v>
      </c>
      <c r="B4510" s="1" t="s">
        <v>456</v>
      </c>
      <c r="C4510" s="5">
        <f>DATE(2025, 3, 10) + TIME(14, 4, 28)</f>
        <v>45726.586435185185</v>
      </c>
      <c r="D4510" s="1" t="s">
        <v>754</v>
      </c>
      <c r="E4510" s="1" t="s">
        <v>75</v>
      </c>
    </row>
    <row r="4511" spans="1:5" x14ac:dyDescent="0.2">
      <c r="A4511" s="1" t="s">
        <v>1276</v>
      </c>
      <c r="B4511" s="1" t="s">
        <v>562</v>
      </c>
      <c r="C4511" s="5">
        <f>DATE(2025, 3, 10) + TIME(13, 28, 17)</f>
        <v>45726.561307870368</v>
      </c>
      <c r="D4511" s="1" t="s">
        <v>269</v>
      </c>
      <c r="E4511" s="1" t="s">
        <v>273</v>
      </c>
    </row>
    <row r="4512" spans="1:5" x14ac:dyDescent="0.2">
      <c r="A4512" s="1" t="s">
        <v>1276</v>
      </c>
      <c r="B4512" s="1" t="s">
        <v>992</v>
      </c>
      <c r="C4512" s="5">
        <f>DATE(2025, 3, 10) + TIME(13, 12, 16)</f>
        <v>45726.550185185188</v>
      </c>
      <c r="D4512" s="1" t="s">
        <v>3</v>
      </c>
      <c r="E4512" s="1" t="s">
        <v>211</v>
      </c>
    </row>
    <row r="4513" spans="1:5" x14ac:dyDescent="0.2">
      <c r="A4513" s="1" t="s">
        <v>1276</v>
      </c>
      <c r="B4513" s="1" t="s">
        <v>715</v>
      </c>
      <c r="C4513" s="5">
        <f>DATE(2025, 3, 10) + TIME(10, 2, 18)</f>
        <v>45726.418263888889</v>
      </c>
      <c r="D4513" s="1" t="s">
        <v>65</v>
      </c>
      <c r="E4513" s="1" t="s">
        <v>152</v>
      </c>
    </row>
    <row r="4514" spans="1:5" x14ac:dyDescent="0.2">
      <c r="A4514" s="1" t="s">
        <v>1276</v>
      </c>
      <c r="B4514" s="1" t="s">
        <v>587</v>
      </c>
      <c r="C4514" s="5">
        <f>DATE(2025, 3, 6) + TIME(16, 33, 14)</f>
        <v>45722.689745370371</v>
      </c>
      <c r="D4514" s="1" t="s">
        <v>467</v>
      </c>
      <c r="E4514" s="1" t="s">
        <v>324</v>
      </c>
    </row>
    <row r="4515" spans="1:5" x14ac:dyDescent="0.2">
      <c r="A4515" s="1" t="s">
        <v>1276</v>
      </c>
      <c r="B4515" s="1" t="s">
        <v>155</v>
      </c>
      <c r="C4515" s="5">
        <f>DATE(2025, 3, 6) + TIME(16, 33, 14)</f>
        <v>45722.689745370371</v>
      </c>
      <c r="D4515" s="1" t="s">
        <v>467</v>
      </c>
      <c r="E4515" s="1" t="s">
        <v>324</v>
      </c>
    </row>
    <row r="4516" spans="1:5" x14ac:dyDescent="0.2">
      <c r="A4516" s="1" t="s">
        <v>1276</v>
      </c>
      <c r="B4516" s="1" t="s">
        <v>562</v>
      </c>
      <c r="C4516" s="5">
        <f>DATE(2025, 3, 6) + TIME(14, 43, 3)</f>
        <v>45722.613229166665</v>
      </c>
      <c r="D4516" s="1" t="s">
        <v>506</v>
      </c>
      <c r="E4516" s="1" t="s">
        <v>867</v>
      </c>
    </row>
    <row r="4517" spans="1:5" x14ac:dyDescent="0.2">
      <c r="A4517" s="1" t="s">
        <v>1276</v>
      </c>
      <c r="B4517" s="1" t="s">
        <v>69</v>
      </c>
      <c r="C4517" s="5">
        <f>DATE(2025, 3, 6) + TIME(13, 25, 47)</f>
        <v>45722.559571759259</v>
      </c>
      <c r="D4517" s="1" t="s">
        <v>144</v>
      </c>
      <c r="E4517" s="1" t="s">
        <v>1019</v>
      </c>
    </row>
    <row r="4518" spans="1:5" x14ac:dyDescent="0.2">
      <c r="A4518" s="1" t="s">
        <v>1276</v>
      </c>
      <c r="B4518" s="1" t="s">
        <v>1020</v>
      </c>
      <c r="C4518" s="5">
        <f>DATE(2025, 3, 6) + TIME(11, 21, 4)</f>
        <v>45722.472962962966</v>
      </c>
      <c r="D4518" s="1" t="s">
        <v>921</v>
      </c>
      <c r="E4518" s="1" t="s">
        <v>462</v>
      </c>
    </row>
    <row r="4519" spans="1:5" x14ac:dyDescent="0.2">
      <c r="A4519" s="1" t="s">
        <v>1276</v>
      </c>
      <c r="B4519" s="1" t="s">
        <v>456</v>
      </c>
      <c r="C4519" s="5">
        <f>DATE(2025, 3, 5) + TIME(16, 37, 36)</f>
        <v>45721.692777777775</v>
      </c>
      <c r="D4519" s="1" t="s">
        <v>64</v>
      </c>
      <c r="E4519" s="1" t="s">
        <v>1008</v>
      </c>
    </row>
    <row r="4520" spans="1:5" x14ac:dyDescent="0.2">
      <c r="A4520" s="1" t="s">
        <v>1276</v>
      </c>
      <c r="B4520" s="1" t="s">
        <v>1021</v>
      </c>
      <c r="C4520" s="5">
        <f>DATE(2025, 3, 5) + TIME(16, 23, 41)</f>
        <v>45721.683113425926</v>
      </c>
      <c r="D4520" s="1" t="s">
        <v>506</v>
      </c>
      <c r="E4520" s="1" t="s">
        <v>158</v>
      </c>
    </row>
    <row r="4521" spans="1:5" x14ac:dyDescent="0.2">
      <c r="A4521" s="1" t="s">
        <v>1276</v>
      </c>
      <c r="B4521" s="1" t="s">
        <v>688</v>
      </c>
      <c r="C4521" s="5">
        <f>DATE(2025, 3, 5) + TIME(16, 23, 41)</f>
        <v>45721.683113425926</v>
      </c>
      <c r="D4521" s="1" t="s">
        <v>506</v>
      </c>
      <c r="E4521" s="1" t="s">
        <v>158</v>
      </c>
    </row>
    <row r="4522" spans="1:5" x14ac:dyDescent="0.2">
      <c r="A4522" s="1" t="s">
        <v>1276</v>
      </c>
      <c r="B4522" s="1" t="s">
        <v>44</v>
      </c>
      <c r="C4522" s="5">
        <f>DATE(2025, 3, 5) + TIME(16, 23, 41)</f>
        <v>45721.683113425926</v>
      </c>
      <c r="D4522" s="1" t="s">
        <v>506</v>
      </c>
      <c r="E4522" s="1" t="s">
        <v>158</v>
      </c>
    </row>
    <row r="4523" spans="1:5" x14ac:dyDescent="0.2">
      <c r="A4523" s="1" t="s">
        <v>1276</v>
      </c>
      <c r="B4523" s="1" t="s">
        <v>759</v>
      </c>
      <c r="C4523" s="5">
        <f>DATE(2025, 3, 5) + TIME(16, 23, 41)</f>
        <v>45721.683113425926</v>
      </c>
      <c r="D4523" s="1" t="s">
        <v>506</v>
      </c>
      <c r="E4523" s="1" t="s">
        <v>158</v>
      </c>
    </row>
    <row r="4524" spans="1:5" x14ac:dyDescent="0.2">
      <c r="A4524" s="1" t="s">
        <v>1276</v>
      </c>
      <c r="B4524" s="1" t="s">
        <v>817</v>
      </c>
      <c r="C4524" s="5">
        <f>DATE(2025, 3, 5) + TIME(16, 23, 41)</f>
        <v>45721.683113425926</v>
      </c>
      <c r="D4524" s="1" t="s">
        <v>506</v>
      </c>
      <c r="E4524" s="1" t="s">
        <v>158</v>
      </c>
    </row>
    <row r="4525" spans="1:5" x14ac:dyDescent="0.2">
      <c r="A4525" s="1" t="s">
        <v>1276</v>
      </c>
      <c r="B4525" s="1" t="s">
        <v>155</v>
      </c>
      <c r="C4525" s="5">
        <f>DATE(2025, 3, 5) + TIME(15, 18, 1)</f>
        <v>45721.637511574074</v>
      </c>
      <c r="D4525" s="1" t="s">
        <v>3</v>
      </c>
      <c r="E4525" s="1" t="s">
        <v>73</v>
      </c>
    </row>
    <row r="4526" spans="1:5" x14ac:dyDescent="0.2">
      <c r="A4526" s="1" t="s">
        <v>1276</v>
      </c>
      <c r="B4526" s="1" t="s">
        <v>155</v>
      </c>
      <c r="C4526" s="5">
        <f>DATE(2025, 3, 5) + TIME(14, 36, 6)</f>
        <v>45721.608402777776</v>
      </c>
      <c r="D4526" s="1" t="s">
        <v>64</v>
      </c>
      <c r="E4526" s="1" t="s">
        <v>337</v>
      </c>
    </row>
    <row r="4527" spans="1:5" x14ac:dyDescent="0.2">
      <c r="A4527" s="1" t="s">
        <v>1276</v>
      </c>
      <c r="B4527" s="1" t="s">
        <v>63</v>
      </c>
      <c r="C4527" s="5">
        <f>DATE(2025, 3, 5) + TIME(13, 52, 12)</f>
        <v>45721.577916666669</v>
      </c>
      <c r="D4527" s="1" t="s">
        <v>341</v>
      </c>
      <c r="E4527" s="1" t="s">
        <v>1022</v>
      </c>
    </row>
    <row r="4528" spans="1:5" x14ac:dyDescent="0.2">
      <c r="A4528" s="1" t="s">
        <v>1276</v>
      </c>
      <c r="B4528" s="1" t="s">
        <v>885</v>
      </c>
      <c r="C4528" s="5">
        <f>DATE(2025, 3, 5) + TIME(13, 43, 37)</f>
        <v>45721.571956018517</v>
      </c>
      <c r="D4528" s="1" t="s">
        <v>750</v>
      </c>
      <c r="E4528" s="1" t="s">
        <v>621</v>
      </c>
    </row>
    <row r="4529" spans="1:5" x14ac:dyDescent="0.2">
      <c r="A4529" s="1" t="s">
        <v>1276</v>
      </c>
      <c r="B4529" s="1" t="s">
        <v>155</v>
      </c>
      <c r="C4529" s="5">
        <f>DATE(2025, 3, 5) + TIME(13, 33, 44)</f>
        <v>45721.565092592595</v>
      </c>
      <c r="D4529" s="1" t="s">
        <v>320</v>
      </c>
      <c r="E4529" s="1" t="s">
        <v>2</v>
      </c>
    </row>
    <row r="4530" spans="1:5" x14ac:dyDescent="0.2">
      <c r="A4530" s="1" t="s">
        <v>1276</v>
      </c>
      <c r="B4530" s="1" t="s">
        <v>155</v>
      </c>
      <c r="C4530" s="5">
        <f>DATE(2025, 3, 5) + TIME(13, 33, 20)</f>
        <v>45721.564814814818</v>
      </c>
      <c r="D4530" s="1" t="s">
        <v>3</v>
      </c>
      <c r="E4530" s="1" t="s">
        <v>684</v>
      </c>
    </row>
    <row r="4531" spans="1:5" x14ac:dyDescent="0.2">
      <c r="A4531" s="1" t="s">
        <v>1276</v>
      </c>
      <c r="B4531" s="1" t="s">
        <v>60</v>
      </c>
      <c r="C4531" s="5">
        <f>DATE(2025, 3, 5) + TIME(12, 19, 15)</f>
        <v>45721.513368055559</v>
      </c>
      <c r="D4531" s="1" t="s">
        <v>396</v>
      </c>
      <c r="E4531" s="1" t="s">
        <v>88</v>
      </c>
    </row>
    <row r="4532" spans="1:5" x14ac:dyDescent="0.2">
      <c r="A4532" s="1" t="s">
        <v>1276</v>
      </c>
      <c r="B4532" s="1" t="s">
        <v>866</v>
      </c>
      <c r="C4532" s="5">
        <f>DATE(2025, 3, 5) + TIME(12, 19, 14)</f>
        <v>45721.513356481482</v>
      </c>
      <c r="D4532" s="1" t="s">
        <v>396</v>
      </c>
      <c r="E4532" s="1" t="s">
        <v>88</v>
      </c>
    </row>
    <row r="4533" spans="1:5" x14ac:dyDescent="0.2">
      <c r="A4533" s="1" t="s">
        <v>1276</v>
      </c>
      <c r="B4533" s="1" t="s">
        <v>155</v>
      </c>
      <c r="C4533" s="5">
        <f>DATE(2025, 3, 5) + TIME(11, 48, 28)</f>
        <v>45721.491990740738</v>
      </c>
      <c r="D4533" s="1" t="s">
        <v>566</v>
      </c>
      <c r="E4533" s="1" t="s">
        <v>888</v>
      </c>
    </row>
    <row r="4534" spans="1:5" x14ac:dyDescent="0.2">
      <c r="A4534" s="1" t="s">
        <v>1276</v>
      </c>
      <c r="B4534" s="1" t="s">
        <v>39</v>
      </c>
      <c r="C4534" s="5">
        <f>DATE(2025, 3, 5) + TIME(11, 48, 28)</f>
        <v>45721.491990740738</v>
      </c>
      <c r="D4534" s="1" t="s">
        <v>566</v>
      </c>
      <c r="E4534" s="1" t="s">
        <v>888</v>
      </c>
    </row>
    <row r="4535" spans="1:5" x14ac:dyDescent="0.2">
      <c r="A4535" s="1" t="s">
        <v>1276</v>
      </c>
      <c r="B4535" s="1" t="s">
        <v>1023</v>
      </c>
      <c r="C4535" s="5">
        <f>DATE(2025, 3, 5) + TIME(11, 48, 27)</f>
        <v>45721.491979166669</v>
      </c>
      <c r="D4535" s="1" t="s">
        <v>566</v>
      </c>
      <c r="E4535" s="1" t="s">
        <v>888</v>
      </c>
    </row>
    <row r="4536" spans="1:5" x14ac:dyDescent="0.2">
      <c r="A4536" s="1" t="s">
        <v>1276</v>
      </c>
      <c r="B4536" s="1" t="s">
        <v>456</v>
      </c>
      <c r="C4536" s="5">
        <f>DATE(2025, 3, 5) + TIME(11, 33, 33)</f>
        <v>45721.481631944444</v>
      </c>
      <c r="D4536" s="1" t="s">
        <v>64</v>
      </c>
      <c r="E4536" s="1" t="s">
        <v>873</v>
      </c>
    </row>
    <row r="4537" spans="1:5" x14ac:dyDescent="0.2">
      <c r="A4537" s="1" t="s">
        <v>1276</v>
      </c>
      <c r="B4537" s="1" t="s">
        <v>562</v>
      </c>
      <c r="C4537" s="5">
        <f>DATE(2025, 3, 4) + TIME(13, 26, 48)</f>
        <v>45720.560277777775</v>
      </c>
      <c r="D4537" s="1" t="s">
        <v>869</v>
      </c>
      <c r="E4537" s="1" t="s">
        <v>275</v>
      </c>
    </row>
    <row r="4538" spans="1:5" x14ac:dyDescent="0.2">
      <c r="A4538" s="1" t="s">
        <v>1276</v>
      </c>
      <c r="B4538" s="1" t="s">
        <v>686</v>
      </c>
      <c r="C4538" s="5">
        <f>DATE(2025, 3, 4) + TIME(12, 31, 57)</f>
        <v>45720.522187499999</v>
      </c>
      <c r="D4538" s="1" t="s">
        <v>459</v>
      </c>
      <c r="E4538" s="1" t="s">
        <v>160</v>
      </c>
    </row>
    <row r="4539" spans="1:5" ht="16" x14ac:dyDescent="0.2">
      <c r="A4539" s="1" t="s">
        <v>1276</v>
      </c>
      <c r="B4539" s="1" t="s">
        <v>4</v>
      </c>
      <c r="C4539" s="5">
        <f>DATE(2025, 3, 4) + TIME(12, 9, 45)</f>
        <v>45720.50677083333</v>
      </c>
      <c r="D4539" s="1" t="s">
        <v>754</v>
      </c>
      <c r="E4539" s="2" t="s">
        <v>87</v>
      </c>
    </row>
    <row r="4540" spans="1:5" x14ac:dyDescent="0.2">
      <c r="A4540" s="1" t="s">
        <v>1276</v>
      </c>
      <c r="B4540" s="1" t="s">
        <v>271</v>
      </c>
      <c r="C4540" s="5">
        <f>DATE(2025, 3, 4) + TIME(10, 32, 52)</f>
        <v>45720.43949074074</v>
      </c>
      <c r="D4540" s="1" t="s">
        <v>869</v>
      </c>
      <c r="E4540" s="1" t="s">
        <v>830</v>
      </c>
    </row>
    <row r="4541" spans="1:5" x14ac:dyDescent="0.2">
      <c r="A4541" s="1" t="s">
        <v>1276</v>
      </c>
      <c r="B4541" s="1" t="s">
        <v>272</v>
      </c>
      <c r="C4541" s="5">
        <f>DATE(2025, 3, 4) + TIME(10, 32, 52)</f>
        <v>45720.43949074074</v>
      </c>
      <c r="D4541" s="1" t="s">
        <v>869</v>
      </c>
      <c r="E4541" s="1" t="s">
        <v>830</v>
      </c>
    </row>
    <row r="4542" spans="1:5" x14ac:dyDescent="0.2">
      <c r="A4542" s="1" t="s">
        <v>1276</v>
      </c>
      <c r="B4542" s="1" t="s">
        <v>1024</v>
      </c>
      <c r="C4542" s="5">
        <f>DATE(2025, 3, 3) + TIME(14, 6, 29)</f>
        <v>45719.587835648148</v>
      </c>
      <c r="D4542" s="1" t="s">
        <v>65</v>
      </c>
      <c r="E4542" s="1" t="s">
        <v>404</v>
      </c>
    </row>
    <row r="4543" spans="1:5" x14ac:dyDescent="0.2">
      <c r="A4543" s="1" t="s">
        <v>1276</v>
      </c>
      <c r="B4543" s="1" t="s">
        <v>4</v>
      </c>
      <c r="C4543" s="5">
        <f>DATE(2025, 3, 3) + TIME(11, 8, 7)</f>
        <v>45719.463969907411</v>
      </c>
      <c r="D4543" s="1" t="s">
        <v>126</v>
      </c>
      <c r="E4543" s="1" t="s">
        <v>380</v>
      </c>
    </row>
    <row r="4544" spans="1:5" x14ac:dyDescent="0.2">
      <c r="A4544" s="1" t="s">
        <v>1276</v>
      </c>
      <c r="B4544" s="1" t="s">
        <v>271</v>
      </c>
      <c r="C4544" s="5">
        <f>DATE(2025, 3, 3) + TIME(10, 41, 47)</f>
        <v>45719.44568287037</v>
      </c>
      <c r="D4544" s="1" t="s">
        <v>144</v>
      </c>
      <c r="E4544" s="1" t="s">
        <v>660</v>
      </c>
    </row>
    <row r="4545" spans="1:5" x14ac:dyDescent="0.2">
      <c r="A4545" s="1" t="s">
        <v>1276</v>
      </c>
      <c r="B4545" s="1" t="s">
        <v>60</v>
      </c>
      <c r="C4545" s="5">
        <f>DATE(2025, 3, 3) + TIME(8, 3, 6)</f>
        <v>45719.335486111115</v>
      </c>
      <c r="D4545" s="1" t="s">
        <v>640</v>
      </c>
      <c r="E4545" s="1" t="s">
        <v>426</v>
      </c>
    </row>
    <row r="4546" spans="1:5" x14ac:dyDescent="0.2">
      <c r="A4546" s="1" t="s">
        <v>1276</v>
      </c>
      <c r="B4546" s="1" t="s">
        <v>215</v>
      </c>
      <c r="C4546" s="5">
        <f>DATE(2025, 2, 27) + TIME(15, 36, 22)</f>
        <v>45715.650254629632</v>
      </c>
      <c r="D4546" s="1" t="s">
        <v>506</v>
      </c>
      <c r="E4546" s="1" t="s">
        <v>867</v>
      </c>
    </row>
    <row r="4547" spans="1:5" x14ac:dyDescent="0.2">
      <c r="A4547" s="1" t="s">
        <v>1276</v>
      </c>
      <c r="B4547" s="1" t="s">
        <v>1025</v>
      </c>
      <c r="C4547" s="5">
        <f>DATE(2025, 2, 27) + TIME(15, 24, 16)</f>
        <v>45715.641851851855</v>
      </c>
      <c r="D4547" s="1" t="s">
        <v>566</v>
      </c>
      <c r="E4547" s="1" t="s">
        <v>324</v>
      </c>
    </row>
    <row r="4548" spans="1:5" x14ac:dyDescent="0.2">
      <c r="A4548" s="1" t="s">
        <v>1276</v>
      </c>
      <c r="B4548" s="1" t="s">
        <v>72</v>
      </c>
      <c r="C4548" s="5">
        <f>DATE(2025, 2, 27) + TIME(14, 10, 7)</f>
        <v>45715.590358796297</v>
      </c>
      <c r="D4548" s="1" t="s">
        <v>396</v>
      </c>
      <c r="E4548" s="1" t="s">
        <v>140</v>
      </c>
    </row>
    <row r="4549" spans="1:5" x14ac:dyDescent="0.2">
      <c r="A4549" s="1" t="s">
        <v>1276</v>
      </c>
      <c r="B4549" s="1" t="s">
        <v>456</v>
      </c>
      <c r="C4549" s="5">
        <f>DATE(2025, 2, 27) + TIME(10, 28, 26)</f>
        <v>45715.436412037037</v>
      </c>
      <c r="D4549" s="1" t="s">
        <v>871</v>
      </c>
      <c r="E4549" s="1" t="s">
        <v>340</v>
      </c>
    </row>
    <row r="4550" spans="1:5" x14ac:dyDescent="0.2">
      <c r="A4550" s="1" t="s">
        <v>1276</v>
      </c>
      <c r="B4550" s="1" t="s">
        <v>338</v>
      </c>
      <c r="C4550" s="5">
        <f>DATE(2025, 2, 26) + TIME(18, 57, 8)</f>
        <v>45714.789675925924</v>
      </c>
      <c r="D4550" s="1" t="s">
        <v>563</v>
      </c>
      <c r="E4550" s="1" t="s">
        <v>1026</v>
      </c>
    </row>
    <row r="4551" spans="1:5" x14ac:dyDescent="0.2">
      <c r="A4551" s="1" t="s">
        <v>1276</v>
      </c>
      <c r="B4551" s="1" t="s">
        <v>290</v>
      </c>
      <c r="C4551" s="5">
        <f>DATE(2025, 2, 26) + TIME(14, 35, 18)</f>
        <v>45714.607847222222</v>
      </c>
      <c r="D4551" s="1" t="s">
        <v>64</v>
      </c>
      <c r="E4551" s="1" t="s">
        <v>1008</v>
      </c>
    </row>
    <row r="4552" spans="1:5" x14ac:dyDescent="0.2">
      <c r="A4552" s="1" t="s">
        <v>1276</v>
      </c>
      <c r="B4552" s="1" t="s">
        <v>1024</v>
      </c>
      <c r="C4552" s="5">
        <f>DATE(2025, 2, 26) + TIME(14, 22, 40)</f>
        <v>45714.599074074074</v>
      </c>
      <c r="D4552" s="1" t="s">
        <v>65</v>
      </c>
      <c r="E4552" s="1" t="s">
        <v>404</v>
      </c>
    </row>
    <row r="4553" spans="1:5" x14ac:dyDescent="0.2">
      <c r="A4553" s="1" t="s">
        <v>1276</v>
      </c>
      <c r="B4553" s="1" t="s">
        <v>824</v>
      </c>
      <c r="C4553" s="5">
        <f>DATE(2025, 2, 26) + TIME(13, 20, 34)</f>
        <v>45714.555949074071</v>
      </c>
      <c r="D4553" s="1" t="s">
        <v>64</v>
      </c>
      <c r="E4553" s="1" t="s">
        <v>873</v>
      </c>
    </row>
    <row r="4554" spans="1:5" x14ac:dyDescent="0.2">
      <c r="A4554" s="1" t="s">
        <v>1276</v>
      </c>
      <c r="B4554" s="1" t="s">
        <v>817</v>
      </c>
      <c r="C4554" s="5">
        <f>DATE(2025, 2, 26) + TIME(13, 20, 34)</f>
        <v>45714.555949074071</v>
      </c>
      <c r="D4554" s="1" t="s">
        <v>64</v>
      </c>
      <c r="E4554" s="1" t="s">
        <v>873</v>
      </c>
    </row>
    <row r="4555" spans="1:5" x14ac:dyDescent="0.2">
      <c r="A4555" s="1" t="s">
        <v>1276</v>
      </c>
      <c r="B4555" s="1" t="s">
        <v>155</v>
      </c>
      <c r="C4555" s="5">
        <f>DATE(2025, 2, 26) + TIME(13, 16, 7)</f>
        <v>45714.552858796298</v>
      </c>
      <c r="D4555" s="1" t="s">
        <v>64</v>
      </c>
      <c r="E4555" s="1" t="s">
        <v>403</v>
      </c>
    </row>
    <row r="4556" spans="1:5" x14ac:dyDescent="0.2">
      <c r="A4556" s="1" t="s">
        <v>1276</v>
      </c>
      <c r="B4556" s="1" t="s">
        <v>994</v>
      </c>
      <c r="C4556" s="5">
        <f>DATE(2025, 2, 26) + TIME(12, 37, 28)</f>
        <v>45714.526018518518</v>
      </c>
      <c r="D4556" s="1" t="s">
        <v>320</v>
      </c>
      <c r="E4556" s="1" t="s">
        <v>724</v>
      </c>
    </row>
    <row r="4557" spans="1:5" x14ac:dyDescent="0.2">
      <c r="A4557" s="1" t="s">
        <v>1276</v>
      </c>
      <c r="B4557" s="1" t="s">
        <v>508</v>
      </c>
      <c r="C4557" s="5">
        <f>DATE(2025, 2, 26) + TIME(9, 48, 33)</f>
        <v>45714.408715277779</v>
      </c>
      <c r="D4557" s="1" t="s">
        <v>459</v>
      </c>
      <c r="E4557" s="1" t="s">
        <v>222</v>
      </c>
    </row>
    <row r="4558" spans="1:5" x14ac:dyDescent="0.2">
      <c r="A4558" s="1" t="s">
        <v>1276</v>
      </c>
      <c r="B4558" s="1" t="s">
        <v>203</v>
      </c>
      <c r="C4558" s="5">
        <f>DATE(2025, 2, 25) + TIME(16, 5, 51)</f>
        <v>45713.670729166668</v>
      </c>
      <c r="D4558" s="1" t="s">
        <v>467</v>
      </c>
      <c r="E4558" s="1" t="s">
        <v>143</v>
      </c>
    </row>
    <row r="4559" spans="1:5" x14ac:dyDescent="0.2">
      <c r="A4559" s="1" t="s">
        <v>1276</v>
      </c>
      <c r="B4559" s="1" t="s">
        <v>1027</v>
      </c>
      <c r="C4559" s="5">
        <f>DATE(2025, 2, 25) + TIME(16, 5, 51)</f>
        <v>45713.670729166668</v>
      </c>
      <c r="D4559" s="1" t="s">
        <v>467</v>
      </c>
      <c r="E4559" s="1" t="s">
        <v>143</v>
      </c>
    </row>
    <row r="4560" spans="1:5" x14ac:dyDescent="0.2">
      <c r="A4560" s="1" t="s">
        <v>1276</v>
      </c>
      <c r="B4560" s="1" t="s">
        <v>155</v>
      </c>
      <c r="C4560" s="5">
        <f>DATE(2025, 2, 24) + TIME(16, 29, 1)</f>
        <v>45712.68681712963</v>
      </c>
      <c r="D4560" s="1" t="s">
        <v>65</v>
      </c>
      <c r="E4560" s="1" t="s">
        <v>400</v>
      </c>
    </row>
    <row r="4561" spans="1:5" x14ac:dyDescent="0.2">
      <c r="A4561" s="1" t="s">
        <v>1276</v>
      </c>
      <c r="B4561" s="1" t="s">
        <v>1025</v>
      </c>
      <c r="C4561" s="5">
        <f>DATE(2025, 2, 24) + TIME(16, 17, 21)</f>
        <v>45712.678715277776</v>
      </c>
      <c r="D4561" s="1" t="s">
        <v>320</v>
      </c>
      <c r="E4561" s="1" t="s">
        <v>406</v>
      </c>
    </row>
    <row r="4562" spans="1:5" x14ac:dyDescent="0.2">
      <c r="A4562" s="1" t="s">
        <v>1276</v>
      </c>
      <c r="B4562" s="1" t="s">
        <v>409</v>
      </c>
      <c r="C4562" s="5">
        <f>DATE(2025, 2, 24) + TIME(15, 9, 53)</f>
        <v>45712.631863425922</v>
      </c>
      <c r="D4562" s="1" t="s">
        <v>64</v>
      </c>
      <c r="E4562" s="1" t="s">
        <v>395</v>
      </c>
    </row>
    <row r="4563" spans="1:5" x14ac:dyDescent="0.2">
      <c r="A4563" s="1" t="s">
        <v>1276</v>
      </c>
      <c r="B4563" s="1" t="s">
        <v>468</v>
      </c>
      <c r="C4563" s="5">
        <f>DATE(2025, 2, 24) + TIME(14, 24, 25)</f>
        <v>45712.600289351853</v>
      </c>
      <c r="D4563" s="1" t="s">
        <v>65</v>
      </c>
      <c r="E4563" s="1" t="s">
        <v>219</v>
      </c>
    </row>
    <row r="4564" spans="1:5" x14ac:dyDescent="0.2">
      <c r="A4564" s="1" t="s">
        <v>1276</v>
      </c>
      <c r="B4564" s="1" t="s">
        <v>98</v>
      </c>
      <c r="C4564" s="5">
        <f>DATE(2025, 2, 24) + TIME(12, 41, 56)</f>
        <v>45712.529120370367</v>
      </c>
      <c r="D4564" s="1" t="s">
        <v>269</v>
      </c>
      <c r="E4564" s="1" t="s">
        <v>299</v>
      </c>
    </row>
    <row r="4565" spans="1:5" x14ac:dyDescent="0.2">
      <c r="A4565" s="1" t="s">
        <v>1276</v>
      </c>
      <c r="B4565" s="1" t="s">
        <v>752</v>
      </c>
      <c r="C4565" s="5">
        <f>DATE(2025, 2, 20) + TIME(14, 36, 23)</f>
        <v>45708.608599537038</v>
      </c>
      <c r="D4565" s="1" t="s">
        <v>640</v>
      </c>
      <c r="E4565" s="1" t="s">
        <v>32</v>
      </c>
    </row>
    <row r="4566" spans="1:5" x14ac:dyDescent="0.2">
      <c r="A4566" s="1" t="s">
        <v>1276</v>
      </c>
      <c r="B4566" s="1" t="s">
        <v>1028</v>
      </c>
      <c r="C4566" s="5">
        <f>DATE(2025, 2, 20) + TIME(11, 54, 12)</f>
        <v>45708.495972222219</v>
      </c>
      <c r="D4566" s="1" t="s">
        <v>3</v>
      </c>
      <c r="E4566" s="1" t="s">
        <v>936</v>
      </c>
    </row>
    <row r="4567" spans="1:5" x14ac:dyDescent="0.2">
      <c r="A4567" s="1" t="s">
        <v>1276</v>
      </c>
      <c r="B4567" s="1" t="s">
        <v>542</v>
      </c>
      <c r="C4567" s="5">
        <f>DATE(2025, 2, 20) + TIME(11, 43, 15)</f>
        <v>45708.488368055558</v>
      </c>
      <c r="D4567" s="1" t="s">
        <v>750</v>
      </c>
      <c r="E4567" s="1" t="s">
        <v>867</v>
      </c>
    </row>
    <row r="4568" spans="1:5" x14ac:dyDescent="0.2">
      <c r="A4568" s="1" t="s">
        <v>1276</v>
      </c>
      <c r="B4568" s="1" t="s">
        <v>24</v>
      </c>
      <c r="C4568" s="5">
        <f>DATE(2025, 2, 20) + TIME(11, 39, 58)</f>
        <v>45708.486087962963</v>
      </c>
      <c r="D4568" s="1" t="s">
        <v>640</v>
      </c>
      <c r="E4568" s="1" t="s">
        <v>283</v>
      </c>
    </row>
    <row r="4569" spans="1:5" x14ac:dyDescent="0.2">
      <c r="A4569" s="1" t="s">
        <v>1276</v>
      </c>
      <c r="B4569" s="1" t="s">
        <v>155</v>
      </c>
      <c r="C4569" s="5">
        <f>DATE(2025, 2, 20) + TIME(11, 31, 11)</f>
        <v>45708.479988425926</v>
      </c>
      <c r="D4569" s="1" t="s">
        <v>754</v>
      </c>
      <c r="E4569" s="1" t="s">
        <v>330</v>
      </c>
    </row>
    <row r="4570" spans="1:5" x14ac:dyDescent="0.2">
      <c r="A4570" s="1" t="s">
        <v>1276</v>
      </c>
      <c r="B4570" s="1" t="s">
        <v>686</v>
      </c>
      <c r="C4570" s="5">
        <f>DATE(2025, 2, 19) + TIME(14, 32, 53)</f>
        <v>45707.606168981481</v>
      </c>
      <c r="D4570" s="1" t="s">
        <v>126</v>
      </c>
      <c r="E4570" s="1" t="s">
        <v>249</v>
      </c>
    </row>
    <row r="4571" spans="1:5" x14ac:dyDescent="0.2">
      <c r="A4571" s="1" t="s">
        <v>1276</v>
      </c>
      <c r="B4571" s="1" t="s">
        <v>215</v>
      </c>
      <c r="C4571" s="5">
        <f>DATE(2025, 2, 19) + TIME(13, 33, 11)</f>
        <v>45707.564710648148</v>
      </c>
      <c r="D4571" s="1" t="s">
        <v>754</v>
      </c>
      <c r="E4571" s="1" t="s">
        <v>363</v>
      </c>
    </row>
    <row r="4572" spans="1:5" x14ac:dyDescent="0.2">
      <c r="A4572" s="1" t="s">
        <v>1276</v>
      </c>
      <c r="B4572" s="1" t="s">
        <v>136</v>
      </c>
      <c r="C4572" s="5">
        <f>DATE(2025, 2, 19) + TIME(12, 55, 15)</f>
        <v>45707.538368055553</v>
      </c>
      <c r="D4572" s="1" t="s">
        <v>459</v>
      </c>
      <c r="E4572" s="1" t="s">
        <v>536</v>
      </c>
    </row>
    <row r="4573" spans="1:5" x14ac:dyDescent="0.2">
      <c r="A4573" s="1" t="s">
        <v>1276</v>
      </c>
      <c r="B4573" s="1" t="s">
        <v>866</v>
      </c>
      <c r="C4573" s="5">
        <f>DATE(2025, 2, 19) + TIME(12, 29, 59)</f>
        <v>45707.520821759259</v>
      </c>
      <c r="D4573" s="1" t="s">
        <v>320</v>
      </c>
      <c r="E4573" s="1" t="s">
        <v>2</v>
      </c>
    </row>
    <row r="4574" spans="1:5" x14ac:dyDescent="0.2">
      <c r="A4574" s="1" t="s">
        <v>1276</v>
      </c>
      <c r="B4574" s="1" t="s">
        <v>1030</v>
      </c>
      <c r="C4574" s="5">
        <f>DATE(2025, 2, 19) + TIME(11, 58, 11)</f>
        <v>45707.498738425929</v>
      </c>
      <c r="D4574" s="1" t="s">
        <v>64</v>
      </c>
      <c r="E4574" s="1" t="s">
        <v>873</v>
      </c>
    </row>
    <row r="4575" spans="1:5" x14ac:dyDescent="0.2">
      <c r="A4575" s="1" t="s">
        <v>1276</v>
      </c>
      <c r="B4575" s="1" t="s">
        <v>323</v>
      </c>
      <c r="C4575" s="5">
        <f>DATE(2025, 2, 19) + TIME(11, 35, 42)</f>
        <v>45707.483124999999</v>
      </c>
      <c r="D4575" s="1" t="s">
        <v>450</v>
      </c>
      <c r="E4575" s="1" t="s">
        <v>1031</v>
      </c>
    </row>
    <row r="4576" spans="1:5" x14ac:dyDescent="0.2">
      <c r="A4576" s="1" t="s">
        <v>1276</v>
      </c>
      <c r="B4576" s="1" t="s">
        <v>139</v>
      </c>
      <c r="C4576" s="5">
        <f>DATE(2025, 2, 19) + TIME(10, 48, 21)</f>
        <v>45707.450243055559</v>
      </c>
      <c r="D4576" s="1" t="s">
        <v>871</v>
      </c>
      <c r="E4576" s="1" t="s">
        <v>414</v>
      </c>
    </row>
    <row r="4577" spans="1:5" x14ac:dyDescent="0.2">
      <c r="A4577" s="1" t="s">
        <v>1276</v>
      </c>
      <c r="B4577" s="1" t="s">
        <v>686</v>
      </c>
      <c r="C4577" s="5">
        <f>DATE(2025, 2, 19) + TIME(10, 23, 59)</f>
        <v>45707.433321759258</v>
      </c>
      <c r="D4577" s="1" t="s">
        <v>5</v>
      </c>
      <c r="E4577" s="1" t="s">
        <v>599</v>
      </c>
    </row>
    <row r="4578" spans="1:5" x14ac:dyDescent="0.2">
      <c r="A4578" s="1" t="s">
        <v>1276</v>
      </c>
      <c r="B4578" s="1" t="s">
        <v>937</v>
      </c>
      <c r="C4578" s="5">
        <f>DATE(2025, 2, 18) + TIME(15, 49, 46)</f>
        <v>45706.659560185188</v>
      </c>
      <c r="D4578" s="1" t="s">
        <v>450</v>
      </c>
      <c r="E4578" s="1" t="s">
        <v>292</v>
      </c>
    </row>
    <row r="4579" spans="1:5" x14ac:dyDescent="0.2">
      <c r="A4579" s="1" t="s">
        <v>1276</v>
      </c>
      <c r="B4579" s="1" t="s">
        <v>9</v>
      </c>
      <c r="C4579" s="5">
        <f>DATE(2025, 2, 18) + TIME(15, 46, 48)</f>
        <v>45706.657500000001</v>
      </c>
      <c r="D4579" s="1" t="s">
        <v>320</v>
      </c>
      <c r="E4579" s="1" t="s">
        <v>342</v>
      </c>
    </row>
    <row r="4580" spans="1:5" x14ac:dyDescent="0.2">
      <c r="A4580" s="1" t="s">
        <v>1276</v>
      </c>
      <c r="B4580" s="1" t="s">
        <v>215</v>
      </c>
      <c r="C4580" s="5">
        <f>DATE(2025, 2, 18) + TIME(13, 25, 33)</f>
        <v>45706.55940972222</v>
      </c>
      <c r="D4580" s="1" t="s">
        <v>320</v>
      </c>
      <c r="E4580" s="1" t="s">
        <v>214</v>
      </c>
    </row>
    <row r="4581" spans="1:5" x14ac:dyDescent="0.2">
      <c r="A4581" s="1" t="s">
        <v>1276</v>
      </c>
      <c r="B4581" s="1" t="s">
        <v>663</v>
      </c>
      <c r="C4581" s="5">
        <f>DATE(2025, 2, 18) + TIME(10, 23, 55)</f>
        <v>45706.433275462965</v>
      </c>
      <c r="D4581" s="1" t="s">
        <v>640</v>
      </c>
      <c r="E4581" s="1" t="s">
        <v>195</v>
      </c>
    </row>
    <row r="4582" spans="1:5" x14ac:dyDescent="0.2">
      <c r="A4582" s="1" t="s">
        <v>1276</v>
      </c>
      <c r="B4582" s="1" t="s">
        <v>155</v>
      </c>
      <c r="C4582" s="5">
        <f>DATE(2025, 2, 17) + TIME(15, 22, 51)</f>
        <v>45705.640868055554</v>
      </c>
      <c r="D4582" s="1" t="s">
        <v>320</v>
      </c>
      <c r="E4582" s="1" t="s">
        <v>406</v>
      </c>
    </row>
    <row r="4583" spans="1:5" x14ac:dyDescent="0.2">
      <c r="A4583" s="1" t="s">
        <v>1276</v>
      </c>
      <c r="B4583" s="1" t="s">
        <v>328</v>
      </c>
      <c r="C4583" s="5">
        <f>DATE(2025, 2, 17) + TIME(15, 22, 51)</f>
        <v>45705.640868055554</v>
      </c>
      <c r="D4583" s="1" t="s">
        <v>320</v>
      </c>
      <c r="E4583" s="1" t="s">
        <v>406</v>
      </c>
    </row>
    <row r="4584" spans="1:5" x14ac:dyDescent="0.2">
      <c r="A4584" s="1" t="s">
        <v>1276</v>
      </c>
      <c r="B4584" s="1" t="s">
        <v>817</v>
      </c>
      <c r="C4584" s="5">
        <f>DATE(2025, 2, 17) + TIME(14, 33, 28)</f>
        <v>45705.606574074074</v>
      </c>
      <c r="D4584" s="1" t="s">
        <v>144</v>
      </c>
      <c r="E4584" s="1" t="s">
        <v>946</v>
      </c>
    </row>
    <row r="4585" spans="1:5" x14ac:dyDescent="0.2">
      <c r="A4585" s="1" t="s">
        <v>1276</v>
      </c>
      <c r="B4585" s="1" t="s">
        <v>139</v>
      </c>
      <c r="C4585" s="5">
        <f>DATE(2025, 2, 17) + TIME(12, 24, 7)</f>
        <v>45705.516747685186</v>
      </c>
      <c r="D4585" s="1" t="s">
        <v>871</v>
      </c>
      <c r="E4585" s="1" t="s">
        <v>414</v>
      </c>
    </row>
    <row r="4586" spans="1:5" x14ac:dyDescent="0.2">
      <c r="A4586" s="1" t="s">
        <v>1276</v>
      </c>
      <c r="B4586" s="1" t="s">
        <v>468</v>
      </c>
      <c r="C4586" s="5">
        <f>DATE(2025, 2, 17) + TIME(12, 0, 47)</f>
        <v>45705.500543981485</v>
      </c>
      <c r="D4586" s="1" t="s">
        <v>754</v>
      </c>
      <c r="E4586" s="1" t="s">
        <v>75</v>
      </c>
    </row>
    <row r="4587" spans="1:5" x14ac:dyDescent="0.2">
      <c r="A4587" s="1" t="s">
        <v>1276</v>
      </c>
      <c r="B4587" s="1" t="s">
        <v>1033</v>
      </c>
      <c r="C4587" s="5">
        <f>DATE(2025, 2, 13) + TIME(15, 11, 20)</f>
        <v>45701.632870370369</v>
      </c>
      <c r="D4587" s="1" t="s">
        <v>566</v>
      </c>
      <c r="E4587" s="1" t="s">
        <v>324</v>
      </c>
    </row>
    <row r="4588" spans="1:5" x14ac:dyDescent="0.2">
      <c r="A4588" s="1" t="s">
        <v>1276</v>
      </c>
      <c r="B4588" s="1" t="s">
        <v>250</v>
      </c>
      <c r="C4588" s="5">
        <f>DATE(2025, 2, 13) + TIME(15, 11, 20)</f>
        <v>45701.632870370369</v>
      </c>
      <c r="D4588" s="1" t="s">
        <v>566</v>
      </c>
      <c r="E4588" s="1" t="s">
        <v>324</v>
      </c>
    </row>
    <row r="4589" spans="1:5" x14ac:dyDescent="0.2">
      <c r="A4589" s="1" t="s">
        <v>1276</v>
      </c>
      <c r="B4589" s="1" t="s">
        <v>24</v>
      </c>
      <c r="C4589" s="5">
        <f>DATE(2025, 2, 13) + TIME(13, 1, 51)</f>
        <v>45701.542951388888</v>
      </c>
      <c r="D4589" s="1" t="s">
        <v>754</v>
      </c>
      <c r="E4589" s="1" t="s">
        <v>330</v>
      </c>
    </row>
    <row r="4590" spans="1:5" x14ac:dyDescent="0.2">
      <c r="A4590" s="1" t="s">
        <v>1276</v>
      </c>
      <c r="B4590" s="1" t="s">
        <v>759</v>
      </c>
      <c r="C4590" s="5">
        <f>DATE(2025, 2, 13) + TIME(13, 1, 50)</f>
        <v>45701.542939814812</v>
      </c>
      <c r="D4590" s="1" t="s">
        <v>754</v>
      </c>
      <c r="E4590" s="1" t="s">
        <v>330</v>
      </c>
    </row>
    <row r="4591" spans="1:5" x14ac:dyDescent="0.2">
      <c r="A4591" s="1" t="s">
        <v>1276</v>
      </c>
      <c r="B4591" s="1" t="s">
        <v>817</v>
      </c>
      <c r="C4591" s="5">
        <f>DATE(2025, 2, 13) + TIME(12, 48, 48)</f>
        <v>45701.533888888887</v>
      </c>
      <c r="D4591" s="1" t="s">
        <v>640</v>
      </c>
      <c r="E4591" s="1" t="s">
        <v>520</v>
      </c>
    </row>
    <row r="4592" spans="1:5" x14ac:dyDescent="0.2">
      <c r="A4592" s="1" t="s">
        <v>1276</v>
      </c>
      <c r="B4592" s="1" t="s">
        <v>139</v>
      </c>
      <c r="C4592" s="5">
        <f>DATE(2025, 2, 13) + TIME(11, 33, 3)</f>
        <v>45701.48128472222</v>
      </c>
      <c r="D4592" s="1" t="s">
        <v>341</v>
      </c>
      <c r="E4592" s="1" t="s">
        <v>258</v>
      </c>
    </row>
    <row r="4593" spans="1:5" x14ac:dyDescent="0.2">
      <c r="A4593" s="1" t="s">
        <v>1276</v>
      </c>
      <c r="B4593" s="1" t="s">
        <v>932</v>
      </c>
      <c r="C4593" s="5">
        <f>DATE(2025, 2, 12) + TIME(15, 47, 21)</f>
        <v>45700.657881944448</v>
      </c>
      <c r="D4593" s="1" t="s">
        <v>269</v>
      </c>
      <c r="E4593" s="1" t="s">
        <v>511</v>
      </c>
    </row>
    <row r="4594" spans="1:5" x14ac:dyDescent="0.2">
      <c r="A4594" s="1" t="s">
        <v>1276</v>
      </c>
      <c r="B4594" s="1" t="s">
        <v>1028</v>
      </c>
      <c r="C4594" s="5">
        <f>DATE(2025, 2, 12) + TIME(14, 4, 41)</f>
        <v>45700.586585648147</v>
      </c>
      <c r="D4594" s="1" t="s">
        <v>3</v>
      </c>
      <c r="E4594" s="1" t="s">
        <v>936</v>
      </c>
    </row>
    <row r="4595" spans="1:5" x14ac:dyDescent="0.2">
      <c r="A4595" s="1" t="s">
        <v>1276</v>
      </c>
      <c r="B4595" s="1" t="s">
        <v>290</v>
      </c>
      <c r="C4595" s="5">
        <f>DATE(2025, 2, 12) + TIME(14, 0, 20)</f>
        <v>45700.583564814813</v>
      </c>
      <c r="D4595" s="1" t="s">
        <v>506</v>
      </c>
      <c r="E4595" s="1" t="s">
        <v>867</v>
      </c>
    </row>
    <row r="4596" spans="1:5" x14ac:dyDescent="0.2">
      <c r="A4596" s="1" t="s">
        <v>1276</v>
      </c>
      <c r="B4596" s="1" t="s">
        <v>328</v>
      </c>
      <c r="C4596" s="5">
        <f>DATE(2025, 2, 12) + TIME(14, 0, 20)</f>
        <v>45700.583564814813</v>
      </c>
      <c r="D4596" s="1" t="s">
        <v>506</v>
      </c>
      <c r="E4596" s="1" t="s">
        <v>867</v>
      </c>
    </row>
    <row r="4597" spans="1:5" x14ac:dyDescent="0.2">
      <c r="A4597" s="1" t="s">
        <v>1276</v>
      </c>
      <c r="B4597" s="1" t="s">
        <v>766</v>
      </c>
      <c r="C4597" s="5">
        <f>DATE(2025, 2, 12) + TIME(14, 0, 20)</f>
        <v>45700.583564814813</v>
      </c>
      <c r="D4597" s="1" t="s">
        <v>506</v>
      </c>
      <c r="E4597" s="1" t="s">
        <v>867</v>
      </c>
    </row>
    <row r="4598" spans="1:5" x14ac:dyDescent="0.2">
      <c r="A4598" s="1" t="s">
        <v>1276</v>
      </c>
      <c r="B4598" s="1" t="s">
        <v>264</v>
      </c>
      <c r="C4598" s="5">
        <f>DATE(2025, 2, 12) + TIME(13, 21, 41)</f>
        <v>45700.55672453704</v>
      </c>
      <c r="D4598" s="1" t="s">
        <v>64</v>
      </c>
      <c r="E4598" s="1" t="s">
        <v>873</v>
      </c>
    </row>
    <row r="4599" spans="1:5" x14ac:dyDescent="0.2">
      <c r="A4599" s="1" t="s">
        <v>1276</v>
      </c>
      <c r="B4599" s="1" t="s">
        <v>15</v>
      </c>
      <c r="C4599" s="5">
        <f>DATE(2025, 2, 12) + TIME(12, 41, 46)</f>
        <v>45700.529004629629</v>
      </c>
      <c r="D4599" s="1" t="s">
        <v>566</v>
      </c>
      <c r="E4599" s="1" t="s">
        <v>888</v>
      </c>
    </row>
    <row r="4600" spans="1:5" x14ac:dyDescent="0.2">
      <c r="A4600" s="1" t="s">
        <v>1276</v>
      </c>
      <c r="B4600" s="1" t="s">
        <v>848</v>
      </c>
      <c r="C4600" s="5">
        <f>DATE(2025, 2, 12) + TIME(12, 41, 46)</f>
        <v>45700.529004629629</v>
      </c>
      <c r="D4600" s="1" t="s">
        <v>566</v>
      </c>
      <c r="E4600" s="1" t="s">
        <v>888</v>
      </c>
    </row>
    <row r="4601" spans="1:5" x14ac:dyDescent="0.2">
      <c r="A4601" s="1" t="s">
        <v>1276</v>
      </c>
      <c r="B4601" s="1" t="s">
        <v>1035</v>
      </c>
      <c r="C4601" s="5">
        <f>DATE(2025, 2, 12) + TIME(12, 41, 45)</f>
        <v>45700.528993055559</v>
      </c>
      <c r="D4601" s="1" t="s">
        <v>566</v>
      </c>
      <c r="E4601" s="1" t="s">
        <v>888</v>
      </c>
    </row>
    <row r="4602" spans="1:5" x14ac:dyDescent="0.2">
      <c r="A4602" s="1" t="s">
        <v>1276</v>
      </c>
      <c r="B4602" s="1" t="s">
        <v>508</v>
      </c>
      <c r="C4602" s="5">
        <f>DATE(2025, 2, 12) + TIME(12, 41, 45)</f>
        <v>45700.528993055559</v>
      </c>
      <c r="D4602" s="1" t="s">
        <v>566</v>
      </c>
      <c r="E4602" s="1" t="s">
        <v>888</v>
      </c>
    </row>
    <row r="4603" spans="1:5" x14ac:dyDescent="0.2">
      <c r="A4603" s="1" t="s">
        <v>1276</v>
      </c>
      <c r="B4603" s="1" t="s">
        <v>577</v>
      </c>
      <c r="C4603" s="5">
        <f>DATE(2025, 2, 12) + TIME(12, 29, 55)</f>
        <v>45700.520775462966</v>
      </c>
      <c r="D4603" s="1" t="s">
        <v>566</v>
      </c>
      <c r="E4603" s="1" t="s">
        <v>938</v>
      </c>
    </row>
    <row r="4604" spans="1:5" x14ac:dyDescent="0.2">
      <c r="A4604" s="1" t="s">
        <v>1276</v>
      </c>
      <c r="B4604" s="1" t="s">
        <v>72</v>
      </c>
      <c r="C4604" s="5">
        <f>DATE(2025, 2, 12) + TIME(11, 21, 15)</f>
        <v>45700.473090277781</v>
      </c>
      <c r="D4604" s="1" t="s">
        <v>64</v>
      </c>
      <c r="E4604" s="1" t="s">
        <v>337</v>
      </c>
    </row>
    <row r="4605" spans="1:5" x14ac:dyDescent="0.2">
      <c r="A4605" s="1" t="s">
        <v>1276</v>
      </c>
      <c r="B4605" s="1" t="s">
        <v>63</v>
      </c>
      <c r="C4605" s="5">
        <f>DATE(2025, 2, 11) + TIME(13, 31, 52)</f>
        <v>45699.563796296294</v>
      </c>
      <c r="D4605" s="1" t="s">
        <v>459</v>
      </c>
      <c r="E4605" s="1" t="s">
        <v>160</v>
      </c>
    </row>
    <row r="4606" spans="1:5" x14ac:dyDescent="0.2">
      <c r="A4606" s="1" t="s">
        <v>1276</v>
      </c>
      <c r="B4606" s="1" t="s">
        <v>508</v>
      </c>
      <c r="C4606" s="5">
        <f>DATE(2025, 2, 11) + TIME(13, 23, 13)</f>
        <v>45699.557789351849</v>
      </c>
      <c r="D4606" s="1" t="s">
        <v>148</v>
      </c>
      <c r="E4606" s="1" t="s">
        <v>877</v>
      </c>
    </row>
    <row r="4607" spans="1:5" x14ac:dyDescent="0.2">
      <c r="A4607" s="1" t="s">
        <v>1276</v>
      </c>
      <c r="B4607" s="1" t="s">
        <v>686</v>
      </c>
      <c r="C4607" s="5">
        <f>DATE(2025, 2, 11) + TIME(13, 1, 0)</f>
        <v>45699.542361111111</v>
      </c>
      <c r="D4607" s="1" t="s">
        <v>3</v>
      </c>
      <c r="E4607" s="1" t="s">
        <v>248</v>
      </c>
    </row>
    <row r="4608" spans="1:5" x14ac:dyDescent="0.2">
      <c r="A4608" s="1" t="s">
        <v>1276</v>
      </c>
      <c r="B4608" s="1" t="s">
        <v>14</v>
      </c>
      <c r="C4608" s="5">
        <f>DATE(2025, 2, 11) + TIME(10, 34, 13)</f>
        <v>45699.440428240741</v>
      </c>
      <c r="D4608" s="1" t="s">
        <v>65</v>
      </c>
      <c r="E4608" s="1" t="s">
        <v>152</v>
      </c>
    </row>
    <row r="4609" spans="1:5" x14ac:dyDescent="0.2">
      <c r="A4609" s="1" t="s">
        <v>1276</v>
      </c>
      <c r="B4609" s="1" t="s">
        <v>390</v>
      </c>
      <c r="C4609" s="5">
        <f>DATE(2025, 2, 11) + TIME(10, 34, 13)</f>
        <v>45699.440428240741</v>
      </c>
      <c r="D4609" s="1" t="s">
        <v>65</v>
      </c>
      <c r="E4609" s="1" t="s">
        <v>152</v>
      </c>
    </row>
    <row r="4610" spans="1:5" x14ac:dyDescent="0.2">
      <c r="A4610" s="1" t="s">
        <v>1276</v>
      </c>
      <c r="B4610" s="1" t="s">
        <v>651</v>
      </c>
      <c r="C4610" s="5">
        <f>DATE(2025, 2, 11) + TIME(9, 50, 21)</f>
        <v>45699.40996527778</v>
      </c>
      <c r="D4610" s="1" t="s">
        <v>869</v>
      </c>
      <c r="E4610" s="1" t="s">
        <v>830</v>
      </c>
    </row>
    <row r="4611" spans="1:5" x14ac:dyDescent="0.2">
      <c r="A4611" s="1" t="s">
        <v>1276</v>
      </c>
      <c r="B4611" s="1" t="s">
        <v>1037</v>
      </c>
      <c r="C4611" s="5">
        <f>DATE(2025, 2, 10) + TIME(16, 23, 11)</f>
        <v>45698.682766203703</v>
      </c>
      <c r="D4611" s="1" t="s">
        <v>5</v>
      </c>
      <c r="E4611" s="1" t="s">
        <v>599</v>
      </c>
    </row>
    <row r="4612" spans="1:5" x14ac:dyDescent="0.2">
      <c r="A4612" s="1" t="s">
        <v>1276</v>
      </c>
      <c r="B4612" s="1" t="s">
        <v>1030</v>
      </c>
      <c r="C4612" s="5">
        <f>DATE(2025, 2, 10) + TIME(14, 0, 5)</f>
        <v>45698.583391203705</v>
      </c>
      <c r="D4612" s="1" t="s">
        <v>269</v>
      </c>
      <c r="E4612" s="1" t="s">
        <v>299</v>
      </c>
    </row>
    <row r="4613" spans="1:5" x14ac:dyDescent="0.2">
      <c r="A4613" s="1" t="s">
        <v>1276</v>
      </c>
      <c r="B4613" s="1" t="s">
        <v>907</v>
      </c>
      <c r="C4613" s="5">
        <f>DATE(2025, 2, 10) + TIME(13, 51, 36)</f>
        <v>45698.577499999999</v>
      </c>
      <c r="D4613" s="1" t="s">
        <v>754</v>
      </c>
      <c r="E4613" s="1" t="s">
        <v>75</v>
      </c>
    </row>
    <row r="4614" spans="1:5" x14ac:dyDescent="0.2">
      <c r="A4614" s="1" t="s">
        <v>1276</v>
      </c>
      <c r="B4614" s="1" t="s">
        <v>15</v>
      </c>
      <c r="C4614" s="5">
        <f>DATE(2025, 2, 10) + TIME(13, 21, 1)</f>
        <v>45698.556261574071</v>
      </c>
      <c r="D4614" s="1" t="s">
        <v>459</v>
      </c>
      <c r="E4614" s="1" t="s">
        <v>836</v>
      </c>
    </row>
    <row r="4615" spans="1:5" x14ac:dyDescent="0.2">
      <c r="A4615" s="1" t="s">
        <v>1276</v>
      </c>
      <c r="B4615" s="1" t="s">
        <v>752</v>
      </c>
      <c r="C4615" s="5">
        <f>DATE(2025, 2, 10) + TIME(11, 35, 0)</f>
        <v>45698.482638888891</v>
      </c>
      <c r="D4615" s="1" t="s">
        <v>269</v>
      </c>
      <c r="E4615" s="1" t="s">
        <v>537</v>
      </c>
    </row>
    <row r="4616" spans="1:5" x14ac:dyDescent="0.2">
      <c r="A4616" s="1" t="s">
        <v>1276</v>
      </c>
      <c r="B4616" s="1" t="s">
        <v>688</v>
      </c>
      <c r="C4616" s="5">
        <f>DATE(2025, 2, 6) + TIME(14, 7, 29)</f>
        <v>45694.588530092595</v>
      </c>
      <c r="D4616" s="1" t="s">
        <v>638</v>
      </c>
      <c r="E4616" s="1" t="s">
        <v>362</v>
      </c>
    </row>
    <row r="4617" spans="1:5" x14ac:dyDescent="0.2">
      <c r="A4617" s="1" t="s">
        <v>1276</v>
      </c>
      <c r="B4617" s="1" t="s">
        <v>169</v>
      </c>
      <c r="C4617" s="5">
        <f>DATE(2025, 2, 6) + TIME(14, 3, 18)</f>
        <v>45694.585625</v>
      </c>
      <c r="D4617" s="1" t="s">
        <v>356</v>
      </c>
      <c r="E4617" s="1" t="s">
        <v>878</v>
      </c>
    </row>
    <row r="4618" spans="1:5" x14ac:dyDescent="0.2">
      <c r="A4618" s="1" t="s">
        <v>1276</v>
      </c>
      <c r="B4618" s="1" t="s">
        <v>1035</v>
      </c>
      <c r="C4618" s="5">
        <f>DATE(2025, 2, 6) + TIME(13, 45, 50)</f>
        <v>45694.573495370372</v>
      </c>
      <c r="D4618" s="1" t="s">
        <v>396</v>
      </c>
      <c r="E4618" s="1" t="s">
        <v>652</v>
      </c>
    </row>
    <row r="4619" spans="1:5" x14ac:dyDescent="0.2">
      <c r="A4619" s="1" t="s">
        <v>1276</v>
      </c>
      <c r="B4619" s="1" t="s">
        <v>967</v>
      </c>
      <c r="C4619" s="5">
        <f>DATE(2025, 2, 6) + TIME(12, 38, 7)</f>
        <v>45694.526469907411</v>
      </c>
      <c r="D4619" s="1" t="s">
        <v>506</v>
      </c>
      <c r="E4619" s="1" t="s">
        <v>808</v>
      </c>
    </row>
    <row r="4620" spans="1:5" x14ac:dyDescent="0.2">
      <c r="A4620" s="1" t="s">
        <v>1276</v>
      </c>
      <c r="B4620" s="1" t="s">
        <v>290</v>
      </c>
      <c r="C4620" s="5">
        <f>DATE(2025, 2, 6) + TIME(12, 24, 27)</f>
        <v>45694.516979166663</v>
      </c>
      <c r="D4620" s="1" t="s">
        <v>396</v>
      </c>
      <c r="E4620" s="1" t="s">
        <v>567</v>
      </c>
    </row>
    <row r="4621" spans="1:5" x14ac:dyDescent="0.2">
      <c r="A4621" s="1" t="s">
        <v>1276</v>
      </c>
      <c r="B4621" s="1" t="s">
        <v>69</v>
      </c>
      <c r="C4621" s="5">
        <f>DATE(2025, 2, 6) + TIME(11, 59, 42)</f>
        <v>45694.499791666669</v>
      </c>
      <c r="D4621" s="1" t="s">
        <v>576</v>
      </c>
      <c r="E4621" s="1" t="s">
        <v>641</v>
      </c>
    </row>
    <row r="4622" spans="1:5" x14ac:dyDescent="0.2">
      <c r="A4622" s="1" t="s">
        <v>1276</v>
      </c>
      <c r="B4622" s="1" t="s">
        <v>493</v>
      </c>
      <c r="C4622" s="5">
        <f>DATE(2025, 2, 6) + TIME(11, 9, 33)</f>
        <v>45694.464965277781</v>
      </c>
      <c r="D4622" s="1" t="s">
        <v>3</v>
      </c>
      <c r="E4622" s="1" t="s">
        <v>211</v>
      </c>
    </row>
    <row r="4623" spans="1:5" x14ac:dyDescent="0.2">
      <c r="A4623" s="1" t="s">
        <v>1276</v>
      </c>
      <c r="B4623" s="1" t="s">
        <v>765</v>
      </c>
      <c r="C4623" s="5">
        <f>DATE(2025, 2, 5) + TIME(16, 49, 50)</f>
        <v>45693.701273148145</v>
      </c>
      <c r="D4623" s="1" t="s">
        <v>638</v>
      </c>
      <c r="E4623" s="1" t="s">
        <v>85</v>
      </c>
    </row>
    <row r="4624" spans="1:5" x14ac:dyDescent="0.2">
      <c r="A4624" s="1" t="s">
        <v>1276</v>
      </c>
      <c r="B4624" s="1" t="s">
        <v>978</v>
      </c>
      <c r="C4624" s="5">
        <f>DATE(2025, 2, 5) + TIME(15, 30, 43)</f>
        <v>45693.646331018521</v>
      </c>
      <c r="D4624" s="1" t="s">
        <v>638</v>
      </c>
      <c r="E4624" s="1" t="s">
        <v>198</v>
      </c>
    </row>
    <row r="4625" spans="1:5" x14ac:dyDescent="0.2">
      <c r="A4625" s="1" t="s">
        <v>1276</v>
      </c>
      <c r="B4625" s="1" t="s">
        <v>1039</v>
      </c>
      <c r="C4625" s="5">
        <f>DATE(2025, 2, 5) + TIME(15, 11, 10)</f>
        <v>45693.632754629631</v>
      </c>
      <c r="D4625" s="1" t="s">
        <v>64</v>
      </c>
      <c r="E4625" s="1" t="s">
        <v>11</v>
      </c>
    </row>
    <row r="4626" spans="1:5" x14ac:dyDescent="0.2">
      <c r="A4626" s="1" t="s">
        <v>1276</v>
      </c>
      <c r="B4626" s="1" t="s">
        <v>7</v>
      </c>
      <c r="C4626" s="5">
        <f>DATE(2025, 2, 5) + TIME(14, 53, 30)</f>
        <v>45693.620486111111</v>
      </c>
      <c r="D4626" s="1" t="s">
        <v>566</v>
      </c>
      <c r="E4626" s="1" t="s">
        <v>888</v>
      </c>
    </row>
    <row r="4627" spans="1:5" x14ac:dyDescent="0.2">
      <c r="A4627" s="1" t="s">
        <v>1276</v>
      </c>
      <c r="B4627" s="1" t="s">
        <v>69</v>
      </c>
      <c r="C4627" s="5">
        <f>DATE(2025, 2, 5) + TIME(14, 9, 10)</f>
        <v>45693.589699074073</v>
      </c>
      <c r="D4627" s="1" t="s">
        <v>566</v>
      </c>
      <c r="E4627" s="1" t="s">
        <v>893</v>
      </c>
    </row>
    <row r="4628" spans="1:5" x14ac:dyDescent="0.2">
      <c r="A4628" s="1" t="s">
        <v>1276</v>
      </c>
      <c r="B4628" s="1" t="s">
        <v>688</v>
      </c>
      <c r="C4628" s="5">
        <f>DATE(2025, 2, 5) + TIME(13, 15, 40)</f>
        <v>45693.552546296298</v>
      </c>
      <c r="D4628" s="1" t="s">
        <v>563</v>
      </c>
      <c r="E4628" s="1" t="s">
        <v>217</v>
      </c>
    </row>
    <row r="4629" spans="1:5" x14ac:dyDescent="0.2">
      <c r="A4629" s="1" t="s">
        <v>1276</v>
      </c>
      <c r="B4629" s="1" t="s">
        <v>343</v>
      </c>
      <c r="C4629" s="5">
        <f>DATE(2025, 2, 5) + TIME(11, 50, 32)</f>
        <v>45693.493425925924</v>
      </c>
      <c r="D4629" s="1" t="s">
        <v>216</v>
      </c>
      <c r="E4629" s="1" t="s">
        <v>321</v>
      </c>
    </row>
    <row r="4630" spans="1:5" x14ac:dyDescent="0.2">
      <c r="A4630" s="1" t="s">
        <v>1276</v>
      </c>
      <c r="B4630" s="1" t="s">
        <v>7</v>
      </c>
      <c r="C4630" s="5">
        <f>DATE(2025, 2, 5) + TIME(11, 45, 9)</f>
        <v>45693.489687499998</v>
      </c>
      <c r="D4630" s="1" t="s">
        <v>216</v>
      </c>
      <c r="E4630" s="1" t="s">
        <v>321</v>
      </c>
    </row>
    <row r="4631" spans="1:5" x14ac:dyDescent="0.2">
      <c r="A4631" s="1" t="s">
        <v>1276</v>
      </c>
      <c r="B4631" s="1" t="s">
        <v>24</v>
      </c>
      <c r="C4631" s="5">
        <f>DATE(2025, 2, 5) + TIME(11, 43, 26)</f>
        <v>45693.488495370373</v>
      </c>
      <c r="D4631" s="1" t="s">
        <v>64</v>
      </c>
      <c r="E4631" s="1" t="s">
        <v>873</v>
      </c>
    </row>
    <row r="4632" spans="1:5" x14ac:dyDescent="0.2">
      <c r="A4632" s="1" t="s">
        <v>1276</v>
      </c>
      <c r="B4632" s="1" t="s">
        <v>1041</v>
      </c>
      <c r="C4632" s="5">
        <f>DATE(2025, 2, 5) + TIME(11, 43, 26)</f>
        <v>45693.488495370373</v>
      </c>
      <c r="D4632" s="1" t="s">
        <v>64</v>
      </c>
      <c r="E4632" s="1" t="s">
        <v>873</v>
      </c>
    </row>
    <row r="4633" spans="1:5" x14ac:dyDescent="0.2">
      <c r="A4633" s="1" t="s">
        <v>1276</v>
      </c>
      <c r="B4633" s="1" t="s">
        <v>228</v>
      </c>
      <c r="C4633" s="5">
        <f>DATE(2025, 2, 5) + TIME(11, 30, 3)</f>
        <v>45693.479201388887</v>
      </c>
      <c r="D4633" s="1" t="s">
        <v>506</v>
      </c>
      <c r="E4633" s="1" t="s">
        <v>158</v>
      </c>
    </row>
    <row r="4634" spans="1:5" x14ac:dyDescent="0.2">
      <c r="A4634" s="1" t="s">
        <v>1276</v>
      </c>
      <c r="B4634" s="1" t="s">
        <v>24</v>
      </c>
      <c r="C4634" s="5">
        <f>DATE(2025, 2, 4) + TIME(15, 47, 21)</f>
        <v>45692.657881944448</v>
      </c>
      <c r="D4634" s="1" t="s">
        <v>216</v>
      </c>
      <c r="E4634" s="1" t="s">
        <v>101</v>
      </c>
    </row>
    <row r="4635" spans="1:5" x14ac:dyDescent="0.2">
      <c r="A4635" s="1" t="s">
        <v>1276</v>
      </c>
      <c r="B4635" s="1" t="s">
        <v>139</v>
      </c>
      <c r="C4635" s="5">
        <f>DATE(2025, 2, 4) + TIME(14, 41, 51)</f>
        <v>45692.612395833334</v>
      </c>
      <c r="D4635" s="1" t="s">
        <v>65</v>
      </c>
      <c r="E4635" s="1" t="s">
        <v>555</v>
      </c>
    </row>
    <row r="4636" spans="1:5" x14ac:dyDescent="0.2">
      <c r="A4636" s="1" t="s">
        <v>1276</v>
      </c>
      <c r="B4636" s="1" t="s">
        <v>60</v>
      </c>
      <c r="C4636" s="5">
        <f>DATE(2025, 2, 4) + TIME(13, 29, 53)</f>
        <v>45692.562418981484</v>
      </c>
      <c r="D4636" s="1" t="s">
        <v>65</v>
      </c>
      <c r="E4636" s="1" t="s">
        <v>227</v>
      </c>
    </row>
    <row r="4637" spans="1:5" x14ac:dyDescent="0.2">
      <c r="A4637" s="1" t="s">
        <v>1276</v>
      </c>
      <c r="B4637" s="1" t="s">
        <v>1037</v>
      </c>
      <c r="C4637" s="5">
        <f>DATE(2025, 2, 4) + TIME(12, 36, 17)</f>
        <v>45692.525196759256</v>
      </c>
      <c r="D4637" s="1" t="s">
        <v>576</v>
      </c>
      <c r="E4637" s="1" t="s">
        <v>599</v>
      </c>
    </row>
    <row r="4638" spans="1:5" x14ac:dyDescent="0.2">
      <c r="A4638" s="1" t="s">
        <v>1276</v>
      </c>
      <c r="B4638" s="1" t="s">
        <v>994</v>
      </c>
      <c r="C4638" s="5">
        <f>DATE(2025, 2, 4) + TIME(12, 7, 19)</f>
        <v>45692.50508101852</v>
      </c>
      <c r="D4638" s="1" t="s">
        <v>566</v>
      </c>
      <c r="E4638" s="1" t="s">
        <v>1042</v>
      </c>
    </row>
    <row r="4639" spans="1:5" x14ac:dyDescent="0.2">
      <c r="A4639" s="1" t="s">
        <v>1276</v>
      </c>
      <c r="B4639" s="1" t="s">
        <v>7</v>
      </c>
      <c r="C4639" s="5">
        <f>DATE(2025, 2, 4) + TIME(12, 5, 37)</f>
        <v>45692.503900462965</v>
      </c>
      <c r="D4639" s="1" t="s">
        <v>65</v>
      </c>
      <c r="E4639" s="1" t="s">
        <v>152</v>
      </c>
    </row>
    <row r="4640" spans="1:5" ht="16" x14ac:dyDescent="0.2">
      <c r="A4640" s="1" t="s">
        <v>1276</v>
      </c>
      <c r="B4640" s="1" t="s">
        <v>9</v>
      </c>
      <c r="C4640" s="5">
        <f>DATE(2025, 2, 4) + TIME(11, 50, 46)</f>
        <v>45692.493587962963</v>
      </c>
      <c r="D4640" s="1" t="s">
        <v>754</v>
      </c>
      <c r="E4640" s="2" t="s">
        <v>87</v>
      </c>
    </row>
    <row r="4641" spans="1:5" x14ac:dyDescent="0.2">
      <c r="A4641" s="1" t="s">
        <v>1276</v>
      </c>
      <c r="B4641" s="1" t="s">
        <v>715</v>
      </c>
      <c r="C4641" s="5">
        <f>DATE(2025, 2, 3) + TIME(17, 51, 49)</f>
        <v>45691.744317129633</v>
      </c>
      <c r="D4641" s="1" t="s">
        <v>126</v>
      </c>
      <c r="E4641" s="1" t="s">
        <v>143</v>
      </c>
    </row>
    <row r="4642" spans="1:5" x14ac:dyDescent="0.2">
      <c r="A4642" s="1" t="s">
        <v>1276</v>
      </c>
      <c r="B4642" s="1" t="s">
        <v>1043</v>
      </c>
      <c r="C4642" s="5">
        <f>DATE(2025, 2, 3) + TIME(14, 46, 37)</f>
        <v>45691.615706018521</v>
      </c>
      <c r="D4642" s="1" t="s">
        <v>320</v>
      </c>
      <c r="E4642" s="1" t="s">
        <v>406</v>
      </c>
    </row>
    <row r="4643" spans="1:5" x14ac:dyDescent="0.2">
      <c r="A4643" s="1" t="s">
        <v>1276</v>
      </c>
      <c r="B4643" s="1" t="s">
        <v>499</v>
      </c>
      <c r="C4643" s="5">
        <f>DATE(2025, 2, 3) + TIME(14, 46, 37)</f>
        <v>45691.615706018521</v>
      </c>
      <c r="D4643" s="1" t="s">
        <v>320</v>
      </c>
      <c r="E4643" s="1" t="s">
        <v>406</v>
      </c>
    </row>
    <row r="4644" spans="1:5" x14ac:dyDescent="0.2">
      <c r="A4644" s="1" t="s">
        <v>1276</v>
      </c>
      <c r="B4644" s="1" t="s">
        <v>837</v>
      </c>
      <c r="C4644" s="5">
        <f>DATE(2025, 2, 3) + TIME(14, 36, 59)</f>
        <v>45691.609016203707</v>
      </c>
      <c r="D4644" s="1" t="s">
        <v>754</v>
      </c>
      <c r="E4644" s="1" t="s">
        <v>282</v>
      </c>
    </row>
    <row r="4645" spans="1:5" x14ac:dyDescent="0.2">
      <c r="A4645" s="1" t="s">
        <v>1276</v>
      </c>
      <c r="B4645" s="1" t="s">
        <v>464</v>
      </c>
      <c r="C4645" s="5">
        <f>DATE(2025, 2, 3) + TIME(14, 27, 41)</f>
        <v>45691.60255787037</v>
      </c>
      <c r="D4645" s="1" t="s">
        <v>65</v>
      </c>
      <c r="E4645" s="1" t="s">
        <v>329</v>
      </c>
    </row>
    <row r="4646" spans="1:5" x14ac:dyDescent="0.2">
      <c r="A4646" s="1" t="s">
        <v>1276</v>
      </c>
      <c r="B4646" s="1" t="s">
        <v>163</v>
      </c>
      <c r="C4646" s="5">
        <f>DATE(2025, 2, 3) + TIME(13, 11, 24)</f>
        <v>45691.549583333333</v>
      </c>
      <c r="D4646" s="1" t="s">
        <v>144</v>
      </c>
      <c r="E4646" s="1" t="s">
        <v>498</v>
      </c>
    </row>
    <row r="4647" spans="1:5" x14ac:dyDescent="0.2">
      <c r="A4647" s="1" t="s">
        <v>1276</v>
      </c>
      <c r="B4647" s="1" t="s">
        <v>569</v>
      </c>
      <c r="C4647" s="5">
        <f>DATE(2025, 2, 3) + TIME(12, 2, 17)</f>
        <v>45691.501585648148</v>
      </c>
      <c r="D4647" s="1" t="s">
        <v>871</v>
      </c>
      <c r="E4647" s="1" t="s">
        <v>414</v>
      </c>
    </row>
    <row r="4648" spans="1:5" x14ac:dyDescent="0.2">
      <c r="A4648" s="1" t="s">
        <v>1276</v>
      </c>
      <c r="B4648" s="1" t="s">
        <v>1044</v>
      </c>
      <c r="C4648" s="5">
        <f>DATE(2025, 2, 3) + TIME(11, 16, 56)</f>
        <v>45691.470092592594</v>
      </c>
      <c r="D4648" s="1" t="s">
        <v>269</v>
      </c>
      <c r="E4648" s="1" t="s">
        <v>537</v>
      </c>
    </row>
    <row r="4649" spans="1:5" x14ac:dyDescent="0.2">
      <c r="A4649" s="1" t="s">
        <v>1276</v>
      </c>
      <c r="B4649" s="1" t="s">
        <v>577</v>
      </c>
      <c r="C4649" s="5">
        <f>DATE(2025, 2, 3) + TIME(10, 4, 18)</f>
        <v>45691.419652777775</v>
      </c>
      <c r="D4649" s="1" t="s">
        <v>563</v>
      </c>
      <c r="E4649" s="1" t="s">
        <v>1045</v>
      </c>
    </row>
    <row r="4650" spans="1:5" x14ac:dyDescent="0.2">
      <c r="A4650" s="1" t="s">
        <v>1276</v>
      </c>
      <c r="B4650" s="1" t="s">
        <v>1043</v>
      </c>
      <c r="C4650" s="5">
        <f>DATE(2025, 1, 30) + TIME(15, 39, 23)</f>
        <v>45687.652349537035</v>
      </c>
      <c r="D4650" s="1" t="s">
        <v>3</v>
      </c>
      <c r="E4650" s="1" t="s">
        <v>684</v>
      </c>
    </row>
    <row r="4651" spans="1:5" x14ac:dyDescent="0.2">
      <c r="A4651" s="1" t="s">
        <v>1276</v>
      </c>
      <c r="B4651" s="1" t="s">
        <v>24</v>
      </c>
      <c r="C4651" s="5">
        <f>DATE(2025, 1, 30) + TIME(14, 59, 12)</f>
        <v>45687.624444444446</v>
      </c>
      <c r="D4651" s="1" t="s">
        <v>391</v>
      </c>
      <c r="E4651" s="1" t="s">
        <v>829</v>
      </c>
    </row>
    <row r="4652" spans="1:5" x14ac:dyDescent="0.2">
      <c r="A4652" s="1" t="s">
        <v>1276</v>
      </c>
      <c r="B4652" s="1" t="s">
        <v>932</v>
      </c>
      <c r="C4652" s="5">
        <f>DATE(2025, 1, 30) + TIME(14, 43, 52)</f>
        <v>45687.613796296297</v>
      </c>
      <c r="D4652" s="1" t="s">
        <v>341</v>
      </c>
      <c r="E4652" s="1" t="s">
        <v>728</v>
      </c>
    </row>
    <row r="4653" spans="1:5" x14ac:dyDescent="0.2">
      <c r="A4653" s="1" t="s">
        <v>1276</v>
      </c>
      <c r="B4653" s="1" t="s">
        <v>848</v>
      </c>
      <c r="C4653" s="5">
        <f>DATE(2025, 1, 30) + TIME(14, 21, 59)</f>
        <v>45687.598599537036</v>
      </c>
      <c r="D4653" s="1" t="s">
        <v>269</v>
      </c>
      <c r="E4653" s="1" t="s">
        <v>299</v>
      </c>
    </row>
    <row r="4654" spans="1:5" x14ac:dyDescent="0.2">
      <c r="A4654" s="1" t="s">
        <v>1276</v>
      </c>
      <c r="B4654" s="1" t="s">
        <v>1047</v>
      </c>
      <c r="C4654" s="5">
        <f>DATE(2025, 1, 30) + TIME(14, 5, 37)</f>
        <v>45687.587233796294</v>
      </c>
      <c r="D4654" s="1" t="s">
        <v>320</v>
      </c>
      <c r="E4654" s="1" t="s">
        <v>2</v>
      </c>
    </row>
    <row r="4655" spans="1:5" x14ac:dyDescent="0.2">
      <c r="A4655" s="1" t="s">
        <v>1276</v>
      </c>
      <c r="B4655" s="1" t="s">
        <v>7</v>
      </c>
      <c r="C4655" s="5">
        <f>DATE(2025, 1, 30) + TIME(14, 3, 7)</f>
        <v>45687.585497685184</v>
      </c>
      <c r="D4655" s="1" t="s">
        <v>269</v>
      </c>
      <c r="E4655" s="1" t="s">
        <v>603</v>
      </c>
    </row>
    <row r="4656" spans="1:5" x14ac:dyDescent="0.2">
      <c r="A4656" s="1" t="s">
        <v>1276</v>
      </c>
      <c r="B4656" s="1" t="s">
        <v>328</v>
      </c>
      <c r="C4656" s="5">
        <f>DATE(2025, 1, 30) + TIME(12, 17, 35)</f>
        <v>45687.51221064815</v>
      </c>
      <c r="D4656" s="1" t="s">
        <v>506</v>
      </c>
      <c r="E4656" s="1" t="s">
        <v>635</v>
      </c>
    </row>
    <row r="4657" spans="1:5" x14ac:dyDescent="0.2">
      <c r="A4657" s="1" t="s">
        <v>1276</v>
      </c>
      <c r="B4657" s="1" t="s">
        <v>817</v>
      </c>
      <c r="C4657" s="5">
        <f>DATE(2025, 1, 30) + TIME(12, 10, 44)</f>
        <v>45687.507453703707</v>
      </c>
      <c r="D4657" s="1" t="s">
        <v>216</v>
      </c>
      <c r="E4657" s="1" t="s">
        <v>466</v>
      </c>
    </row>
    <row r="4658" spans="1:5" x14ac:dyDescent="0.2">
      <c r="A4658" s="1" t="s">
        <v>1276</v>
      </c>
      <c r="B4658" s="1" t="s">
        <v>562</v>
      </c>
      <c r="C4658" s="5">
        <f>DATE(2025, 1, 30) + TIME(11, 56, 22)</f>
        <v>45687.497476851851</v>
      </c>
      <c r="D4658" s="1" t="s">
        <v>640</v>
      </c>
      <c r="E4658" s="1" t="s">
        <v>500</v>
      </c>
    </row>
    <row r="4659" spans="1:5" x14ac:dyDescent="0.2">
      <c r="A4659" s="1" t="s">
        <v>1276</v>
      </c>
      <c r="B4659" s="1" t="s">
        <v>1048</v>
      </c>
      <c r="C4659" s="5">
        <f>DATE(2025, 1, 30) + TIME(11, 22, 52)</f>
        <v>45687.474212962959</v>
      </c>
      <c r="D4659" s="1" t="s">
        <v>3</v>
      </c>
      <c r="E4659" s="1" t="s">
        <v>684</v>
      </c>
    </row>
    <row r="4660" spans="1:5" x14ac:dyDescent="0.2">
      <c r="A4660" s="1" t="s">
        <v>1276</v>
      </c>
      <c r="B4660" s="1" t="s">
        <v>290</v>
      </c>
      <c r="C4660" s="5">
        <f>DATE(2025, 1, 30) + TIME(8, 30, 55)</f>
        <v>45687.354803240742</v>
      </c>
      <c r="D4660" s="1" t="s">
        <v>320</v>
      </c>
      <c r="E4660" s="1" t="s">
        <v>683</v>
      </c>
    </row>
    <row r="4661" spans="1:5" x14ac:dyDescent="0.2">
      <c r="A4661" s="1" t="s">
        <v>1276</v>
      </c>
      <c r="B4661" s="1" t="s">
        <v>483</v>
      </c>
      <c r="C4661" s="5">
        <f>DATE(2025, 1, 29) + TIME(14, 14, 18)</f>
        <v>45686.593263888892</v>
      </c>
      <c r="D4661" s="1" t="s">
        <v>638</v>
      </c>
      <c r="E4661" s="1" t="s">
        <v>518</v>
      </c>
    </row>
    <row r="4662" spans="1:5" x14ac:dyDescent="0.2">
      <c r="A4662" s="1" t="s">
        <v>1276</v>
      </c>
      <c r="B4662" s="1" t="s">
        <v>343</v>
      </c>
      <c r="C4662" s="5">
        <f>DATE(2025, 1, 29) + TIME(13, 8, 7)</f>
        <v>45686.547303240739</v>
      </c>
      <c r="D4662" s="1" t="s">
        <v>506</v>
      </c>
      <c r="E4662" s="1" t="s">
        <v>1049</v>
      </c>
    </row>
    <row r="4663" spans="1:5" x14ac:dyDescent="0.2">
      <c r="A4663" s="1" t="s">
        <v>1276</v>
      </c>
      <c r="B4663" s="1" t="s">
        <v>24</v>
      </c>
      <c r="C4663" s="5">
        <f>DATE(2025, 1, 29) + TIME(12, 13, 24)</f>
        <v>45686.509305555555</v>
      </c>
      <c r="D4663" s="1" t="s">
        <v>640</v>
      </c>
      <c r="E4663" s="1" t="s">
        <v>283</v>
      </c>
    </row>
    <row r="4664" spans="1:5" x14ac:dyDescent="0.2">
      <c r="A4664" s="1" t="s">
        <v>1276</v>
      </c>
      <c r="B4664" s="1" t="s">
        <v>677</v>
      </c>
      <c r="C4664" s="5">
        <f>DATE(2025, 1, 29) + TIME(11, 17, 34)</f>
        <v>45686.470532407409</v>
      </c>
      <c r="D4664" s="1" t="s">
        <v>459</v>
      </c>
      <c r="E4664" s="1" t="s">
        <v>536</v>
      </c>
    </row>
    <row r="4665" spans="1:5" x14ac:dyDescent="0.2">
      <c r="A4665" s="1" t="s">
        <v>1276</v>
      </c>
      <c r="B4665" s="1" t="s">
        <v>139</v>
      </c>
      <c r="C4665" s="5">
        <f>DATE(2025, 1, 29) + TIME(10, 54, 55)</f>
        <v>45686.45480324074</v>
      </c>
      <c r="D4665" s="1" t="s">
        <v>65</v>
      </c>
      <c r="E4665" s="1" t="s">
        <v>918</v>
      </c>
    </row>
    <row r="4666" spans="1:5" x14ac:dyDescent="0.2">
      <c r="A4666" s="1" t="s">
        <v>1276</v>
      </c>
      <c r="B4666" s="1" t="s">
        <v>1048</v>
      </c>
      <c r="C4666" s="5">
        <f>DATE(2025, 1, 29) + TIME(10, 54, 55)</f>
        <v>45686.45480324074</v>
      </c>
      <c r="D4666" s="1" t="s">
        <v>65</v>
      </c>
      <c r="E4666" s="1" t="s">
        <v>918</v>
      </c>
    </row>
    <row r="4667" spans="1:5" x14ac:dyDescent="0.2">
      <c r="A4667" s="1" t="s">
        <v>1276</v>
      </c>
      <c r="B4667" s="1" t="s">
        <v>468</v>
      </c>
      <c r="C4667" s="5">
        <f>DATE(2025, 1, 29) + TIME(10, 19, 15)</f>
        <v>45686.430034722223</v>
      </c>
      <c r="D4667" s="1" t="s">
        <v>148</v>
      </c>
      <c r="E4667" s="1" t="s">
        <v>621</v>
      </c>
    </row>
    <row r="4668" spans="1:5" x14ac:dyDescent="0.2">
      <c r="A4668" s="1" t="s">
        <v>1276</v>
      </c>
      <c r="B4668" s="1" t="s">
        <v>562</v>
      </c>
      <c r="C4668" s="5">
        <f>DATE(2025, 1, 29) + TIME(9, 43, 46)</f>
        <v>45686.405393518522</v>
      </c>
      <c r="D4668" s="1" t="s">
        <v>754</v>
      </c>
      <c r="E4668" s="1" t="s">
        <v>760</v>
      </c>
    </row>
    <row r="4669" spans="1:5" x14ac:dyDescent="0.2">
      <c r="A4669" s="1" t="s">
        <v>1276</v>
      </c>
      <c r="B4669" s="1" t="s">
        <v>69</v>
      </c>
      <c r="C4669" s="5">
        <f>DATE(2025, 1, 28) + TIME(15, 26, 13)</f>
        <v>45685.643206018518</v>
      </c>
      <c r="D4669" s="1" t="s">
        <v>396</v>
      </c>
      <c r="E4669" s="1" t="s">
        <v>76</v>
      </c>
    </row>
    <row r="4670" spans="1:5" ht="16" x14ac:dyDescent="0.2">
      <c r="A4670" s="1" t="s">
        <v>1276</v>
      </c>
      <c r="B4670" s="1" t="s">
        <v>864</v>
      </c>
      <c r="C4670" s="5">
        <f>DATE(2025, 1, 28) + TIME(14, 44, 18)</f>
        <v>45685.61409722222</v>
      </c>
      <c r="D4670" s="1" t="s">
        <v>754</v>
      </c>
      <c r="E4670" s="2" t="s">
        <v>87</v>
      </c>
    </row>
    <row r="4671" spans="1:5" ht="16" x14ac:dyDescent="0.2">
      <c r="A4671" s="1" t="s">
        <v>1276</v>
      </c>
      <c r="B4671" s="1" t="s">
        <v>866</v>
      </c>
      <c r="C4671" s="5">
        <f>DATE(2025, 1, 28) + TIME(14, 44, 18)</f>
        <v>45685.61409722222</v>
      </c>
      <c r="D4671" s="1" t="s">
        <v>754</v>
      </c>
      <c r="E4671" s="2" t="s">
        <v>87</v>
      </c>
    </row>
    <row r="4672" spans="1:5" x14ac:dyDescent="0.2">
      <c r="A4672" s="1" t="s">
        <v>1276</v>
      </c>
      <c r="B4672" s="1" t="s">
        <v>334</v>
      </c>
      <c r="C4672" s="5">
        <f>DATE(2025, 1, 28) + TIME(12, 51, 40)</f>
        <v>45685.535879629628</v>
      </c>
      <c r="D4672" s="1" t="s">
        <v>640</v>
      </c>
      <c r="E4672" s="1" t="s">
        <v>761</v>
      </c>
    </row>
    <row r="4673" spans="1:5" x14ac:dyDescent="0.2">
      <c r="A4673" s="1" t="s">
        <v>1276</v>
      </c>
      <c r="B4673" s="1" t="s">
        <v>409</v>
      </c>
      <c r="C4673" s="5">
        <f>DATE(2025, 1, 28) + TIME(10, 51, 4)</f>
        <v>45685.45212962963</v>
      </c>
      <c r="D4673" s="1" t="s">
        <v>871</v>
      </c>
      <c r="E4673" s="1" t="s">
        <v>149</v>
      </c>
    </row>
    <row r="4674" spans="1:5" x14ac:dyDescent="0.2">
      <c r="A4674" s="1" t="s">
        <v>1276</v>
      </c>
      <c r="B4674" s="1" t="s">
        <v>1052</v>
      </c>
      <c r="C4674" s="5">
        <f>DATE(2025, 1, 28) + TIME(9, 49, 16)</f>
        <v>45685.409212962964</v>
      </c>
      <c r="D4674" s="1" t="s">
        <v>126</v>
      </c>
      <c r="E4674" s="1" t="s">
        <v>143</v>
      </c>
    </row>
    <row r="4675" spans="1:5" x14ac:dyDescent="0.2">
      <c r="A4675" s="1" t="s">
        <v>1276</v>
      </c>
      <c r="B4675" s="1" t="s">
        <v>272</v>
      </c>
      <c r="C4675" s="5">
        <f>DATE(2025, 1, 28) + TIME(9, 43, 50)</f>
        <v>45685.405439814815</v>
      </c>
      <c r="D4675" s="1" t="s">
        <v>869</v>
      </c>
      <c r="E4675" s="1" t="s">
        <v>842</v>
      </c>
    </row>
    <row r="4676" spans="1:5" x14ac:dyDescent="0.2">
      <c r="A4676" s="1" t="s">
        <v>1276</v>
      </c>
      <c r="B4676" s="1" t="s">
        <v>72</v>
      </c>
      <c r="C4676" s="5">
        <f>DATE(2025, 1, 27) + TIME(15, 58, 11)</f>
        <v>45684.665405092594</v>
      </c>
      <c r="D4676" s="1" t="s">
        <v>64</v>
      </c>
      <c r="E4676" s="1" t="s">
        <v>630</v>
      </c>
    </row>
    <row r="4677" spans="1:5" x14ac:dyDescent="0.2">
      <c r="A4677" s="1" t="s">
        <v>1276</v>
      </c>
      <c r="B4677" s="1" t="s">
        <v>291</v>
      </c>
      <c r="C4677" s="5">
        <f>DATE(2025, 1, 27) + TIME(15, 55, 7)</f>
        <v>45684.663275462961</v>
      </c>
      <c r="D4677" s="1" t="s">
        <v>459</v>
      </c>
      <c r="E4677" s="1" t="s">
        <v>836</v>
      </c>
    </row>
    <row r="4678" spans="1:5" x14ac:dyDescent="0.2">
      <c r="A4678" s="1" t="s">
        <v>1276</v>
      </c>
      <c r="B4678" s="1" t="s">
        <v>48</v>
      </c>
      <c r="C4678" s="5">
        <f>DATE(2025, 1, 27) + TIME(15, 41, 48)</f>
        <v>45684.654027777775</v>
      </c>
      <c r="D4678" s="1" t="s">
        <v>871</v>
      </c>
      <c r="E4678" s="1" t="s">
        <v>839</v>
      </c>
    </row>
    <row r="4679" spans="1:5" x14ac:dyDescent="0.2">
      <c r="A4679" s="1" t="s">
        <v>1276</v>
      </c>
      <c r="B4679" s="1" t="s">
        <v>322</v>
      </c>
      <c r="C4679" s="5">
        <f>DATE(2025, 1, 27) + TIME(15, 41, 48)</f>
        <v>45684.654027777775</v>
      </c>
      <c r="D4679" s="1" t="s">
        <v>871</v>
      </c>
      <c r="E4679" s="1" t="s">
        <v>839</v>
      </c>
    </row>
    <row r="4680" spans="1:5" x14ac:dyDescent="0.2">
      <c r="A4680" s="1" t="s">
        <v>1276</v>
      </c>
      <c r="B4680" s="1" t="s">
        <v>69</v>
      </c>
      <c r="C4680" s="5">
        <f>DATE(2025, 1, 27) + TIME(14, 41, 59)</f>
        <v>45684.612488425926</v>
      </c>
      <c r="D4680" s="1" t="s">
        <v>341</v>
      </c>
      <c r="E4680" s="1" t="s">
        <v>806</v>
      </c>
    </row>
    <row r="4681" spans="1:5" x14ac:dyDescent="0.2">
      <c r="A4681" s="1" t="s">
        <v>1276</v>
      </c>
      <c r="B4681" s="1" t="s">
        <v>562</v>
      </c>
      <c r="C4681" s="5">
        <f>DATE(2025, 1, 27) + TIME(14, 12, 41)</f>
        <v>45684.592141203706</v>
      </c>
      <c r="D4681" s="1" t="s">
        <v>754</v>
      </c>
      <c r="E4681" s="1" t="s">
        <v>870</v>
      </c>
    </row>
    <row r="4682" spans="1:5" x14ac:dyDescent="0.2">
      <c r="A4682" s="1" t="s">
        <v>1276</v>
      </c>
      <c r="B4682" s="1" t="s">
        <v>1048</v>
      </c>
      <c r="C4682" s="5">
        <f>DATE(2025, 1, 27) + TIME(13, 21, 1)</f>
        <v>45684.556261574071</v>
      </c>
      <c r="D4682" s="1" t="s">
        <v>1054</v>
      </c>
      <c r="E4682" s="1" t="s">
        <v>210</v>
      </c>
    </row>
    <row r="4683" spans="1:5" x14ac:dyDescent="0.2">
      <c r="A4683" s="1" t="s">
        <v>1276</v>
      </c>
      <c r="B4683" s="1" t="s">
        <v>272</v>
      </c>
      <c r="C4683" s="5">
        <f>DATE(2025, 1, 27) + TIME(13, 13, 22)</f>
        <v>45684.550949074073</v>
      </c>
      <c r="D4683" s="1" t="s">
        <v>3</v>
      </c>
      <c r="E4683" s="1" t="s">
        <v>934</v>
      </c>
    </row>
    <row r="4684" spans="1:5" x14ac:dyDescent="0.2">
      <c r="A4684" s="1" t="s">
        <v>1276</v>
      </c>
      <c r="B4684" s="1" t="s">
        <v>866</v>
      </c>
      <c r="C4684" s="5">
        <f>DATE(2025, 1, 27) + TIME(10, 24, 7)</f>
        <v>45684.43341435185</v>
      </c>
      <c r="D4684" s="1" t="s">
        <v>754</v>
      </c>
      <c r="E4684" s="1" t="s">
        <v>941</v>
      </c>
    </row>
    <row r="4685" spans="1:5" x14ac:dyDescent="0.2">
      <c r="A4685" s="1" t="s">
        <v>1276</v>
      </c>
      <c r="B4685" s="1" t="s">
        <v>407</v>
      </c>
      <c r="C4685" s="5">
        <f>DATE(2025, 1, 23) + TIME(16, 22, 29)</f>
        <v>45680.682280092595</v>
      </c>
      <c r="D4685" s="1" t="s">
        <v>566</v>
      </c>
      <c r="E4685" s="1" t="s">
        <v>324</v>
      </c>
    </row>
    <row r="4686" spans="1:5" x14ac:dyDescent="0.2">
      <c r="A4686" s="1" t="s">
        <v>1276</v>
      </c>
      <c r="B4686" s="1" t="s">
        <v>271</v>
      </c>
      <c r="C4686" s="5">
        <f>DATE(2025, 1, 23) + TIME(16, 12, 48)</f>
        <v>45680.675555555557</v>
      </c>
      <c r="D4686" s="1" t="s">
        <v>640</v>
      </c>
      <c r="E4686" s="1" t="s">
        <v>70</v>
      </c>
    </row>
    <row r="4687" spans="1:5" x14ac:dyDescent="0.2">
      <c r="A4687" s="1" t="s">
        <v>1276</v>
      </c>
      <c r="B4687" s="1" t="s">
        <v>69</v>
      </c>
      <c r="C4687" s="5">
        <f>DATE(2025, 1, 23) + TIME(15, 18, 30)</f>
        <v>45680.63784722222</v>
      </c>
      <c r="D4687" s="1" t="s">
        <v>638</v>
      </c>
      <c r="E4687" s="1" t="s">
        <v>85</v>
      </c>
    </row>
    <row r="4688" spans="1:5" x14ac:dyDescent="0.2">
      <c r="A4688" s="1" t="s">
        <v>1276</v>
      </c>
      <c r="B4688" s="1" t="s">
        <v>562</v>
      </c>
      <c r="C4688" s="5">
        <f>DATE(2025, 1, 23) + TIME(15, 15, 20)</f>
        <v>45680.635648148149</v>
      </c>
      <c r="D4688" s="1" t="s">
        <v>754</v>
      </c>
      <c r="E4688" s="1" t="s">
        <v>870</v>
      </c>
    </row>
    <row r="4689" spans="1:5" x14ac:dyDescent="0.2">
      <c r="A4689" s="1" t="s">
        <v>1276</v>
      </c>
      <c r="B4689" s="1" t="s">
        <v>919</v>
      </c>
      <c r="C4689" s="5">
        <f>DATE(2025, 1, 23) + TIME(15, 4, 2)</f>
        <v>45680.627800925926</v>
      </c>
      <c r="D4689" s="1" t="s">
        <v>754</v>
      </c>
      <c r="E4689" s="1" t="s">
        <v>282</v>
      </c>
    </row>
    <row r="4690" spans="1:5" x14ac:dyDescent="0.2">
      <c r="A4690" s="1" t="s">
        <v>1276</v>
      </c>
      <c r="B4690" s="1" t="s">
        <v>919</v>
      </c>
      <c r="C4690" s="5">
        <f>DATE(2025, 1, 23) + TIME(14, 45, 0)</f>
        <v>45680.614583333336</v>
      </c>
      <c r="D4690" s="1" t="s">
        <v>391</v>
      </c>
      <c r="E4690" s="1" t="s">
        <v>829</v>
      </c>
    </row>
    <row r="4691" spans="1:5" x14ac:dyDescent="0.2">
      <c r="A4691" s="1" t="s">
        <v>1276</v>
      </c>
      <c r="B4691" s="1" t="s">
        <v>177</v>
      </c>
      <c r="C4691" s="5">
        <f>DATE(2025, 1, 23) + TIME(14, 41, 45)</f>
        <v>45680.612326388888</v>
      </c>
      <c r="D4691" s="1" t="s">
        <v>640</v>
      </c>
      <c r="E4691" s="1" t="s">
        <v>667</v>
      </c>
    </row>
    <row r="4692" spans="1:5" x14ac:dyDescent="0.2">
      <c r="A4692" s="1" t="s">
        <v>1276</v>
      </c>
      <c r="B4692" s="1" t="s">
        <v>848</v>
      </c>
      <c r="C4692" s="5">
        <f>DATE(2025, 1, 23) + TIME(14, 40, 37)</f>
        <v>45680.611539351848</v>
      </c>
      <c r="D4692" s="1" t="s">
        <v>269</v>
      </c>
      <c r="E4692" s="1" t="s">
        <v>299</v>
      </c>
    </row>
    <row r="4693" spans="1:5" x14ac:dyDescent="0.2">
      <c r="A4693" s="1" t="s">
        <v>1276</v>
      </c>
      <c r="B4693" s="1" t="s">
        <v>407</v>
      </c>
      <c r="C4693" s="5">
        <f>DATE(2025, 1, 23) + TIME(14, 18, 23)</f>
        <v>45680.596099537041</v>
      </c>
      <c r="D4693" s="1" t="s">
        <v>269</v>
      </c>
      <c r="E4693" s="1" t="s">
        <v>299</v>
      </c>
    </row>
    <row r="4694" spans="1:5" x14ac:dyDescent="0.2">
      <c r="A4694" s="1" t="s">
        <v>1276</v>
      </c>
      <c r="B4694" s="1" t="s">
        <v>1000</v>
      </c>
      <c r="C4694" s="5">
        <f>DATE(2025, 1, 23) + TIME(13, 53, 0)</f>
        <v>45680.578472222223</v>
      </c>
      <c r="D4694" s="1" t="s">
        <v>754</v>
      </c>
      <c r="E4694" s="1" t="s">
        <v>330</v>
      </c>
    </row>
    <row r="4695" spans="1:5" x14ac:dyDescent="0.2">
      <c r="A4695" s="1" t="s">
        <v>1276</v>
      </c>
      <c r="B4695" s="1" t="s">
        <v>15</v>
      </c>
      <c r="C4695" s="5">
        <f>DATE(2025, 1, 23) + TIME(12, 10, 0)</f>
        <v>45680.506944444445</v>
      </c>
      <c r="D4695" s="1" t="s">
        <v>148</v>
      </c>
      <c r="E4695" s="1" t="s">
        <v>877</v>
      </c>
    </row>
    <row r="4696" spans="1:5" x14ac:dyDescent="0.2">
      <c r="A4696" s="1" t="s">
        <v>1276</v>
      </c>
      <c r="B4696" s="1" t="s">
        <v>7</v>
      </c>
      <c r="C4696" s="5">
        <f>DATE(2025, 1, 23) + TIME(10, 47, 29)</f>
        <v>45680.449641203704</v>
      </c>
      <c r="D4696" s="1" t="s">
        <v>65</v>
      </c>
      <c r="E4696" s="1" t="s">
        <v>152</v>
      </c>
    </row>
    <row r="4697" spans="1:5" x14ac:dyDescent="0.2">
      <c r="A4697" s="1" t="s">
        <v>1276</v>
      </c>
      <c r="B4697" s="1" t="s">
        <v>1043</v>
      </c>
      <c r="C4697" s="5">
        <f>DATE(2025, 1, 22) + TIME(16, 14, 3)</f>
        <v>45679.676423611112</v>
      </c>
      <c r="D4697" s="1" t="s">
        <v>566</v>
      </c>
      <c r="E4697" s="1" t="s">
        <v>888</v>
      </c>
    </row>
    <row r="4698" spans="1:5" x14ac:dyDescent="0.2">
      <c r="A4698" s="1" t="s">
        <v>1276</v>
      </c>
      <c r="B4698" s="1" t="s">
        <v>322</v>
      </c>
      <c r="C4698" s="5">
        <f>DATE(2025, 1, 22) + TIME(16, 14, 3)</f>
        <v>45679.676423611112</v>
      </c>
      <c r="D4698" s="1" t="s">
        <v>566</v>
      </c>
      <c r="E4698" s="1" t="s">
        <v>888</v>
      </c>
    </row>
    <row r="4699" spans="1:5" x14ac:dyDescent="0.2">
      <c r="A4699" s="1" t="s">
        <v>1276</v>
      </c>
      <c r="B4699" s="1" t="s">
        <v>562</v>
      </c>
      <c r="C4699" s="5">
        <f>DATE(2025, 1, 22) + TIME(16, 14, 3)</f>
        <v>45679.676423611112</v>
      </c>
      <c r="D4699" s="1" t="s">
        <v>566</v>
      </c>
      <c r="E4699" s="1" t="s">
        <v>888</v>
      </c>
    </row>
    <row r="4700" spans="1:5" x14ac:dyDescent="0.2">
      <c r="A4700" s="1" t="s">
        <v>1276</v>
      </c>
      <c r="B4700" s="1" t="s">
        <v>409</v>
      </c>
      <c r="C4700" s="5">
        <f>DATE(2025, 1, 22) + TIME(14, 27, 56)</f>
        <v>45679.602731481478</v>
      </c>
      <c r="D4700" s="1" t="s">
        <v>64</v>
      </c>
      <c r="E4700" s="1" t="s">
        <v>403</v>
      </c>
    </row>
    <row r="4701" spans="1:5" x14ac:dyDescent="0.2">
      <c r="A4701" s="1" t="s">
        <v>1276</v>
      </c>
      <c r="B4701" s="1" t="s">
        <v>409</v>
      </c>
      <c r="C4701" s="5">
        <f>DATE(2025, 1, 22) + TIME(14, 27, 14)</f>
        <v>45679.60224537037</v>
      </c>
      <c r="D4701" s="1" t="s">
        <v>506</v>
      </c>
      <c r="E4701" s="1" t="s">
        <v>6</v>
      </c>
    </row>
    <row r="4702" spans="1:5" x14ac:dyDescent="0.2">
      <c r="A4702" s="1" t="s">
        <v>1276</v>
      </c>
      <c r="B4702" s="1" t="s">
        <v>904</v>
      </c>
      <c r="C4702" s="5">
        <f>DATE(2025, 1, 22) + TIME(14, 10, 20)</f>
        <v>45679.590509259258</v>
      </c>
      <c r="D4702" s="1" t="s">
        <v>320</v>
      </c>
      <c r="E4702" s="1" t="s">
        <v>2</v>
      </c>
    </row>
    <row r="4703" spans="1:5" x14ac:dyDescent="0.2">
      <c r="A4703" s="1" t="s">
        <v>1276</v>
      </c>
      <c r="B4703" s="1" t="s">
        <v>817</v>
      </c>
      <c r="C4703" s="5">
        <f>DATE(2025, 1, 22) + TIME(13, 47, 13)</f>
        <v>45679.574456018519</v>
      </c>
      <c r="D4703" s="1" t="s">
        <v>467</v>
      </c>
      <c r="E4703" s="1" t="s">
        <v>1055</v>
      </c>
    </row>
    <row r="4704" spans="1:5" x14ac:dyDescent="0.2">
      <c r="A4704" s="1" t="s">
        <v>1276</v>
      </c>
      <c r="B4704" s="1" t="s">
        <v>60</v>
      </c>
      <c r="C4704" s="5">
        <f>DATE(2025, 1, 22) + TIME(13, 13, 44)</f>
        <v>45679.551203703704</v>
      </c>
      <c r="D4704" s="1" t="s">
        <v>640</v>
      </c>
      <c r="E4704" s="1" t="s">
        <v>426</v>
      </c>
    </row>
    <row r="4705" spans="1:5" x14ac:dyDescent="0.2">
      <c r="A4705" s="1" t="s">
        <v>1276</v>
      </c>
      <c r="B4705" s="1" t="s">
        <v>774</v>
      </c>
      <c r="C4705" s="5">
        <f>DATE(2025, 1, 22) + TIME(11, 54, 7)</f>
        <v>45679.49591435185</v>
      </c>
      <c r="D4705" s="1" t="s">
        <v>216</v>
      </c>
      <c r="E4705" s="1" t="s">
        <v>321</v>
      </c>
    </row>
    <row r="4706" spans="1:5" ht="16" x14ac:dyDescent="0.2">
      <c r="A4706" s="1" t="s">
        <v>1276</v>
      </c>
      <c r="B4706" s="1" t="s">
        <v>866</v>
      </c>
      <c r="C4706" s="5">
        <f>DATE(2025, 1, 21) + TIME(15, 54, 19)</f>
        <v>45678.662719907406</v>
      </c>
      <c r="D4706" s="1" t="s">
        <v>754</v>
      </c>
      <c r="E4706" s="2" t="s">
        <v>87</v>
      </c>
    </row>
    <row r="4707" spans="1:5" x14ac:dyDescent="0.2">
      <c r="A4707" s="1" t="s">
        <v>1276</v>
      </c>
      <c r="B4707" s="1" t="s">
        <v>29</v>
      </c>
      <c r="C4707" s="5">
        <f>DATE(2025, 1, 21) + TIME(14, 6, 31)</f>
        <v>45678.587858796294</v>
      </c>
      <c r="D4707" s="1" t="s">
        <v>3</v>
      </c>
      <c r="E4707" s="1" t="s">
        <v>571</v>
      </c>
    </row>
    <row r="4708" spans="1:5" x14ac:dyDescent="0.2">
      <c r="A4708" s="1" t="s">
        <v>1276</v>
      </c>
      <c r="B4708" s="1" t="s">
        <v>1035</v>
      </c>
      <c r="C4708" s="5">
        <f>DATE(2025, 1, 21) + TIME(11, 59, 46)</f>
        <v>45678.499837962961</v>
      </c>
      <c r="D4708" s="1" t="s">
        <v>3</v>
      </c>
      <c r="E4708" s="1" t="s">
        <v>571</v>
      </c>
    </row>
    <row r="4709" spans="1:5" x14ac:dyDescent="0.2">
      <c r="A4709" s="1" t="s">
        <v>1276</v>
      </c>
      <c r="B4709" s="1" t="s">
        <v>63</v>
      </c>
      <c r="C4709" s="5">
        <f>DATE(2025, 1, 21) + TIME(10, 54, 4)</f>
        <v>45678.454212962963</v>
      </c>
      <c r="D4709" s="1" t="s">
        <v>320</v>
      </c>
      <c r="E4709" s="1" t="s">
        <v>239</v>
      </c>
    </row>
    <row r="4710" spans="1:5" x14ac:dyDescent="0.2">
      <c r="A4710" s="1" t="s">
        <v>1276</v>
      </c>
      <c r="B4710" s="1" t="s">
        <v>344</v>
      </c>
      <c r="C4710" s="5">
        <f>DATE(2025, 1, 21) + TIME(10, 33, 24)</f>
        <v>45678.43986111111</v>
      </c>
      <c r="D4710" s="1" t="s">
        <v>126</v>
      </c>
      <c r="E4710" s="1" t="s">
        <v>143</v>
      </c>
    </row>
    <row r="4711" spans="1:5" x14ac:dyDescent="0.2">
      <c r="A4711" s="1" t="s">
        <v>1276</v>
      </c>
      <c r="B4711" s="1" t="s">
        <v>139</v>
      </c>
      <c r="C4711" s="5">
        <f>DATE(2025, 1, 21) + TIME(9, 20, 53)</f>
        <v>45678.389502314814</v>
      </c>
      <c r="D4711" s="1" t="s">
        <v>396</v>
      </c>
      <c r="E4711" s="1" t="s">
        <v>276</v>
      </c>
    </row>
    <row r="4712" spans="1:5" x14ac:dyDescent="0.2">
      <c r="A4712" s="1" t="s">
        <v>1276</v>
      </c>
      <c r="B4712" s="1" t="s">
        <v>782</v>
      </c>
      <c r="C4712" s="5">
        <f>DATE(2025, 1, 21) + TIME(8, 30, 39)</f>
        <v>45678.354618055557</v>
      </c>
      <c r="D4712" s="1" t="s">
        <v>65</v>
      </c>
      <c r="E4712" s="1" t="s">
        <v>152</v>
      </c>
    </row>
    <row r="4713" spans="1:5" x14ac:dyDescent="0.2">
      <c r="A4713" s="1" t="s">
        <v>1276</v>
      </c>
      <c r="B4713" s="1" t="s">
        <v>57</v>
      </c>
      <c r="C4713" s="5">
        <f>DATE(2025, 1, 21) + TIME(8, 30, 39)</f>
        <v>45678.354618055557</v>
      </c>
      <c r="D4713" s="1" t="s">
        <v>65</v>
      </c>
      <c r="E4713" s="1" t="s">
        <v>152</v>
      </c>
    </row>
    <row r="4714" spans="1:5" x14ac:dyDescent="0.2">
      <c r="A4714" s="1" t="s">
        <v>1276</v>
      </c>
      <c r="B4714" s="1" t="s">
        <v>60</v>
      </c>
      <c r="C4714" s="5">
        <f>DATE(2025, 1, 16) + TIME(15, 28, 22)</f>
        <v>45673.644699074073</v>
      </c>
      <c r="D4714" s="1" t="s">
        <v>731</v>
      </c>
      <c r="E4714" s="1" t="s">
        <v>836</v>
      </c>
    </row>
    <row r="4715" spans="1:5" x14ac:dyDescent="0.2">
      <c r="A4715" s="1" t="s">
        <v>1276</v>
      </c>
      <c r="B4715" s="1" t="s">
        <v>238</v>
      </c>
      <c r="C4715" s="5">
        <f>DATE(2025, 1, 16) + TIME(15, 10, 41)</f>
        <v>45673.632418981484</v>
      </c>
      <c r="D4715" s="1" t="s">
        <v>269</v>
      </c>
      <c r="E4715" s="1" t="s">
        <v>299</v>
      </c>
    </row>
    <row r="4716" spans="1:5" x14ac:dyDescent="0.2">
      <c r="A4716" s="1" t="s">
        <v>1276</v>
      </c>
      <c r="B4716" s="1" t="s">
        <v>1059</v>
      </c>
      <c r="C4716" s="5">
        <f>DATE(2025, 1, 16) + TIME(14, 51, 3)</f>
        <v>45673.618784722225</v>
      </c>
      <c r="D4716" s="1" t="s">
        <v>506</v>
      </c>
      <c r="E4716" s="1" t="s">
        <v>867</v>
      </c>
    </row>
    <row r="4717" spans="1:5" x14ac:dyDescent="0.2">
      <c r="A4717" s="1" t="s">
        <v>1276</v>
      </c>
      <c r="B4717" s="1" t="s">
        <v>939</v>
      </c>
      <c r="C4717" s="5">
        <f>DATE(2025, 1, 16) + TIME(14, 51, 3)</f>
        <v>45673.618784722225</v>
      </c>
      <c r="D4717" s="1" t="s">
        <v>506</v>
      </c>
      <c r="E4717" s="1" t="s">
        <v>867</v>
      </c>
    </row>
    <row r="4718" spans="1:5" x14ac:dyDescent="0.2">
      <c r="A4718" s="1" t="s">
        <v>1276</v>
      </c>
      <c r="B4718" s="1" t="s">
        <v>409</v>
      </c>
      <c r="C4718" s="5">
        <f>DATE(2025, 1, 16) + TIME(14, 49, 2)</f>
        <v>45673.617384259262</v>
      </c>
      <c r="D4718" s="1" t="s">
        <v>640</v>
      </c>
      <c r="E4718" s="1" t="s">
        <v>70</v>
      </c>
    </row>
    <row r="4719" spans="1:5" x14ac:dyDescent="0.2">
      <c r="A4719" s="1" t="s">
        <v>1276</v>
      </c>
      <c r="B4719" s="1" t="s">
        <v>162</v>
      </c>
      <c r="C4719" s="5">
        <f>DATE(2025, 1, 16) + TIME(14, 22, 52)</f>
        <v>45673.599212962959</v>
      </c>
      <c r="D4719" s="1" t="s">
        <v>566</v>
      </c>
      <c r="E4719" s="1" t="s">
        <v>324</v>
      </c>
    </row>
    <row r="4720" spans="1:5" x14ac:dyDescent="0.2">
      <c r="A4720" s="1" t="s">
        <v>1276</v>
      </c>
      <c r="B4720" s="1" t="s">
        <v>1060</v>
      </c>
      <c r="C4720" s="5">
        <f>DATE(2025, 1, 16) + TIME(14, 22, 52)</f>
        <v>45673.599212962959</v>
      </c>
      <c r="D4720" s="1" t="s">
        <v>566</v>
      </c>
      <c r="E4720" s="1" t="s">
        <v>324</v>
      </c>
    </row>
    <row r="4721" spans="1:5" x14ac:dyDescent="0.2">
      <c r="A4721" s="1" t="s">
        <v>1276</v>
      </c>
      <c r="B4721" s="1" t="s">
        <v>409</v>
      </c>
      <c r="C4721" s="5">
        <f>DATE(2025, 1, 16) + TIME(14, 22, 52)</f>
        <v>45673.599212962959</v>
      </c>
      <c r="D4721" s="1" t="s">
        <v>566</v>
      </c>
      <c r="E4721" s="1" t="s">
        <v>324</v>
      </c>
    </row>
    <row r="4722" spans="1:5" x14ac:dyDescent="0.2">
      <c r="A4722" s="1" t="s">
        <v>1276</v>
      </c>
      <c r="B4722" s="1" t="s">
        <v>759</v>
      </c>
      <c r="C4722" s="5">
        <f>DATE(2025, 1, 16) + TIME(13, 31, 24)</f>
        <v>45673.563472222224</v>
      </c>
      <c r="D4722" s="1" t="s">
        <v>566</v>
      </c>
      <c r="E4722" s="1" t="s">
        <v>888</v>
      </c>
    </row>
    <row r="4723" spans="1:5" x14ac:dyDescent="0.2">
      <c r="A4723" s="1" t="s">
        <v>1276</v>
      </c>
      <c r="B4723" s="1" t="s">
        <v>837</v>
      </c>
      <c r="C4723" s="5">
        <f>DATE(2025, 1, 16) + TIME(13, 31, 24)</f>
        <v>45673.563472222224</v>
      </c>
      <c r="D4723" s="1" t="s">
        <v>566</v>
      </c>
      <c r="E4723" s="1" t="s">
        <v>888</v>
      </c>
    </row>
    <row r="4724" spans="1:5" x14ac:dyDescent="0.2">
      <c r="A4724" s="1" t="s">
        <v>1276</v>
      </c>
      <c r="B4724" s="1" t="s">
        <v>285</v>
      </c>
      <c r="C4724" s="5">
        <f>DATE(2025, 1, 16) + TIME(13, 31, 24)</f>
        <v>45673.563472222224</v>
      </c>
      <c r="D4724" s="1" t="s">
        <v>566</v>
      </c>
      <c r="E4724" s="1" t="s">
        <v>888</v>
      </c>
    </row>
    <row r="4725" spans="1:5" x14ac:dyDescent="0.2">
      <c r="A4725" s="1" t="s">
        <v>1276</v>
      </c>
      <c r="B4725" s="1" t="s">
        <v>1061</v>
      </c>
      <c r="C4725" s="5">
        <f>DATE(2025, 1, 16) + TIME(13, 29, 39)</f>
        <v>45673.562256944446</v>
      </c>
      <c r="D4725" s="1" t="s">
        <v>566</v>
      </c>
      <c r="E4725" s="1" t="s">
        <v>922</v>
      </c>
    </row>
    <row r="4726" spans="1:5" x14ac:dyDescent="0.2">
      <c r="A4726" s="1" t="s">
        <v>1276</v>
      </c>
      <c r="B4726" s="1" t="s">
        <v>24</v>
      </c>
      <c r="C4726" s="5">
        <f>DATE(2025, 1, 16) + TIME(11, 54, 42)</f>
        <v>45673.496319444443</v>
      </c>
      <c r="D4726" s="1" t="s">
        <v>640</v>
      </c>
      <c r="E4726" s="1" t="s">
        <v>283</v>
      </c>
    </row>
    <row r="4727" spans="1:5" x14ac:dyDescent="0.2">
      <c r="A4727" s="1" t="s">
        <v>1276</v>
      </c>
      <c r="B4727" s="1" t="s">
        <v>72</v>
      </c>
      <c r="C4727" s="5">
        <f>DATE(2025, 1, 16) + TIME(11, 53, 27)</f>
        <v>45673.495451388888</v>
      </c>
      <c r="D4727" s="1" t="s">
        <v>754</v>
      </c>
      <c r="E4727" s="1" t="s">
        <v>330</v>
      </c>
    </row>
    <row r="4728" spans="1:5" x14ac:dyDescent="0.2">
      <c r="A4728" s="1" t="s">
        <v>1276</v>
      </c>
      <c r="B4728" s="1" t="s">
        <v>14</v>
      </c>
      <c r="C4728" s="5">
        <f>DATE(2025, 1, 16) + TIME(11, 53, 27)</f>
        <v>45673.495451388888</v>
      </c>
      <c r="D4728" s="1" t="s">
        <v>754</v>
      </c>
      <c r="E4728" s="1" t="s">
        <v>330</v>
      </c>
    </row>
    <row r="4729" spans="1:5" x14ac:dyDescent="0.2">
      <c r="A4729" s="1" t="s">
        <v>1276</v>
      </c>
      <c r="B4729" s="1" t="s">
        <v>982</v>
      </c>
      <c r="C4729" s="5">
        <f>DATE(2025, 1, 16) + TIME(11, 53, 27)</f>
        <v>45673.495451388888</v>
      </c>
      <c r="D4729" s="1" t="s">
        <v>754</v>
      </c>
      <c r="E4729" s="1" t="s">
        <v>330</v>
      </c>
    </row>
    <row r="4730" spans="1:5" x14ac:dyDescent="0.2">
      <c r="A4730" s="1" t="s">
        <v>1276</v>
      </c>
      <c r="B4730" s="1" t="s">
        <v>663</v>
      </c>
      <c r="C4730" s="5">
        <f>DATE(2025, 1, 16) + TIME(11, 11, 21)</f>
        <v>45673.466215277775</v>
      </c>
      <c r="D4730" s="1" t="s">
        <v>754</v>
      </c>
      <c r="E4730" s="1" t="s">
        <v>135</v>
      </c>
    </row>
    <row r="4731" spans="1:5" x14ac:dyDescent="0.2">
      <c r="A4731" s="1" t="s">
        <v>1276</v>
      </c>
      <c r="B4731" s="1" t="s">
        <v>63</v>
      </c>
      <c r="C4731" s="5">
        <f>DATE(2025, 1, 15) + TIME(15, 8, 28)</f>
        <v>45672.630879629629</v>
      </c>
      <c r="D4731" s="1" t="s">
        <v>506</v>
      </c>
      <c r="E4731" s="1" t="s">
        <v>158</v>
      </c>
    </row>
    <row r="4732" spans="1:5" x14ac:dyDescent="0.2">
      <c r="A4732" s="1" t="s">
        <v>1276</v>
      </c>
      <c r="B4732" s="1" t="s">
        <v>682</v>
      </c>
      <c r="C4732" s="5">
        <f>DATE(2025, 1, 15) + TIME(15, 8, 28)</f>
        <v>45672.630879629629</v>
      </c>
      <c r="D4732" s="1" t="s">
        <v>506</v>
      </c>
      <c r="E4732" s="1" t="s">
        <v>158</v>
      </c>
    </row>
    <row r="4733" spans="1:5" x14ac:dyDescent="0.2">
      <c r="A4733" s="1" t="s">
        <v>1276</v>
      </c>
      <c r="B4733" s="1" t="s">
        <v>468</v>
      </c>
      <c r="C4733" s="5">
        <f>DATE(2025, 1, 15) + TIME(14, 54, 29)</f>
        <v>45672.621168981481</v>
      </c>
      <c r="D4733" s="1" t="s">
        <v>64</v>
      </c>
      <c r="E4733" s="1" t="s">
        <v>233</v>
      </c>
    </row>
    <row r="4734" spans="1:5" x14ac:dyDescent="0.2">
      <c r="A4734" s="1" t="s">
        <v>1276</v>
      </c>
      <c r="B4734" s="1" t="s">
        <v>72</v>
      </c>
      <c r="C4734" s="5">
        <f>DATE(2025, 1, 15) + TIME(13, 25, 41)</f>
        <v>45672.559502314813</v>
      </c>
      <c r="D4734" s="1" t="s">
        <v>64</v>
      </c>
      <c r="E4734" s="1" t="s">
        <v>873</v>
      </c>
    </row>
    <row r="4735" spans="1:5" x14ac:dyDescent="0.2">
      <c r="A4735" s="1" t="s">
        <v>1276</v>
      </c>
      <c r="B4735" s="1" t="s">
        <v>1021</v>
      </c>
      <c r="C4735" s="5">
        <f>DATE(2025, 1, 15) + TIME(12, 54, 44)</f>
        <v>45672.53800925926</v>
      </c>
      <c r="D4735" s="1" t="s">
        <v>566</v>
      </c>
      <c r="E4735" s="1" t="s">
        <v>893</v>
      </c>
    </row>
    <row r="4736" spans="1:5" x14ac:dyDescent="0.2">
      <c r="A4736" s="1" t="s">
        <v>1276</v>
      </c>
      <c r="B4736" s="1" t="s">
        <v>291</v>
      </c>
      <c r="C4736" s="5">
        <f>DATE(2025, 1, 15) + TIME(12, 21, 1)</f>
        <v>45672.514594907407</v>
      </c>
      <c r="D4736" s="1" t="s">
        <v>216</v>
      </c>
      <c r="E4736" s="1" t="s">
        <v>321</v>
      </c>
    </row>
    <row r="4737" spans="1:5" x14ac:dyDescent="0.2">
      <c r="A4737" s="1" t="s">
        <v>1276</v>
      </c>
      <c r="B4737" s="1" t="s">
        <v>285</v>
      </c>
      <c r="C4737" s="5">
        <f>DATE(2025, 1, 15) + TIME(12, 21, 1)</f>
        <v>45672.514594907407</v>
      </c>
      <c r="D4737" s="1" t="s">
        <v>216</v>
      </c>
      <c r="E4737" s="1" t="s">
        <v>321</v>
      </c>
    </row>
    <row r="4738" spans="1:5" x14ac:dyDescent="0.2">
      <c r="A4738" s="1" t="s">
        <v>1276</v>
      </c>
      <c r="B4738" s="1" t="s">
        <v>60</v>
      </c>
      <c r="C4738" s="5">
        <f>DATE(2025, 1, 15) + TIME(11, 6, 42)</f>
        <v>45672.46298611111</v>
      </c>
      <c r="D4738" s="1" t="s">
        <v>341</v>
      </c>
      <c r="E4738" s="1" t="s">
        <v>1063</v>
      </c>
    </row>
    <row r="4739" spans="1:5" x14ac:dyDescent="0.2">
      <c r="A4739" s="1" t="s">
        <v>1276</v>
      </c>
      <c r="B4739" s="1" t="s">
        <v>508</v>
      </c>
      <c r="C4739" s="5">
        <f>DATE(2025, 1, 15) + TIME(4, 13, 41)</f>
        <v>45672.176168981481</v>
      </c>
      <c r="D4739" s="1" t="s">
        <v>3</v>
      </c>
      <c r="E4739" s="1" t="s">
        <v>25</v>
      </c>
    </row>
    <row r="4740" spans="1:5" x14ac:dyDescent="0.2">
      <c r="A4740" s="1" t="s">
        <v>1276</v>
      </c>
      <c r="B4740" s="1" t="s">
        <v>1043</v>
      </c>
      <c r="C4740" s="5">
        <f>DATE(2025, 1, 14) + TIME(12, 36, 10)</f>
        <v>45671.52511574074</v>
      </c>
      <c r="D4740" s="1" t="s">
        <v>640</v>
      </c>
      <c r="E4740" s="1" t="s">
        <v>761</v>
      </c>
    </row>
    <row r="4741" spans="1:5" x14ac:dyDescent="0.2">
      <c r="A4741" s="1" t="s">
        <v>1276</v>
      </c>
      <c r="B4741" s="1" t="s">
        <v>9</v>
      </c>
      <c r="C4741" s="5">
        <f>DATE(2025, 1, 14) + TIME(12, 31, 15)</f>
        <v>45671.521701388891</v>
      </c>
      <c r="D4741" s="1" t="s">
        <v>869</v>
      </c>
      <c r="E4741" s="1" t="s">
        <v>327</v>
      </c>
    </row>
    <row r="4742" spans="1:5" ht="16" x14ac:dyDescent="0.2">
      <c r="A4742" s="1" t="s">
        <v>1276</v>
      </c>
      <c r="B4742" s="1" t="s">
        <v>291</v>
      </c>
      <c r="C4742" s="5">
        <f>DATE(2025, 1, 14) + TIME(10, 9, 12)</f>
        <v>45671.423055555555</v>
      </c>
      <c r="D4742" s="1" t="s">
        <v>754</v>
      </c>
      <c r="E4742" s="2" t="s">
        <v>87</v>
      </c>
    </row>
    <row r="4743" spans="1:5" ht="16" x14ac:dyDescent="0.2">
      <c r="A4743" s="1" t="s">
        <v>1276</v>
      </c>
      <c r="B4743" s="1" t="s">
        <v>508</v>
      </c>
      <c r="C4743" s="5">
        <f>DATE(2025, 1, 14) + TIME(10, 9, 12)</f>
        <v>45671.423055555555</v>
      </c>
      <c r="D4743" s="1" t="s">
        <v>754</v>
      </c>
      <c r="E4743" s="2" t="s">
        <v>87</v>
      </c>
    </row>
    <row r="4744" spans="1:5" x14ac:dyDescent="0.2">
      <c r="A4744" s="1" t="s">
        <v>1276</v>
      </c>
      <c r="B4744" s="1" t="s">
        <v>1067</v>
      </c>
      <c r="C4744" s="5">
        <f>DATE(2025, 1, 14) + TIME(9, 2, 15)</f>
        <v>45671.376562500001</v>
      </c>
      <c r="D4744" s="1" t="s">
        <v>126</v>
      </c>
      <c r="E4744" s="1" t="s">
        <v>143</v>
      </c>
    </row>
    <row r="4745" spans="1:5" x14ac:dyDescent="0.2">
      <c r="A4745" s="1" t="s">
        <v>1276</v>
      </c>
      <c r="B4745" s="1" t="s">
        <v>346</v>
      </c>
      <c r="C4745" s="5">
        <f>DATE(2025, 1, 14) + TIME(9, 2, 15)</f>
        <v>45671.376562500001</v>
      </c>
      <c r="D4745" s="1" t="s">
        <v>126</v>
      </c>
      <c r="E4745" s="1" t="s">
        <v>143</v>
      </c>
    </row>
    <row r="4746" spans="1:5" x14ac:dyDescent="0.2">
      <c r="A4746" s="1" t="s">
        <v>1276</v>
      </c>
      <c r="B4746" s="1" t="s">
        <v>57</v>
      </c>
      <c r="C4746" s="5">
        <f>DATE(2025, 1, 14) + TIME(9, 2, 15)</f>
        <v>45671.376562500001</v>
      </c>
      <c r="D4746" s="1" t="s">
        <v>126</v>
      </c>
      <c r="E4746" s="1" t="s">
        <v>143</v>
      </c>
    </row>
    <row r="4747" spans="1:5" x14ac:dyDescent="0.2">
      <c r="A4747" s="1" t="s">
        <v>1276</v>
      </c>
      <c r="B4747" s="1" t="s">
        <v>746</v>
      </c>
      <c r="C4747" s="5">
        <f>DATE(2025, 1, 14) + TIME(9, 2, 14)</f>
        <v>45671.376550925925</v>
      </c>
      <c r="D4747" s="1" t="s">
        <v>126</v>
      </c>
      <c r="E4747" s="1" t="s">
        <v>143</v>
      </c>
    </row>
    <row r="4748" spans="1:5" x14ac:dyDescent="0.2">
      <c r="A4748" s="1" t="s">
        <v>1276</v>
      </c>
      <c r="B4748" s="1" t="s">
        <v>139</v>
      </c>
      <c r="C4748" s="5">
        <f>DATE(2025, 1, 14) + TIME(8, 10, 33)</f>
        <v>45671.34065972222</v>
      </c>
      <c r="D4748" s="1" t="s">
        <v>396</v>
      </c>
      <c r="E4748" s="1" t="s">
        <v>76</v>
      </c>
    </row>
    <row r="4749" spans="1:5" x14ac:dyDescent="0.2">
      <c r="A4749" s="1" t="s">
        <v>1276</v>
      </c>
      <c r="B4749" s="1" t="s">
        <v>505</v>
      </c>
      <c r="C4749" s="5">
        <f>DATE(2025, 1, 13) + TIME(15, 10, 7)</f>
        <v>45670.632025462961</v>
      </c>
      <c r="D4749" s="1" t="s">
        <v>269</v>
      </c>
      <c r="E4749" s="1" t="s">
        <v>299</v>
      </c>
    </row>
    <row r="4750" spans="1:5" x14ac:dyDescent="0.2">
      <c r="A4750" s="1" t="s">
        <v>1276</v>
      </c>
      <c r="B4750" s="1" t="s">
        <v>505</v>
      </c>
      <c r="C4750" s="5">
        <f>DATE(2025, 1, 13) + TIME(14, 57, 49)</f>
        <v>45670.623483796298</v>
      </c>
      <c r="D4750" s="1" t="s">
        <v>269</v>
      </c>
      <c r="E4750" s="1" t="s">
        <v>299</v>
      </c>
    </row>
    <row r="4751" spans="1:5" x14ac:dyDescent="0.2">
      <c r="A4751" s="1" t="s">
        <v>1276</v>
      </c>
      <c r="B4751" s="1" t="s">
        <v>291</v>
      </c>
      <c r="C4751" s="5">
        <f>DATE(2025, 1, 13) + TIME(12, 44, 43)</f>
        <v>45670.531053240738</v>
      </c>
      <c r="D4751" s="1" t="s">
        <v>320</v>
      </c>
      <c r="E4751" s="1" t="s">
        <v>406</v>
      </c>
    </row>
    <row r="4752" spans="1:5" x14ac:dyDescent="0.2">
      <c r="A4752" s="1" t="s">
        <v>1276</v>
      </c>
      <c r="B4752" s="1" t="s">
        <v>1068</v>
      </c>
      <c r="C4752" s="5">
        <f>DATE(2025, 1, 13) + TIME(12, 44, 43)</f>
        <v>45670.531053240738</v>
      </c>
      <c r="D4752" s="1" t="s">
        <v>320</v>
      </c>
      <c r="E4752" s="1" t="s">
        <v>406</v>
      </c>
    </row>
    <row r="4753" spans="1:5" x14ac:dyDescent="0.2">
      <c r="A4753" s="1" t="s">
        <v>1276</v>
      </c>
      <c r="B4753" s="1" t="s">
        <v>1021</v>
      </c>
      <c r="C4753" s="5">
        <f>DATE(2025, 1, 9) + TIME(16, 25, 51)</f>
        <v>45666.684618055559</v>
      </c>
      <c r="D4753" s="1" t="s">
        <v>566</v>
      </c>
      <c r="E4753" s="1" t="s">
        <v>324</v>
      </c>
    </row>
    <row r="4754" spans="1:5" x14ac:dyDescent="0.2">
      <c r="A4754" s="1" t="s">
        <v>1276</v>
      </c>
      <c r="B4754" s="1" t="s">
        <v>1069</v>
      </c>
      <c r="C4754" s="5">
        <f>DATE(2025, 1, 9) + TIME(16, 25, 51)</f>
        <v>45666.684618055559</v>
      </c>
      <c r="D4754" s="1" t="s">
        <v>566</v>
      </c>
      <c r="E4754" s="1" t="s">
        <v>324</v>
      </c>
    </row>
    <row r="4755" spans="1:5" x14ac:dyDescent="0.2">
      <c r="A4755" s="1" t="s">
        <v>1276</v>
      </c>
      <c r="B4755" s="1" t="s">
        <v>343</v>
      </c>
      <c r="C4755" s="5">
        <f>DATE(2025, 1, 9) + TIME(16, 25, 51)</f>
        <v>45666.684618055559</v>
      </c>
      <c r="D4755" s="1" t="s">
        <v>566</v>
      </c>
      <c r="E4755" s="1" t="s">
        <v>324</v>
      </c>
    </row>
    <row r="4756" spans="1:5" x14ac:dyDescent="0.2">
      <c r="A4756" s="1" t="s">
        <v>1276</v>
      </c>
      <c r="B4756" s="1" t="s">
        <v>9</v>
      </c>
      <c r="C4756" s="5">
        <f>DATE(2025, 1, 9) + TIME(16, 14, 2)</f>
        <v>45666.676412037035</v>
      </c>
      <c r="D4756" s="1" t="s">
        <v>269</v>
      </c>
      <c r="E4756" s="1" t="s">
        <v>299</v>
      </c>
    </row>
    <row r="4757" spans="1:5" x14ac:dyDescent="0.2">
      <c r="A4757" s="1" t="s">
        <v>1276</v>
      </c>
      <c r="B4757" s="1" t="s">
        <v>817</v>
      </c>
      <c r="C4757" s="5">
        <f>DATE(2025, 1, 9) + TIME(15, 7, 48)</f>
        <v>45666.630416666667</v>
      </c>
      <c r="D4757" s="1" t="s">
        <v>396</v>
      </c>
      <c r="E4757" s="1" t="s">
        <v>652</v>
      </c>
    </row>
    <row r="4758" spans="1:5" x14ac:dyDescent="0.2">
      <c r="A4758" s="1" t="s">
        <v>1276</v>
      </c>
      <c r="B4758" s="1" t="s">
        <v>1021</v>
      </c>
      <c r="C4758" s="5">
        <f>DATE(2025, 1, 9) + TIME(14, 17, 14)</f>
        <v>45666.595300925925</v>
      </c>
      <c r="D4758" s="1" t="s">
        <v>1054</v>
      </c>
      <c r="E4758" s="1" t="s">
        <v>878</v>
      </c>
    </row>
    <row r="4759" spans="1:5" x14ac:dyDescent="0.2">
      <c r="A4759" s="1" t="s">
        <v>1276</v>
      </c>
      <c r="B4759" s="1" t="s">
        <v>69</v>
      </c>
      <c r="C4759" s="5">
        <f>DATE(2025, 1, 9) + TIME(12, 11, 5)</f>
        <v>45666.507696759261</v>
      </c>
      <c r="D4759" s="1" t="s">
        <v>640</v>
      </c>
      <c r="E4759" s="1" t="s">
        <v>500</v>
      </c>
    </row>
    <row r="4760" spans="1:5" x14ac:dyDescent="0.2">
      <c r="A4760" s="1" t="s">
        <v>1276</v>
      </c>
      <c r="B4760" s="1" t="s">
        <v>322</v>
      </c>
      <c r="C4760" s="5">
        <f>DATE(2025, 1, 9) + TIME(11, 49, 16)</f>
        <v>45666.492546296293</v>
      </c>
      <c r="D4760" s="1" t="s">
        <v>640</v>
      </c>
      <c r="E4760" s="1" t="s">
        <v>520</v>
      </c>
    </row>
    <row r="4761" spans="1:5" x14ac:dyDescent="0.2">
      <c r="A4761" s="1" t="s">
        <v>1276</v>
      </c>
      <c r="B4761" s="1" t="s">
        <v>60</v>
      </c>
      <c r="C4761" s="5">
        <f>DATE(2025, 1, 8) + TIME(15, 6, 51)</f>
        <v>45665.629756944443</v>
      </c>
      <c r="D4761" s="1" t="s">
        <v>566</v>
      </c>
      <c r="E4761" s="1" t="s">
        <v>888</v>
      </c>
    </row>
    <row r="4762" spans="1:5" x14ac:dyDescent="0.2">
      <c r="A4762" s="1" t="s">
        <v>1276</v>
      </c>
      <c r="B4762" s="1" t="s">
        <v>817</v>
      </c>
      <c r="C4762" s="5">
        <f>DATE(2025, 1, 8) + TIME(14, 32, 10)</f>
        <v>45665.605671296296</v>
      </c>
      <c r="D4762" s="1" t="s">
        <v>638</v>
      </c>
      <c r="E4762" s="1" t="s">
        <v>198</v>
      </c>
    </row>
    <row r="4763" spans="1:5" x14ac:dyDescent="0.2">
      <c r="A4763" s="1" t="s">
        <v>1276</v>
      </c>
      <c r="B4763" s="1" t="s">
        <v>60</v>
      </c>
      <c r="C4763" s="5">
        <f>DATE(2025, 1, 8) + TIME(13, 20, 53)</f>
        <v>45665.556168981479</v>
      </c>
      <c r="D4763" s="1" t="s">
        <v>126</v>
      </c>
      <c r="E4763" s="1" t="s">
        <v>676</v>
      </c>
    </row>
    <row r="4764" spans="1:5" x14ac:dyDescent="0.2">
      <c r="A4764" s="1" t="s">
        <v>1276</v>
      </c>
      <c r="B4764" s="1" t="s">
        <v>648</v>
      </c>
      <c r="C4764" s="5">
        <f>DATE(2025, 1, 8) + TIME(12, 47, 28)</f>
        <v>45665.532962962963</v>
      </c>
      <c r="D4764" s="1" t="s">
        <v>64</v>
      </c>
      <c r="E4764" s="1" t="s">
        <v>11</v>
      </c>
    </row>
    <row r="4765" spans="1:5" x14ac:dyDescent="0.2">
      <c r="A4765" s="1" t="s">
        <v>1276</v>
      </c>
      <c r="B4765" s="1" t="s">
        <v>817</v>
      </c>
      <c r="C4765" s="5">
        <f>DATE(2025, 1, 8) + TIME(12, 42, 22)</f>
        <v>45665.529421296298</v>
      </c>
      <c r="D4765" s="1" t="s">
        <v>638</v>
      </c>
      <c r="E4765" s="1" t="s">
        <v>119</v>
      </c>
    </row>
    <row r="4766" spans="1:5" x14ac:dyDescent="0.2">
      <c r="A4766" s="1" t="s">
        <v>1276</v>
      </c>
      <c r="B4766" s="1" t="s">
        <v>98</v>
      </c>
      <c r="C4766" s="5">
        <f>DATE(2025, 1, 8) + TIME(12, 16, 4)</f>
        <v>45665.511157407411</v>
      </c>
      <c r="D4766" s="1" t="s">
        <v>459</v>
      </c>
      <c r="E4766" s="1" t="s">
        <v>222</v>
      </c>
    </row>
    <row r="4767" spans="1:5" x14ac:dyDescent="0.2">
      <c r="A4767" s="1" t="s">
        <v>1276</v>
      </c>
      <c r="B4767" s="1" t="s">
        <v>1059</v>
      </c>
      <c r="C4767" s="5">
        <f>DATE(2025, 1, 8) + TIME(11, 53, 19)</f>
        <v>45665.495358796295</v>
      </c>
      <c r="D4767" s="1" t="s">
        <v>64</v>
      </c>
      <c r="E4767" s="1" t="s">
        <v>873</v>
      </c>
    </row>
    <row r="4768" spans="1:5" x14ac:dyDescent="0.2">
      <c r="A4768" s="1" t="s">
        <v>1276</v>
      </c>
      <c r="B4768" s="1" t="s">
        <v>765</v>
      </c>
      <c r="C4768" s="5">
        <f>DATE(2025, 1, 8) + TIME(11, 53, 19)</f>
        <v>45665.495358796295</v>
      </c>
      <c r="D4768" s="1" t="s">
        <v>64</v>
      </c>
      <c r="E4768" s="1" t="s">
        <v>873</v>
      </c>
    </row>
    <row r="4769" spans="1:5" x14ac:dyDescent="0.2">
      <c r="A4769" s="1" t="s">
        <v>1276</v>
      </c>
      <c r="B4769" s="1" t="s">
        <v>271</v>
      </c>
      <c r="C4769" s="5">
        <f>DATE(2025, 1, 8) + TIME(11, 2, 58)</f>
        <v>45665.460393518515</v>
      </c>
      <c r="D4769" s="1" t="s">
        <v>64</v>
      </c>
      <c r="E4769" s="1" t="s">
        <v>337</v>
      </c>
    </row>
    <row r="4770" spans="1:5" x14ac:dyDescent="0.2">
      <c r="A4770" s="1" t="s">
        <v>1276</v>
      </c>
      <c r="B4770" s="1" t="s">
        <v>817</v>
      </c>
      <c r="C4770" s="5">
        <f>DATE(2025, 1, 8) + TIME(11, 0, 10)</f>
        <v>45665.458449074074</v>
      </c>
      <c r="D4770" s="1" t="s">
        <v>216</v>
      </c>
      <c r="E4770" s="1" t="s">
        <v>321</v>
      </c>
    </row>
    <row r="4771" spans="1:5" x14ac:dyDescent="0.2">
      <c r="A4771" s="1" t="s">
        <v>1276</v>
      </c>
      <c r="B4771" s="1" t="s">
        <v>1070</v>
      </c>
      <c r="C4771" s="5">
        <f>DATE(2025, 1, 8) + TIME(10, 44, 10)</f>
        <v>45665.447337962964</v>
      </c>
      <c r="D4771" s="1" t="s">
        <v>65</v>
      </c>
      <c r="E4771" s="1" t="s">
        <v>918</v>
      </c>
    </row>
    <row r="4772" spans="1:5" x14ac:dyDescent="0.2">
      <c r="A4772" s="1" t="s">
        <v>1276</v>
      </c>
      <c r="B4772" s="1" t="s">
        <v>271</v>
      </c>
      <c r="C4772" s="5">
        <f>DATE(2025, 1, 7) + TIME(13, 50, 18)</f>
        <v>45664.576597222222</v>
      </c>
      <c r="D4772" s="1" t="s">
        <v>506</v>
      </c>
      <c r="E4772" s="1" t="s">
        <v>702</v>
      </c>
    </row>
    <row r="4773" spans="1:5" x14ac:dyDescent="0.2">
      <c r="A4773" s="1" t="s">
        <v>1276</v>
      </c>
      <c r="B4773" s="1" t="s">
        <v>231</v>
      </c>
      <c r="C4773" s="5">
        <f>DATE(2025, 1, 7) + TIME(13, 3, 43)</f>
        <v>45664.544247685182</v>
      </c>
      <c r="D4773" s="1" t="s">
        <v>640</v>
      </c>
      <c r="E4773" s="1" t="s">
        <v>761</v>
      </c>
    </row>
    <row r="4774" spans="1:5" x14ac:dyDescent="0.2">
      <c r="A4774" s="1" t="s">
        <v>1276</v>
      </c>
      <c r="B4774" s="1" t="s">
        <v>57</v>
      </c>
      <c r="C4774" s="5">
        <f>DATE(2025, 1, 7) + TIME(12, 52, 50)</f>
        <v>45664.536689814813</v>
      </c>
      <c r="D4774" s="1" t="s">
        <v>869</v>
      </c>
      <c r="E4774" s="1" t="s">
        <v>832</v>
      </c>
    </row>
    <row r="4775" spans="1:5" x14ac:dyDescent="0.2">
      <c r="A4775" s="1" t="s">
        <v>1276</v>
      </c>
      <c r="B4775" s="1" t="s">
        <v>1073</v>
      </c>
      <c r="C4775" s="5">
        <f>DATE(2025, 1, 7) + TIME(11, 11, 33)</f>
        <v>45664.466354166667</v>
      </c>
      <c r="D4775" s="1" t="s">
        <v>320</v>
      </c>
      <c r="E4775" s="1" t="s">
        <v>406</v>
      </c>
    </row>
    <row r="4776" spans="1:5" x14ac:dyDescent="0.2">
      <c r="A4776" s="1" t="s">
        <v>1276</v>
      </c>
      <c r="B4776" s="1" t="s">
        <v>177</v>
      </c>
      <c r="C4776" s="5">
        <f>DATE(2025, 1, 7) + TIME(11, 11, 33)</f>
        <v>45664.466354166667</v>
      </c>
      <c r="D4776" s="1" t="s">
        <v>320</v>
      </c>
      <c r="E4776" s="1" t="s">
        <v>406</v>
      </c>
    </row>
    <row r="4777" spans="1:5" x14ac:dyDescent="0.2">
      <c r="A4777" s="1" t="s">
        <v>1276</v>
      </c>
      <c r="B4777" s="1" t="s">
        <v>411</v>
      </c>
      <c r="C4777" s="5">
        <f>DATE(2025, 1, 7) + TIME(7, 16, 33)</f>
        <v>45664.303159722222</v>
      </c>
      <c r="D4777" s="1" t="s">
        <v>65</v>
      </c>
      <c r="E4777" s="1" t="s">
        <v>152</v>
      </c>
    </row>
    <row r="4778" spans="1:5" x14ac:dyDescent="0.2">
      <c r="A4778" s="1" t="s">
        <v>1276</v>
      </c>
      <c r="B4778" s="1" t="s">
        <v>978</v>
      </c>
      <c r="C4778" s="5">
        <f>DATE(2025, 1, 6) + TIME(14, 41, 4)</f>
        <v>45663.611851851849</v>
      </c>
      <c r="D4778" s="1" t="s">
        <v>506</v>
      </c>
      <c r="E4778" s="1" t="s">
        <v>808</v>
      </c>
    </row>
    <row r="4779" spans="1:5" x14ac:dyDescent="0.2">
      <c r="A4779" s="1" t="s">
        <v>1276</v>
      </c>
      <c r="B4779" s="1" t="s">
        <v>1021</v>
      </c>
      <c r="C4779" s="5">
        <f>DATE(2025, 1, 6) + TIME(14, 23, 36)</f>
        <v>45663.599722222221</v>
      </c>
      <c r="D4779" s="1" t="s">
        <v>269</v>
      </c>
      <c r="E4779" s="1" t="s">
        <v>603</v>
      </c>
    </row>
    <row r="4780" spans="1:5" x14ac:dyDescent="0.2">
      <c r="A4780" s="1" t="s">
        <v>1276</v>
      </c>
      <c r="B4780" s="1" t="s">
        <v>866</v>
      </c>
      <c r="C4780" s="5">
        <f>DATE(2025, 1, 6) + TIME(11, 33, 21)</f>
        <v>45663.481493055559</v>
      </c>
      <c r="D4780" s="1" t="s">
        <v>506</v>
      </c>
      <c r="E4780" s="1" t="s">
        <v>659</v>
      </c>
    </row>
    <row r="4781" spans="1:5" x14ac:dyDescent="0.2">
      <c r="A4781" s="1" t="s">
        <v>1276</v>
      </c>
      <c r="B4781" s="1" t="s">
        <v>939</v>
      </c>
      <c r="C4781" s="5">
        <f>DATE(2025, 1, 6) + TIME(10, 29, 21)</f>
        <v>45663.437048611115</v>
      </c>
      <c r="D4781" s="1" t="s">
        <v>269</v>
      </c>
      <c r="E4781" s="1" t="s">
        <v>299</v>
      </c>
    </row>
    <row r="4782" spans="1:5" x14ac:dyDescent="0.2">
      <c r="A4782" s="1" t="s">
        <v>1276</v>
      </c>
      <c r="B4782" s="1" t="s">
        <v>688</v>
      </c>
      <c r="C4782" s="5">
        <f>DATE(2025, 1, 2) + TIME(15, 16, 55)</f>
        <v>45659.636747685188</v>
      </c>
      <c r="D4782" s="1" t="s">
        <v>638</v>
      </c>
      <c r="E4782" s="1" t="s">
        <v>887</v>
      </c>
    </row>
    <row r="4783" spans="1:5" x14ac:dyDescent="0.2">
      <c r="A4783" s="1" t="s">
        <v>1276</v>
      </c>
      <c r="B4783" s="1" t="s">
        <v>583</v>
      </c>
      <c r="C4783" s="5">
        <f>DATE(2025, 1, 2) + TIME(15, 12, 25)</f>
        <v>45659.633622685185</v>
      </c>
      <c r="D4783" s="1" t="s">
        <v>640</v>
      </c>
      <c r="E4783" s="1" t="s">
        <v>667</v>
      </c>
    </row>
    <row r="4784" spans="1:5" x14ac:dyDescent="0.2">
      <c r="A4784" s="1" t="s">
        <v>1276</v>
      </c>
      <c r="B4784" s="1" t="s">
        <v>1075</v>
      </c>
      <c r="C4784" s="5">
        <f>DATE(2025, 1, 2) + TIME(15, 4, 33)</f>
        <v>45659.628159722219</v>
      </c>
      <c r="D4784" s="1" t="s">
        <v>269</v>
      </c>
      <c r="E4784" s="1" t="s">
        <v>299</v>
      </c>
    </row>
    <row r="4785" spans="1:5" x14ac:dyDescent="0.2">
      <c r="A4785" s="1" t="s">
        <v>1276</v>
      </c>
      <c r="B4785" s="1" t="s">
        <v>322</v>
      </c>
      <c r="C4785" s="5">
        <f>DATE(2025, 1, 2) + TIME(14, 54, 10)</f>
        <v>45659.620949074073</v>
      </c>
      <c r="D4785" s="1" t="s">
        <v>640</v>
      </c>
      <c r="E4785" s="1" t="s">
        <v>32</v>
      </c>
    </row>
    <row r="4786" spans="1:5" x14ac:dyDescent="0.2">
      <c r="A4786" s="1" t="s">
        <v>1276</v>
      </c>
      <c r="B4786" s="1" t="s">
        <v>72</v>
      </c>
      <c r="C4786" s="5">
        <f>DATE(2025, 1, 2) + TIME(14, 49, 29)</f>
        <v>45659.617696759262</v>
      </c>
      <c r="D4786" s="1" t="s">
        <v>640</v>
      </c>
      <c r="E4786" s="1" t="s">
        <v>1029</v>
      </c>
    </row>
    <row r="4787" spans="1:5" x14ac:dyDescent="0.2">
      <c r="A4787" s="1" t="s">
        <v>1276</v>
      </c>
      <c r="B4787" s="1" t="s">
        <v>716</v>
      </c>
      <c r="C4787" s="5">
        <f>DATE(2025, 1, 2) + TIME(14, 17, 26)</f>
        <v>45659.595439814817</v>
      </c>
      <c r="D4787" s="1" t="s">
        <v>144</v>
      </c>
      <c r="E4787" s="1" t="s">
        <v>728</v>
      </c>
    </row>
    <row r="4788" spans="1:5" x14ac:dyDescent="0.2">
      <c r="A4788" s="1" t="s">
        <v>1276</v>
      </c>
      <c r="B4788" s="1" t="s">
        <v>9</v>
      </c>
      <c r="C4788" s="5">
        <f>DATE(2025, 1, 2) + TIME(13, 39, 58)</f>
        <v>45659.569421296299</v>
      </c>
      <c r="D4788" s="1" t="s">
        <v>391</v>
      </c>
      <c r="E4788" s="1" t="s">
        <v>829</v>
      </c>
    </row>
    <row r="4789" spans="1:5" x14ac:dyDescent="0.2">
      <c r="A4789" s="1" t="s">
        <v>1276</v>
      </c>
      <c r="B4789" s="1" t="s">
        <v>1061</v>
      </c>
      <c r="C4789" s="5">
        <f>DATE(2025, 1, 2) + TIME(13, 22, 32)</f>
        <v>45659.557314814818</v>
      </c>
      <c r="D4789" s="1" t="s">
        <v>255</v>
      </c>
      <c r="E4789" s="1" t="s">
        <v>867</v>
      </c>
    </row>
    <row r="4790" spans="1:5" x14ac:dyDescent="0.2">
      <c r="A4790" s="1" t="s">
        <v>1276</v>
      </c>
      <c r="B4790" s="1" t="s">
        <v>765</v>
      </c>
      <c r="C4790" s="5">
        <f>DATE(2025, 1, 2) + TIME(13, 22, 32)</f>
        <v>45659.557314814818</v>
      </c>
      <c r="D4790" s="1" t="s">
        <v>255</v>
      </c>
      <c r="E4790" s="1" t="s">
        <v>867</v>
      </c>
    </row>
    <row r="4791" spans="1:5" x14ac:dyDescent="0.2">
      <c r="A4791" s="1" t="s">
        <v>1276</v>
      </c>
      <c r="B4791" s="1" t="s">
        <v>9</v>
      </c>
      <c r="C4791" s="5">
        <f>DATE(2025, 1, 2) + TIME(13, 22, 32)</f>
        <v>45659.557314814818</v>
      </c>
      <c r="D4791" s="1" t="s">
        <v>255</v>
      </c>
      <c r="E4791" s="1" t="s">
        <v>867</v>
      </c>
    </row>
    <row r="4792" spans="1:5" x14ac:dyDescent="0.2">
      <c r="A4792" s="1" t="s">
        <v>1276</v>
      </c>
      <c r="B4792" s="1" t="s">
        <v>231</v>
      </c>
      <c r="C4792" s="5">
        <f>DATE(2025, 1, 2) + TIME(12, 15, 1)</f>
        <v>45659.510428240741</v>
      </c>
      <c r="D4792" s="1" t="s">
        <v>869</v>
      </c>
      <c r="E4792" s="1" t="s">
        <v>438</v>
      </c>
    </row>
    <row r="4793" spans="1:5" x14ac:dyDescent="0.2">
      <c r="A4793" s="1" t="s">
        <v>1276</v>
      </c>
      <c r="B4793" s="1" t="s">
        <v>69</v>
      </c>
      <c r="C4793" s="5">
        <f>DATE(2025, 1, 2) + TIME(11, 47, 53)</f>
        <v>45659.491585648146</v>
      </c>
      <c r="D4793" s="1" t="s">
        <v>506</v>
      </c>
      <c r="E4793" s="1" t="s">
        <v>6</v>
      </c>
    </row>
    <row r="4794" spans="1:5" x14ac:dyDescent="0.2">
      <c r="A4794" s="1" t="s">
        <v>1276</v>
      </c>
      <c r="B4794" s="1" t="s">
        <v>72</v>
      </c>
      <c r="C4794" s="5">
        <f>DATE(2025, 1, 2) + TIME(7, 54, 32)</f>
        <v>45659.32953703704</v>
      </c>
      <c r="D4794" s="1" t="s">
        <v>640</v>
      </c>
      <c r="E4794" s="1" t="s">
        <v>333</v>
      </c>
    </row>
    <row r="4795" spans="1:5" x14ac:dyDescent="0.2">
      <c r="A4795" s="1" t="s">
        <v>1276</v>
      </c>
      <c r="B4795" s="1" t="s">
        <v>322</v>
      </c>
      <c r="C4795" s="5">
        <f>DATE(2025, 1, 1) + TIME(14, 15, 41)</f>
        <v>45658.594224537039</v>
      </c>
      <c r="D4795" s="1" t="s">
        <v>3</v>
      </c>
      <c r="E4795" s="1" t="s">
        <v>25</v>
      </c>
    </row>
    <row r="4796" spans="1:5" x14ac:dyDescent="0.2">
      <c r="A4796" s="1" t="s">
        <v>1276</v>
      </c>
      <c r="B4796" s="1" t="s">
        <v>24</v>
      </c>
      <c r="C4796" s="5">
        <f>DATE(2024, 12, 31) + TIME(16, 27, 38)</f>
        <v>45657.685856481483</v>
      </c>
      <c r="D4796" s="1" t="s">
        <v>566</v>
      </c>
      <c r="E4796" s="1" t="s">
        <v>888</v>
      </c>
    </row>
    <row r="4797" spans="1:5" x14ac:dyDescent="0.2">
      <c r="A4797" s="1" t="s">
        <v>1276</v>
      </c>
      <c r="B4797" s="1" t="s">
        <v>69</v>
      </c>
      <c r="C4797" s="5">
        <f>DATE(2024, 12, 31) + TIME(15, 50, 10)</f>
        <v>45657.659837962965</v>
      </c>
      <c r="D4797" s="1" t="s">
        <v>566</v>
      </c>
      <c r="E4797" s="1" t="s">
        <v>831</v>
      </c>
    </row>
    <row r="4798" spans="1:5" x14ac:dyDescent="0.2">
      <c r="A4798" s="1" t="s">
        <v>1276</v>
      </c>
      <c r="B4798" s="1" t="s">
        <v>864</v>
      </c>
      <c r="C4798" s="5">
        <f>DATE(2024, 12, 31) + TIME(15, 50, 10)</f>
        <v>45657.659837962965</v>
      </c>
      <c r="D4798" s="1" t="s">
        <v>566</v>
      </c>
      <c r="E4798" s="1" t="s">
        <v>831</v>
      </c>
    </row>
    <row r="4799" spans="1:5" x14ac:dyDescent="0.2">
      <c r="A4799" s="1" t="s">
        <v>1276</v>
      </c>
      <c r="B4799" s="1" t="s">
        <v>60</v>
      </c>
      <c r="C4799" s="5">
        <f>DATE(2024, 12, 31) + TIME(15, 50, 10)</f>
        <v>45657.659837962965</v>
      </c>
      <c r="D4799" s="1" t="s">
        <v>566</v>
      </c>
      <c r="E4799" s="1" t="s">
        <v>831</v>
      </c>
    </row>
    <row r="4800" spans="1:5" x14ac:dyDescent="0.2">
      <c r="A4800" s="1" t="s">
        <v>1276</v>
      </c>
      <c r="B4800" s="1" t="s">
        <v>285</v>
      </c>
      <c r="C4800" s="5">
        <f>DATE(2024, 12, 31) + TIME(12, 46, 32)</f>
        <v>45657.532314814816</v>
      </c>
      <c r="D4800" s="1" t="s">
        <v>754</v>
      </c>
      <c r="E4800" s="1" t="s">
        <v>363</v>
      </c>
    </row>
    <row r="4801" spans="1:5" x14ac:dyDescent="0.2">
      <c r="A4801" s="1" t="s">
        <v>1276</v>
      </c>
      <c r="B4801" s="1" t="s">
        <v>231</v>
      </c>
      <c r="C4801" s="5">
        <f>DATE(2024, 12, 31) + TIME(12, 24, 3)</f>
        <v>45657.516701388886</v>
      </c>
      <c r="D4801" s="1" t="s">
        <v>396</v>
      </c>
      <c r="E4801" s="1" t="s">
        <v>1076</v>
      </c>
    </row>
    <row r="4802" spans="1:5" x14ac:dyDescent="0.2">
      <c r="A4802" s="1" t="s">
        <v>1276</v>
      </c>
      <c r="B4802" s="1" t="s">
        <v>1021</v>
      </c>
      <c r="C4802" s="5">
        <f>DATE(2024, 12, 31) + TIME(12, 16, 54)</f>
        <v>45657.511736111112</v>
      </c>
      <c r="D4802" s="1" t="s">
        <v>506</v>
      </c>
      <c r="E4802" s="1" t="s">
        <v>1049</v>
      </c>
    </row>
    <row r="4803" spans="1:5" x14ac:dyDescent="0.2">
      <c r="A4803" s="1" t="s">
        <v>1276</v>
      </c>
      <c r="B4803" s="1" t="s">
        <v>72</v>
      </c>
      <c r="C4803" s="5">
        <f>DATE(2024, 12, 31) + TIME(11, 40, 17)</f>
        <v>45657.486307870371</v>
      </c>
      <c r="D4803" s="1" t="s">
        <v>216</v>
      </c>
      <c r="E4803" s="1" t="s">
        <v>321</v>
      </c>
    </row>
    <row r="4804" spans="1:5" x14ac:dyDescent="0.2">
      <c r="A4804" s="1" t="s">
        <v>1276</v>
      </c>
      <c r="B4804" s="1" t="s">
        <v>542</v>
      </c>
      <c r="C4804" s="5">
        <f>DATE(2024, 12, 31) + TIME(11, 37, 15)</f>
        <v>45657.484201388892</v>
      </c>
      <c r="D4804" s="1" t="s">
        <v>216</v>
      </c>
      <c r="E4804" s="1" t="s">
        <v>321</v>
      </c>
    </row>
    <row r="4805" spans="1:5" x14ac:dyDescent="0.2">
      <c r="A4805" s="1" t="s">
        <v>1276</v>
      </c>
      <c r="B4805" s="1" t="s">
        <v>716</v>
      </c>
      <c r="C4805" s="5">
        <f>DATE(2024, 12, 30) + TIME(15, 59, 18)</f>
        <v>45656.666180555556</v>
      </c>
      <c r="D4805" s="1" t="s">
        <v>396</v>
      </c>
      <c r="E4805" s="1" t="s">
        <v>76</v>
      </c>
    </row>
    <row r="4806" spans="1:5" x14ac:dyDescent="0.2">
      <c r="A4806" s="1" t="s">
        <v>1276</v>
      </c>
      <c r="B4806" s="1" t="s">
        <v>271</v>
      </c>
      <c r="C4806" s="5">
        <f>DATE(2024, 12, 30) + TIME(15, 3, 47)</f>
        <v>45656.627627314818</v>
      </c>
      <c r="D4806" s="1" t="s">
        <v>216</v>
      </c>
      <c r="E4806" s="1" t="s">
        <v>101</v>
      </c>
    </row>
    <row r="4807" spans="1:5" x14ac:dyDescent="0.2">
      <c r="A4807" s="1" t="s">
        <v>1276</v>
      </c>
      <c r="B4807" s="1" t="s">
        <v>1077</v>
      </c>
      <c r="C4807" s="5">
        <f>DATE(2024, 12, 30) + TIME(14, 22, 41)</f>
        <v>45656.599085648151</v>
      </c>
      <c r="D4807" s="1" t="s">
        <v>871</v>
      </c>
      <c r="E4807" s="1" t="s">
        <v>149</v>
      </c>
    </row>
    <row r="4808" spans="1:5" x14ac:dyDescent="0.2">
      <c r="A4808" s="1" t="s">
        <v>1276</v>
      </c>
      <c r="B4808" s="1" t="s">
        <v>828</v>
      </c>
      <c r="C4808" s="5">
        <f>DATE(2024, 12, 30) + TIME(12, 44, 41)</f>
        <v>45656.531030092592</v>
      </c>
      <c r="D4808" s="1" t="s">
        <v>320</v>
      </c>
      <c r="E4808" s="1" t="s">
        <v>406</v>
      </c>
    </row>
    <row r="4809" spans="1:5" x14ac:dyDescent="0.2">
      <c r="A4809" s="1" t="s">
        <v>1276</v>
      </c>
      <c r="B4809" s="1" t="s">
        <v>72</v>
      </c>
      <c r="C4809" s="5">
        <f>DATE(2024, 12, 30) + TIME(12, 8, 25)</f>
        <v>45656.505844907406</v>
      </c>
      <c r="D4809" s="1" t="s">
        <v>320</v>
      </c>
      <c r="E4809" s="1" t="s">
        <v>239</v>
      </c>
    </row>
    <row r="4810" spans="1:5" x14ac:dyDescent="0.2">
      <c r="A4810" s="1" t="s">
        <v>1276</v>
      </c>
      <c r="B4810" s="1" t="s">
        <v>9</v>
      </c>
      <c r="C4810" s="5">
        <f>DATE(2024, 12, 30) + TIME(12, 4, 24)</f>
        <v>45656.503055555557</v>
      </c>
      <c r="D4810" s="1" t="s">
        <v>563</v>
      </c>
      <c r="E4810" s="1" t="s">
        <v>217</v>
      </c>
    </row>
    <row r="4811" spans="1:5" x14ac:dyDescent="0.2">
      <c r="A4811" s="1" t="s">
        <v>1276</v>
      </c>
      <c r="B4811" s="1" t="s">
        <v>931</v>
      </c>
      <c r="C4811" s="5">
        <f>DATE(2024, 12, 30) + TIME(10, 49, 36)</f>
        <v>45656.451111111113</v>
      </c>
      <c r="D4811" s="1" t="s">
        <v>65</v>
      </c>
      <c r="E4811" s="1" t="s">
        <v>404</v>
      </c>
    </row>
    <row r="4812" spans="1:5" x14ac:dyDescent="0.2">
      <c r="A4812" s="1" t="s">
        <v>1276</v>
      </c>
      <c r="B4812" s="1" t="s">
        <v>24</v>
      </c>
      <c r="C4812" s="5">
        <f>DATE(2024, 12, 30) + TIME(10, 49, 35)</f>
        <v>45656.451099537036</v>
      </c>
      <c r="D4812" s="1" t="s">
        <v>65</v>
      </c>
      <c r="E4812" s="1" t="s">
        <v>404</v>
      </c>
    </row>
    <row r="4813" spans="1:5" x14ac:dyDescent="0.2">
      <c r="A4813" s="1" t="s">
        <v>1276</v>
      </c>
      <c r="B4813" s="1" t="s">
        <v>524</v>
      </c>
      <c r="C4813" s="5">
        <f>DATE(2024, 12, 30) + TIME(9, 52, 40)</f>
        <v>45656.411574074074</v>
      </c>
      <c r="D4813" s="1" t="s">
        <v>459</v>
      </c>
      <c r="E4813" s="1" t="s">
        <v>799</v>
      </c>
    </row>
    <row r="4814" spans="1:5" x14ac:dyDescent="0.2">
      <c r="A4814" s="1" t="s">
        <v>1276</v>
      </c>
      <c r="B4814" s="1" t="s">
        <v>301</v>
      </c>
      <c r="C4814" s="5">
        <f>DATE(2024, 12, 29) + TIME(16, 50, 7)</f>
        <v>45655.701469907406</v>
      </c>
      <c r="D4814" s="1" t="s">
        <v>320</v>
      </c>
      <c r="E4814" s="1" t="s">
        <v>406</v>
      </c>
    </row>
    <row r="4815" spans="1:5" x14ac:dyDescent="0.2">
      <c r="A4815" s="1" t="s">
        <v>1276</v>
      </c>
      <c r="B4815" s="1" t="s">
        <v>677</v>
      </c>
      <c r="C4815" s="5">
        <f>DATE(2024, 12, 29) + TIME(16, 50, 7)</f>
        <v>45655.701469907406</v>
      </c>
      <c r="D4815" s="1" t="s">
        <v>320</v>
      </c>
      <c r="E4815" s="1" t="s">
        <v>406</v>
      </c>
    </row>
    <row r="4816" spans="1:5" x14ac:dyDescent="0.2">
      <c r="A4816" s="1" t="s">
        <v>1276</v>
      </c>
      <c r="B4816" s="1" t="s">
        <v>919</v>
      </c>
      <c r="C4816" s="5">
        <f>DATE(2024, 12, 29) + TIME(16, 50, 7)</f>
        <v>45655.701469907406</v>
      </c>
      <c r="D4816" s="1" t="s">
        <v>320</v>
      </c>
      <c r="E4816" s="1" t="s">
        <v>406</v>
      </c>
    </row>
    <row r="4817" spans="1:5" x14ac:dyDescent="0.2">
      <c r="A4817" s="1" t="s">
        <v>1276</v>
      </c>
      <c r="B4817" s="1" t="s">
        <v>72</v>
      </c>
      <c r="C4817" s="5">
        <f>DATE(2024, 12, 29) + TIME(16, 50, 6)</f>
        <v>45655.701458333337</v>
      </c>
      <c r="D4817" s="1" t="s">
        <v>320</v>
      </c>
      <c r="E4817" s="1" t="s">
        <v>406</v>
      </c>
    </row>
    <row r="4818" spans="1:5" x14ac:dyDescent="0.2">
      <c r="A4818" s="1" t="s">
        <v>1276</v>
      </c>
      <c r="B4818" s="1" t="s">
        <v>139</v>
      </c>
      <c r="C4818" s="5">
        <f>DATE(2024, 12, 29) + TIME(15, 6, 16)</f>
        <v>45655.629351851851</v>
      </c>
      <c r="D4818" s="1" t="s">
        <v>640</v>
      </c>
      <c r="E4818" s="1" t="s">
        <v>70</v>
      </c>
    </row>
    <row r="4819" spans="1:5" x14ac:dyDescent="0.2">
      <c r="A4819" s="1" t="s">
        <v>1276</v>
      </c>
      <c r="B4819" s="1" t="s">
        <v>322</v>
      </c>
      <c r="C4819" s="5">
        <f>DATE(2024, 12, 29) + TIME(14, 20, 53)</f>
        <v>45655.59783564815</v>
      </c>
      <c r="D4819" s="1" t="s">
        <v>640</v>
      </c>
      <c r="E4819" s="1" t="s">
        <v>520</v>
      </c>
    </row>
    <row r="4820" spans="1:5" x14ac:dyDescent="0.2">
      <c r="A4820" s="1" t="s">
        <v>1276</v>
      </c>
      <c r="B4820" s="1" t="s">
        <v>235</v>
      </c>
      <c r="C4820" s="5">
        <f>DATE(2024, 12, 29) + TIME(12, 56, 14)</f>
        <v>45655.539050925923</v>
      </c>
      <c r="D4820" s="1" t="s">
        <v>1054</v>
      </c>
      <c r="E4820" s="1" t="s">
        <v>935</v>
      </c>
    </row>
    <row r="4821" spans="1:5" x14ac:dyDescent="0.2">
      <c r="A4821" s="1" t="s">
        <v>1276</v>
      </c>
      <c r="B4821" s="1" t="s">
        <v>322</v>
      </c>
      <c r="C4821" s="5">
        <f>DATE(2024, 12, 29) + TIME(12, 51, 14)</f>
        <v>45655.535578703704</v>
      </c>
      <c r="D4821" s="1" t="s">
        <v>640</v>
      </c>
      <c r="E4821" s="1" t="s">
        <v>32</v>
      </c>
    </row>
    <row r="4822" spans="1:5" x14ac:dyDescent="0.2">
      <c r="A4822" s="1" t="s">
        <v>1276</v>
      </c>
      <c r="B4822" s="1" t="s">
        <v>72</v>
      </c>
      <c r="C4822" s="5">
        <f>DATE(2024, 12, 29) + TIME(12, 49, 34)</f>
        <v>45655.534421296295</v>
      </c>
      <c r="D4822" s="1" t="s">
        <v>640</v>
      </c>
      <c r="E4822" s="1" t="s">
        <v>333</v>
      </c>
    </row>
    <row r="4823" spans="1:5" x14ac:dyDescent="0.2">
      <c r="A4823" s="1" t="s">
        <v>1276</v>
      </c>
      <c r="B4823" s="1" t="s">
        <v>817</v>
      </c>
      <c r="C4823" s="5">
        <f>DATE(2024, 12, 26) + TIME(16, 12, 45)</f>
        <v>45652.675520833334</v>
      </c>
      <c r="D4823" s="1" t="s">
        <v>391</v>
      </c>
      <c r="E4823" s="1" t="s">
        <v>829</v>
      </c>
    </row>
    <row r="4824" spans="1:5" x14ac:dyDescent="0.2">
      <c r="A4824" s="1" t="s">
        <v>1276</v>
      </c>
      <c r="B4824" s="1" t="s">
        <v>782</v>
      </c>
      <c r="C4824" s="5">
        <f>DATE(2024, 12, 26) + TIME(13, 58, 9)</f>
        <v>45652.582048611112</v>
      </c>
      <c r="D4824" s="1" t="s">
        <v>269</v>
      </c>
      <c r="E4824" s="1" t="s">
        <v>299</v>
      </c>
    </row>
    <row r="4825" spans="1:5" x14ac:dyDescent="0.2">
      <c r="A4825" s="1" t="s">
        <v>1276</v>
      </c>
      <c r="B4825" s="1" t="s">
        <v>343</v>
      </c>
      <c r="C4825" s="5">
        <f>DATE(2024, 12, 26) + TIME(12, 2, 19)</f>
        <v>45652.501608796294</v>
      </c>
      <c r="D4825" s="1" t="s">
        <v>320</v>
      </c>
      <c r="E4825" s="1" t="s">
        <v>2</v>
      </c>
    </row>
    <row r="4826" spans="1:5" x14ac:dyDescent="0.2">
      <c r="A4826" s="1" t="s">
        <v>1276</v>
      </c>
      <c r="B4826" s="1" t="s">
        <v>231</v>
      </c>
      <c r="C4826" s="5">
        <f>DATE(2024, 12, 26) + TIME(12, 2, 18)</f>
        <v>45652.501597222225</v>
      </c>
      <c r="D4826" s="1" t="s">
        <v>320</v>
      </c>
      <c r="E4826" s="1" t="s">
        <v>2</v>
      </c>
    </row>
    <row r="4827" spans="1:5" x14ac:dyDescent="0.2">
      <c r="A4827" s="1" t="s">
        <v>1276</v>
      </c>
      <c r="B4827" s="1" t="s">
        <v>357</v>
      </c>
      <c r="C4827" s="5">
        <f>DATE(2024, 12, 26) + TIME(10, 19, 24)</f>
        <v>45652.430138888885</v>
      </c>
      <c r="D4827" s="1" t="s">
        <v>871</v>
      </c>
      <c r="E4827" s="1" t="s">
        <v>340</v>
      </c>
    </row>
    <row r="4828" spans="1:5" x14ac:dyDescent="0.2">
      <c r="A4828" s="1" t="s">
        <v>1276</v>
      </c>
      <c r="B4828" s="1" t="s">
        <v>716</v>
      </c>
      <c r="C4828" s="5">
        <f>DATE(2024, 12, 24) + TIME(12, 44, 28)</f>
        <v>45650.53087962963</v>
      </c>
      <c r="D4828" s="1" t="s">
        <v>5</v>
      </c>
      <c r="E4828" s="1" t="s">
        <v>1011</v>
      </c>
    </row>
    <row r="4829" spans="1:5" x14ac:dyDescent="0.2">
      <c r="A4829" s="1" t="s">
        <v>1276</v>
      </c>
      <c r="B4829" s="1" t="s">
        <v>848</v>
      </c>
      <c r="C4829" s="5">
        <f>DATE(2024, 12, 24) + TIME(10, 32, 18)</f>
        <v>45650.439097222225</v>
      </c>
      <c r="D4829" s="1" t="s">
        <v>566</v>
      </c>
      <c r="E4829" s="1" t="s">
        <v>888</v>
      </c>
    </row>
    <row r="4830" spans="1:5" x14ac:dyDescent="0.2">
      <c r="A4830" s="1" t="s">
        <v>1276</v>
      </c>
      <c r="B4830" s="1" t="s">
        <v>951</v>
      </c>
      <c r="C4830" s="5">
        <f>DATE(2024, 12, 24) + TIME(10, 32, 18)</f>
        <v>45650.439097222225</v>
      </c>
      <c r="D4830" s="1" t="s">
        <v>566</v>
      </c>
      <c r="E4830" s="1" t="s">
        <v>888</v>
      </c>
    </row>
    <row r="4831" spans="1:5" x14ac:dyDescent="0.2">
      <c r="A4831" s="1" t="s">
        <v>1276</v>
      </c>
      <c r="B4831" s="1" t="s">
        <v>343</v>
      </c>
      <c r="C4831" s="5">
        <f>DATE(2024, 12, 24) + TIME(10, 32, 18)</f>
        <v>45650.439097222225</v>
      </c>
      <c r="D4831" s="1" t="s">
        <v>566</v>
      </c>
      <c r="E4831" s="1" t="s">
        <v>888</v>
      </c>
    </row>
    <row r="4832" spans="1:5" x14ac:dyDescent="0.2">
      <c r="A4832" s="1" t="s">
        <v>1276</v>
      </c>
      <c r="B4832" s="1" t="s">
        <v>1079</v>
      </c>
      <c r="C4832" s="5">
        <f>DATE(2024, 12, 24) + TIME(10, 32, 17)</f>
        <v>45650.439085648148</v>
      </c>
      <c r="D4832" s="1" t="s">
        <v>566</v>
      </c>
      <c r="E4832" s="1" t="s">
        <v>888</v>
      </c>
    </row>
    <row r="4833" spans="1:5" x14ac:dyDescent="0.2">
      <c r="A4833" s="1" t="s">
        <v>1276</v>
      </c>
      <c r="B4833" s="1" t="s">
        <v>1068</v>
      </c>
      <c r="C4833" s="5">
        <f>DATE(2024, 12, 24) + TIME(10, 32, 17)</f>
        <v>45650.439085648148</v>
      </c>
      <c r="D4833" s="1" t="s">
        <v>566</v>
      </c>
      <c r="E4833" s="1" t="s">
        <v>888</v>
      </c>
    </row>
    <row r="4834" spans="1:5" x14ac:dyDescent="0.2">
      <c r="A4834" s="1" t="s">
        <v>1276</v>
      </c>
      <c r="B4834" s="1" t="s">
        <v>1043</v>
      </c>
      <c r="C4834" s="5">
        <f>DATE(2024, 12, 23) + TIME(15, 27, 8)</f>
        <v>45649.643842592595</v>
      </c>
      <c r="D4834" s="1" t="s">
        <v>750</v>
      </c>
      <c r="E4834" s="1" t="s">
        <v>158</v>
      </c>
    </row>
    <row r="4835" spans="1:5" x14ac:dyDescent="0.2">
      <c r="A4835" s="1" t="s">
        <v>1276</v>
      </c>
      <c r="B4835" s="1" t="s">
        <v>577</v>
      </c>
      <c r="C4835" s="5">
        <f>DATE(2024, 12, 23) + TIME(14, 30, 10)</f>
        <v>45649.60428240741</v>
      </c>
      <c r="D4835" s="1" t="s">
        <v>148</v>
      </c>
      <c r="E4835" s="1" t="s">
        <v>877</v>
      </c>
    </row>
    <row r="4836" spans="1:5" x14ac:dyDescent="0.2">
      <c r="A4836" s="1" t="s">
        <v>1276</v>
      </c>
      <c r="B4836" s="1" t="s">
        <v>139</v>
      </c>
      <c r="C4836" s="5">
        <f>DATE(2024, 12, 23) + TIME(14, 9, 50)</f>
        <v>45649.590162037035</v>
      </c>
      <c r="D4836" s="1" t="s">
        <v>869</v>
      </c>
      <c r="E4836" s="1" t="s">
        <v>832</v>
      </c>
    </row>
    <row r="4837" spans="1:5" x14ac:dyDescent="0.2">
      <c r="A4837" s="1" t="s">
        <v>1276</v>
      </c>
      <c r="B4837" s="1" t="s">
        <v>866</v>
      </c>
      <c r="C4837" s="5">
        <f>DATE(2024, 12, 23) + TIME(13, 28, 39)</f>
        <v>45649.561562499999</v>
      </c>
      <c r="D4837" s="1" t="s">
        <v>320</v>
      </c>
      <c r="E4837" s="1" t="s">
        <v>406</v>
      </c>
    </row>
    <row r="4838" spans="1:5" x14ac:dyDescent="0.2">
      <c r="A4838" s="1" t="s">
        <v>1276</v>
      </c>
      <c r="B4838" s="1" t="s">
        <v>705</v>
      </c>
      <c r="C4838" s="5">
        <f>DATE(2024, 12, 23) + TIME(13, 28, 38)</f>
        <v>45649.561550925922</v>
      </c>
      <c r="D4838" s="1" t="s">
        <v>320</v>
      </c>
      <c r="E4838" s="1" t="s">
        <v>406</v>
      </c>
    </row>
    <row r="4839" spans="1:5" x14ac:dyDescent="0.2">
      <c r="A4839" s="1" t="s">
        <v>1276</v>
      </c>
      <c r="B4839" s="1" t="s">
        <v>343</v>
      </c>
      <c r="C4839" s="5">
        <f>DATE(2024, 12, 23) + TIME(13, 28, 38)</f>
        <v>45649.561550925922</v>
      </c>
      <c r="D4839" s="1" t="s">
        <v>320</v>
      </c>
      <c r="E4839" s="1" t="s">
        <v>406</v>
      </c>
    </row>
    <row r="4840" spans="1:5" x14ac:dyDescent="0.2">
      <c r="A4840" s="1" t="s">
        <v>1276</v>
      </c>
      <c r="B4840" s="1" t="s">
        <v>752</v>
      </c>
      <c r="C4840" s="5">
        <f>DATE(2024, 12, 23) + TIME(9, 15, 4)</f>
        <v>45649.385462962964</v>
      </c>
      <c r="D4840" s="1" t="s">
        <v>126</v>
      </c>
      <c r="E4840" s="1" t="s">
        <v>380</v>
      </c>
    </row>
    <row r="4841" spans="1:5" x14ac:dyDescent="0.2">
      <c r="A4841" s="1" t="s">
        <v>1276</v>
      </c>
      <c r="B4841" s="1" t="s">
        <v>765</v>
      </c>
      <c r="C4841" s="5">
        <f>DATE(2024, 12, 23) + TIME(8, 55, 15)</f>
        <v>45649.371701388889</v>
      </c>
      <c r="D4841" s="1" t="s">
        <v>126</v>
      </c>
      <c r="E4841" s="1" t="s">
        <v>380</v>
      </c>
    </row>
    <row r="4842" spans="1:5" x14ac:dyDescent="0.2">
      <c r="A4842" s="1" t="s">
        <v>1276</v>
      </c>
      <c r="B4842" s="1" t="s">
        <v>15</v>
      </c>
      <c r="C4842" s="5">
        <f>DATE(2024, 12, 23) + TIME(8, 55, 15)</f>
        <v>45649.371701388889</v>
      </c>
      <c r="D4842" s="1" t="s">
        <v>126</v>
      </c>
      <c r="E4842" s="1" t="s">
        <v>380</v>
      </c>
    </row>
    <row r="4843" spans="1:5" x14ac:dyDescent="0.2">
      <c r="A4843" s="1" t="s">
        <v>1276</v>
      </c>
      <c r="B4843" s="1" t="s">
        <v>411</v>
      </c>
      <c r="C4843" s="5">
        <f>DATE(2024, 12, 23) + TIME(6, 16, 58)</f>
        <v>45649.261782407404</v>
      </c>
      <c r="D4843" s="1" t="s">
        <v>65</v>
      </c>
      <c r="E4843" s="1" t="s">
        <v>152</v>
      </c>
    </row>
    <row r="4844" spans="1:5" x14ac:dyDescent="0.2">
      <c r="A4844" s="1" t="s">
        <v>1276</v>
      </c>
      <c r="B4844" s="1" t="s">
        <v>1083</v>
      </c>
      <c r="C4844" s="5">
        <f>DATE(2024, 12, 19) + TIME(15, 44, 19)</f>
        <v>45645.655775462961</v>
      </c>
      <c r="D4844" s="1" t="s">
        <v>566</v>
      </c>
      <c r="E4844" s="1" t="s">
        <v>324</v>
      </c>
    </row>
    <row r="4845" spans="1:5" x14ac:dyDescent="0.2">
      <c r="A4845" s="1" t="s">
        <v>1276</v>
      </c>
      <c r="B4845" s="1" t="s">
        <v>494</v>
      </c>
      <c r="C4845" s="5">
        <f>DATE(2024, 12, 19) + TIME(15, 44, 19)</f>
        <v>45645.655775462961</v>
      </c>
      <c r="D4845" s="1" t="s">
        <v>566</v>
      </c>
      <c r="E4845" s="1" t="s">
        <v>324</v>
      </c>
    </row>
    <row r="4846" spans="1:5" x14ac:dyDescent="0.2">
      <c r="A4846" s="1" t="s">
        <v>1276</v>
      </c>
      <c r="B4846" s="1" t="s">
        <v>1033</v>
      </c>
      <c r="C4846" s="5">
        <f>DATE(2024, 12, 19) + TIME(15, 44, 18)</f>
        <v>45645.655763888892</v>
      </c>
      <c r="D4846" s="1" t="s">
        <v>566</v>
      </c>
      <c r="E4846" s="1" t="s">
        <v>324</v>
      </c>
    </row>
    <row r="4847" spans="1:5" x14ac:dyDescent="0.2">
      <c r="A4847" s="1" t="s">
        <v>1276</v>
      </c>
      <c r="B4847" s="1" t="s">
        <v>139</v>
      </c>
      <c r="C4847" s="5">
        <f>DATE(2024, 12, 19) + TIME(14, 42, 54)</f>
        <v>45645.613125000003</v>
      </c>
      <c r="D4847" s="1" t="s">
        <v>638</v>
      </c>
      <c r="E4847" s="1" t="s">
        <v>315</v>
      </c>
    </row>
    <row r="4848" spans="1:5" x14ac:dyDescent="0.2">
      <c r="A4848" s="1" t="s">
        <v>1276</v>
      </c>
      <c r="B4848" s="1" t="s">
        <v>1084</v>
      </c>
      <c r="C4848" s="5">
        <f>DATE(2024, 12, 19) + TIME(14, 30, 41)</f>
        <v>45645.604641203703</v>
      </c>
      <c r="D4848" s="1" t="s">
        <v>640</v>
      </c>
      <c r="E4848" s="1" t="s">
        <v>1029</v>
      </c>
    </row>
    <row r="4849" spans="1:5" x14ac:dyDescent="0.2">
      <c r="A4849" s="1" t="s">
        <v>1276</v>
      </c>
      <c r="B4849" s="1" t="s">
        <v>411</v>
      </c>
      <c r="C4849" s="5">
        <f>DATE(2024, 12, 19) + TIME(13, 20, 48)</f>
        <v>45645.556111111109</v>
      </c>
      <c r="D4849" s="1" t="s">
        <v>144</v>
      </c>
      <c r="E4849" s="1" t="s">
        <v>293</v>
      </c>
    </row>
    <row r="4850" spans="1:5" x14ac:dyDescent="0.2">
      <c r="A4850" s="1" t="s">
        <v>1276</v>
      </c>
      <c r="B4850" s="1" t="s">
        <v>163</v>
      </c>
      <c r="C4850" s="5">
        <f>DATE(2024, 12, 19) + TIME(13, 20, 19)</f>
        <v>45645.555775462963</v>
      </c>
      <c r="D4850" s="1" t="s">
        <v>144</v>
      </c>
      <c r="E4850" s="1" t="s">
        <v>946</v>
      </c>
    </row>
    <row r="4851" spans="1:5" x14ac:dyDescent="0.2">
      <c r="A4851" s="1" t="s">
        <v>1276</v>
      </c>
      <c r="B4851" s="1" t="s">
        <v>483</v>
      </c>
      <c r="C4851" s="5">
        <f>DATE(2024, 12, 19) + TIME(13, 19, 6)</f>
        <v>45645.554930555554</v>
      </c>
      <c r="D4851" s="1" t="s">
        <v>144</v>
      </c>
      <c r="E4851" s="1" t="s">
        <v>946</v>
      </c>
    </row>
    <row r="4852" spans="1:5" x14ac:dyDescent="0.2">
      <c r="A4852" s="1" t="s">
        <v>1276</v>
      </c>
      <c r="B4852" s="1" t="s">
        <v>864</v>
      </c>
      <c r="C4852" s="5">
        <f>DATE(2024, 12, 19) + TIME(13, 19, 6)</f>
        <v>45645.554930555554</v>
      </c>
      <c r="D4852" s="1" t="s">
        <v>144</v>
      </c>
      <c r="E4852" s="1" t="s">
        <v>946</v>
      </c>
    </row>
    <row r="4853" spans="1:5" x14ac:dyDescent="0.2">
      <c r="A4853" s="1" t="s">
        <v>1276</v>
      </c>
      <c r="B4853" s="1" t="s">
        <v>139</v>
      </c>
      <c r="C4853" s="5">
        <f>DATE(2024, 12, 19) + TIME(13, 8, 34)</f>
        <v>45645.547615740739</v>
      </c>
      <c r="D4853" s="1" t="s">
        <v>320</v>
      </c>
      <c r="E4853" s="1" t="s">
        <v>698</v>
      </c>
    </row>
    <row r="4854" spans="1:5" x14ac:dyDescent="0.2">
      <c r="A4854" s="1" t="s">
        <v>1276</v>
      </c>
      <c r="B4854" s="1" t="s">
        <v>69</v>
      </c>
      <c r="C4854" s="5">
        <f>DATE(2024, 12, 19) + TIME(12, 10, 52)</f>
        <v>45645.5075462963</v>
      </c>
      <c r="D4854" s="1" t="s">
        <v>640</v>
      </c>
      <c r="E4854" s="1" t="s">
        <v>838</v>
      </c>
    </row>
    <row r="4855" spans="1:5" x14ac:dyDescent="0.2">
      <c r="A4855" s="1" t="s">
        <v>1276</v>
      </c>
      <c r="B4855" s="1" t="s">
        <v>1021</v>
      </c>
      <c r="C4855" s="5">
        <f>DATE(2024, 12, 19) + TIME(11, 45, 51)</f>
        <v>45645.490173611113</v>
      </c>
      <c r="D4855" s="1" t="s">
        <v>754</v>
      </c>
      <c r="E4855" s="1" t="s">
        <v>330</v>
      </c>
    </row>
    <row r="4856" spans="1:5" x14ac:dyDescent="0.2">
      <c r="A4856" s="1" t="s">
        <v>1276</v>
      </c>
      <c r="B4856" s="1" t="s">
        <v>587</v>
      </c>
      <c r="C4856" s="5">
        <f>DATE(2024, 12, 18) + TIME(16, 34, 51)</f>
        <v>45644.690868055557</v>
      </c>
      <c r="D4856" s="1" t="s">
        <v>566</v>
      </c>
      <c r="E4856" s="1" t="s">
        <v>888</v>
      </c>
    </row>
    <row r="4857" spans="1:5" x14ac:dyDescent="0.2">
      <c r="A4857" s="1" t="s">
        <v>1276</v>
      </c>
      <c r="B4857" s="1" t="s">
        <v>821</v>
      </c>
      <c r="C4857" s="5">
        <f>DATE(2024, 12, 18) + TIME(16, 34, 51)</f>
        <v>45644.690868055557</v>
      </c>
      <c r="D4857" s="1" t="s">
        <v>566</v>
      </c>
      <c r="E4857" s="1" t="s">
        <v>888</v>
      </c>
    </row>
    <row r="4858" spans="1:5" x14ac:dyDescent="0.2">
      <c r="A4858" s="1" t="s">
        <v>1276</v>
      </c>
      <c r="B4858" s="1" t="s">
        <v>238</v>
      </c>
      <c r="C4858" s="5">
        <f>DATE(2024, 12, 18) + TIME(16, 34, 51)</f>
        <v>45644.690868055557</v>
      </c>
      <c r="D4858" s="1" t="s">
        <v>566</v>
      </c>
      <c r="E4858" s="1" t="s">
        <v>888</v>
      </c>
    </row>
    <row r="4859" spans="1:5" x14ac:dyDescent="0.2">
      <c r="A4859" s="1" t="s">
        <v>1276</v>
      </c>
      <c r="B4859" s="1" t="s">
        <v>817</v>
      </c>
      <c r="C4859" s="5">
        <f>DATE(2024, 12, 18) + TIME(16, 34, 51)</f>
        <v>45644.690868055557</v>
      </c>
      <c r="D4859" s="1" t="s">
        <v>566</v>
      </c>
      <c r="E4859" s="1" t="s">
        <v>888</v>
      </c>
    </row>
    <row r="4860" spans="1:5" x14ac:dyDescent="0.2">
      <c r="A4860" s="1" t="s">
        <v>1276</v>
      </c>
      <c r="B4860" s="1" t="s">
        <v>139</v>
      </c>
      <c r="C4860" s="5">
        <f>DATE(2024, 12, 18) + TIME(16, 25, 4)</f>
        <v>45644.684074074074</v>
      </c>
      <c r="D4860" s="1" t="s">
        <v>506</v>
      </c>
      <c r="E4860" s="1" t="s">
        <v>709</v>
      </c>
    </row>
    <row r="4861" spans="1:5" x14ac:dyDescent="0.2">
      <c r="A4861" s="1" t="s">
        <v>1276</v>
      </c>
      <c r="B4861" s="1" t="s">
        <v>22</v>
      </c>
      <c r="C4861" s="5">
        <f>DATE(2024, 12, 18) + TIME(16, 19, 45)</f>
        <v>45644.680381944447</v>
      </c>
      <c r="D4861" s="1" t="s">
        <v>64</v>
      </c>
      <c r="E4861" s="1" t="s">
        <v>1008</v>
      </c>
    </row>
    <row r="4862" spans="1:5" x14ac:dyDescent="0.2">
      <c r="A4862" s="1" t="s">
        <v>1276</v>
      </c>
      <c r="B4862" s="1" t="s">
        <v>24</v>
      </c>
      <c r="C4862" s="5">
        <f>DATE(2024, 12, 18) + TIME(16, 19, 45)</f>
        <v>45644.680381944447</v>
      </c>
      <c r="D4862" s="1" t="s">
        <v>64</v>
      </c>
      <c r="E4862" s="1" t="s">
        <v>1008</v>
      </c>
    </row>
    <row r="4863" spans="1:5" x14ac:dyDescent="0.2">
      <c r="A4863" s="1" t="s">
        <v>1276</v>
      </c>
      <c r="B4863" s="1" t="s">
        <v>978</v>
      </c>
      <c r="C4863" s="5">
        <f>DATE(2024, 12, 18) + TIME(15, 40, 42)</f>
        <v>45644.653263888889</v>
      </c>
      <c r="D4863" s="1" t="s">
        <v>506</v>
      </c>
      <c r="E4863" s="1" t="s">
        <v>158</v>
      </c>
    </row>
    <row r="4864" spans="1:5" x14ac:dyDescent="0.2">
      <c r="A4864" s="1" t="s">
        <v>1276</v>
      </c>
      <c r="B4864" s="1" t="s">
        <v>139</v>
      </c>
      <c r="C4864" s="5">
        <f>DATE(2024, 12, 18) + TIME(15, 40, 42)</f>
        <v>45644.653263888889</v>
      </c>
      <c r="D4864" s="1" t="s">
        <v>506</v>
      </c>
      <c r="E4864" s="1" t="s">
        <v>158</v>
      </c>
    </row>
    <row r="4865" spans="1:5" x14ac:dyDescent="0.2">
      <c r="A4865" s="1" t="s">
        <v>1276</v>
      </c>
      <c r="B4865" s="1" t="s">
        <v>1087</v>
      </c>
      <c r="C4865" s="5">
        <f>DATE(2024, 12, 18) + TIME(15, 40, 41)</f>
        <v>45644.653252314813</v>
      </c>
      <c r="D4865" s="1" t="s">
        <v>506</v>
      </c>
      <c r="E4865" s="1" t="s">
        <v>158</v>
      </c>
    </row>
    <row r="4866" spans="1:5" x14ac:dyDescent="0.2">
      <c r="A4866" s="1" t="s">
        <v>1276</v>
      </c>
      <c r="B4866" s="1" t="s">
        <v>96</v>
      </c>
      <c r="C4866" s="5">
        <f>DATE(2024, 12, 18) + TIME(15, 29, 1)</f>
        <v>45644.645150462966</v>
      </c>
      <c r="D4866" s="1" t="s">
        <v>467</v>
      </c>
      <c r="E4866" s="1" t="s">
        <v>890</v>
      </c>
    </row>
    <row r="4867" spans="1:5" x14ac:dyDescent="0.2">
      <c r="A4867" s="1" t="s">
        <v>1276</v>
      </c>
      <c r="B4867" s="1" t="s">
        <v>866</v>
      </c>
      <c r="C4867" s="5">
        <f>DATE(2024, 12, 18) + TIME(15, 0, 39)</f>
        <v>45644.625451388885</v>
      </c>
      <c r="D4867" s="1" t="s">
        <v>638</v>
      </c>
      <c r="E4867" s="1" t="s">
        <v>1088</v>
      </c>
    </row>
    <row r="4868" spans="1:5" x14ac:dyDescent="0.2">
      <c r="A4868" s="1" t="s">
        <v>1276</v>
      </c>
      <c r="B4868" s="1" t="s">
        <v>139</v>
      </c>
      <c r="C4868" s="5">
        <f>DATE(2024, 12, 18) + TIME(15, 0, 39)</f>
        <v>45644.625451388885</v>
      </c>
      <c r="D4868" s="1" t="s">
        <v>638</v>
      </c>
      <c r="E4868" s="1" t="s">
        <v>1088</v>
      </c>
    </row>
    <row r="4869" spans="1:5" x14ac:dyDescent="0.2">
      <c r="A4869" s="1" t="s">
        <v>1276</v>
      </c>
      <c r="B4869" s="1" t="s">
        <v>139</v>
      </c>
      <c r="C4869" s="5">
        <f>DATE(2024, 12, 18) + TIME(14, 59, 32)</f>
        <v>45644.624675925923</v>
      </c>
      <c r="D4869" s="1" t="s">
        <v>638</v>
      </c>
      <c r="E4869" s="1" t="s">
        <v>258</v>
      </c>
    </row>
    <row r="4870" spans="1:5" x14ac:dyDescent="0.2">
      <c r="A4870" s="1" t="s">
        <v>1276</v>
      </c>
      <c r="B4870" s="1" t="s">
        <v>716</v>
      </c>
      <c r="C4870" s="5">
        <f>DATE(2024, 12, 18) + TIME(12, 48, 3)</f>
        <v>45644.533368055556</v>
      </c>
      <c r="D4870" s="1" t="s">
        <v>5</v>
      </c>
      <c r="E4870" s="1" t="s">
        <v>1011</v>
      </c>
    </row>
    <row r="4871" spans="1:5" x14ac:dyDescent="0.2">
      <c r="A4871" s="1" t="s">
        <v>1276</v>
      </c>
      <c r="B4871" s="1" t="s">
        <v>1069</v>
      </c>
      <c r="C4871" s="5">
        <f>DATE(2024, 12, 18) + TIME(12, 38, 51)</f>
        <v>45644.526979166665</v>
      </c>
      <c r="D4871" s="1" t="s">
        <v>216</v>
      </c>
      <c r="E4871" s="1" t="s">
        <v>321</v>
      </c>
    </row>
    <row r="4872" spans="1:5" x14ac:dyDescent="0.2">
      <c r="A4872" s="1" t="s">
        <v>1276</v>
      </c>
      <c r="B4872" s="1" t="s">
        <v>277</v>
      </c>
      <c r="C4872" s="5">
        <f>DATE(2024, 12, 18) + TIME(12, 38, 51)</f>
        <v>45644.526979166665</v>
      </c>
      <c r="D4872" s="1" t="s">
        <v>216</v>
      </c>
      <c r="E4872" s="1" t="s">
        <v>321</v>
      </c>
    </row>
    <row r="4873" spans="1:5" x14ac:dyDescent="0.2">
      <c r="A4873" s="1" t="s">
        <v>1276</v>
      </c>
      <c r="B4873" s="1" t="s">
        <v>153</v>
      </c>
      <c r="C4873" s="5">
        <f>DATE(2024, 12, 18) + TIME(11, 54, 11)</f>
        <v>45644.49596064815</v>
      </c>
      <c r="D4873" s="1" t="s">
        <v>64</v>
      </c>
      <c r="E4873" s="1" t="s">
        <v>873</v>
      </c>
    </row>
    <row r="4874" spans="1:5" x14ac:dyDescent="0.2">
      <c r="A4874" s="1" t="s">
        <v>1276</v>
      </c>
      <c r="B4874" s="1" t="s">
        <v>1089</v>
      </c>
      <c r="C4874" s="5">
        <f>DATE(2024, 12, 18) + TIME(11, 54, 11)</f>
        <v>45644.49596064815</v>
      </c>
      <c r="D4874" s="1" t="s">
        <v>64</v>
      </c>
      <c r="E4874" s="1" t="s">
        <v>873</v>
      </c>
    </row>
    <row r="4875" spans="1:5" x14ac:dyDescent="0.2">
      <c r="A4875" s="1" t="s">
        <v>1276</v>
      </c>
      <c r="B4875" s="1" t="s">
        <v>139</v>
      </c>
      <c r="C4875" s="5">
        <f>DATE(2024, 12, 18) + TIME(11, 54, 11)</f>
        <v>45644.49596064815</v>
      </c>
      <c r="D4875" s="1" t="s">
        <v>64</v>
      </c>
      <c r="E4875" s="1" t="s">
        <v>873</v>
      </c>
    </row>
    <row r="4876" spans="1:5" x14ac:dyDescent="0.2">
      <c r="A4876" s="1" t="s">
        <v>1276</v>
      </c>
      <c r="B4876" s="1" t="s">
        <v>139</v>
      </c>
      <c r="C4876" s="5">
        <f>DATE(2024, 12, 18) + TIME(11, 14, 30)</f>
        <v>45644.468402777777</v>
      </c>
      <c r="D4876" s="1" t="s">
        <v>320</v>
      </c>
      <c r="E4876" s="1" t="s">
        <v>872</v>
      </c>
    </row>
    <row r="4877" spans="1:5" x14ac:dyDescent="0.2">
      <c r="A4877" s="1" t="s">
        <v>1276</v>
      </c>
      <c r="B4877" s="1" t="s">
        <v>139</v>
      </c>
      <c r="C4877" s="5">
        <f>DATE(2024, 12, 18) + TIME(10, 55, 4)</f>
        <v>45644.454907407409</v>
      </c>
      <c r="D4877" s="1" t="s">
        <v>320</v>
      </c>
      <c r="E4877" s="1" t="s">
        <v>917</v>
      </c>
    </row>
    <row r="4878" spans="1:5" x14ac:dyDescent="0.2">
      <c r="A4878" s="1" t="s">
        <v>1276</v>
      </c>
      <c r="B4878" s="1" t="s">
        <v>483</v>
      </c>
      <c r="C4878" s="5">
        <f>DATE(2024, 12, 17) + TIME(12, 40, 8)</f>
        <v>45643.527870370373</v>
      </c>
      <c r="D4878" s="1" t="s">
        <v>126</v>
      </c>
      <c r="E4878" s="1" t="s">
        <v>894</v>
      </c>
    </row>
    <row r="4879" spans="1:5" x14ac:dyDescent="0.2">
      <c r="A4879" s="1" t="s">
        <v>1276</v>
      </c>
      <c r="B4879" s="1" t="s">
        <v>907</v>
      </c>
      <c r="C4879" s="5">
        <f>DATE(2024, 12, 17) + TIME(12, 11, 55)</f>
        <v>45643.508275462962</v>
      </c>
      <c r="D4879" s="1" t="s">
        <v>450</v>
      </c>
      <c r="E4879" s="1" t="s">
        <v>572</v>
      </c>
    </row>
    <row r="4880" spans="1:5" x14ac:dyDescent="0.2">
      <c r="A4880" s="1" t="s">
        <v>1276</v>
      </c>
      <c r="B4880" s="1" t="s">
        <v>238</v>
      </c>
      <c r="C4880" s="5">
        <f>DATE(2024, 12, 17) + TIME(11, 38, 18)</f>
        <v>45643.484930555554</v>
      </c>
      <c r="D4880" s="1" t="s">
        <v>65</v>
      </c>
      <c r="E4880" s="1" t="s">
        <v>152</v>
      </c>
    </row>
    <row r="4881" spans="1:5" x14ac:dyDescent="0.2">
      <c r="A4881" s="1" t="s">
        <v>1276</v>
      </c>
      <c r="B4881" s="1" t="s">
        <v>583</v>
      </c>
      <c r="C4881" s="5">
        <f>DATE(2024, 12, 17) + TIME(9, 32, 57)</f>
        <v>45643.397881944446</v>
      </c>
      <c r="D4881" s="1" t="s">
        <v>126</v>
      </c>
      <c r="E4881" s="1" t="s">
        <v>143</v>
      </c>
    </row>
    <row r="4882" spans="1:5" x14ac:dyDescent="0.2">
      <c r="A4882" s="1" t="s">
        <v>1276</v>
      </c>
      <c r="B4882" s="1" t="s">
        <v>968</v>
      </c>
      <c r="C4882" s="5">
        <f>DATE(2024, 12, 17) + TIME(9, 32, 57)</f>
        <v>45643.397881944446</v>
      </c>
      <c r="D4882" s="1" t="s">
        <v>126</v>
      </c>
      <c r="E4882" s="1" t="s">
        <v>143</v>
      </c>
    </row>
    <row r="4883" spans="1:5" x14ac:dyDescent="0.2">
      <c r="A4883" s="1" t="s">
        <v>1276</v>
      </c>
      <c r="B4883" s="1" t="s">
        <v>163</v>
      </c>
      <c r="C4883" s="5">
        <f>DATE(2024, 12, 16) + TIME(16, 28, 7)</f>
        <v>45642.686192129629</v>
      </c>
      <c r="D4883" s="1" t="s">
        <v>144</v>
      </c>
      <c r="E4883" s="1" t="s">
        <v>946</v>
      </c>
    </row>
    <row r="4884" spans="1:5" x14ac:dyDescent="0.2">
      <c r="A4884" s="1" t="s">
        <v>1276</v>
      </c>
      <c r="B4884" s="1" t="s">
        <v>4</v>
      </c>
      <c r="C4884" s="5">
        <f>DATE(2024, 12, 16) + TIME(14, 54, 30)</f>
        <v>45642.621180555558</v>
      </c>
      <c r="D4884" s="1" t="s">
        <v>640</v>
      </c>
      <c r="E4884" s="1" t="s">
        <v>520</v>
      </c>
    </row>
    <row r="4885" spans="1:5" x14ac:dyDescent="0.2">
      <c r="A4885" s="1" t="s">
        <v>1276</v>
      </c>
      <c r="B4885" s="1" t="s">
        <v>939</v>
      </c>
      <c r="C4885" s="5">
        <f>DATE(2024, 12, 16) + TIME(14, 29, 45)</f>
        <v>45642.603993055556</v>
      </c>
      <c r="D4885" s="1" t="s">
        <v>320</v>
      </c>
      <c r="E4885" s="1" t="s">
        <v>406</v>
      </c>
    </row>
    <row r="4886" spans="1:5" x14ac:dyDescent="0.2">
      <c r="A4886" s="1" t="s">
        <v>1276</v>
      </c>
      <c r="B4886" s="1" t="s">
        <v>1035</v>
      </c>
      <c r="C4886" s="5">
        <f>DATE(2024, 12, 16) + TIME(13, 51, 52)</f>
        <v>45642.577685185184</v>
      </c>
      <c r="D4886" s="1" t="s">
        <v>320</v>
      </c>
      <c r="E4886" s="1" t="s">
        <v>406</v>
      </c>
    </row>
    <row r="4887" spans="1:5" x14ac:dyDescent="0.2">
      <c r="A4887" s="1" t="s">
        <v>1276</v>
      </c>
      <c r="B4887" s="1" t="s">
        <v>1069</v>
      </c>
      <c r="C4887" s="5">
        <f>DATE(2024, 12, 16) + TIME(13, 51, 52)</f>
        <v>45642.577685185184</v>
      </c>
      <c r="D4887" s="1" t="s">
        <v>320</v>
      </c>
      <c r="E4887" s="1" t="s">
        <v>406</v>
      </c>
    </row>
    <row r="4888" spans="1:5" x14ac:dyDescent="0.2">
      <c r="A4888" s="1" t="s">
        <v>1276</v>
      </c>
      <c r="B4888" s="1" t="s">
        <v>866</v>
      </c>
      <c r="C4888" s="5">
        <f>DATE(2024, 12, 16) + TIME(13, 51, 52)</f>
        <v>45642.577685185184</v>
      </c>
      <c r="D4888" s="1" t="s">
        <v>320</v>
      </c>
      <c r="E4888" s="1" t="s">
        <v>406</v>
      </c>
    </row>
    <row r="4889" spans="1:5" x14ac:dyDescent="0.2">
      <c r="A4889" s="1" t="s">
        <v>1276</v>
      </c>
      <c r="B4889" s="1" t="s">
        <v>1021</v>
      </c>
      <c r="C4889" s="5">
        <f>DATE(2024, 12, 16) + TIME(13, 42, 24)</f>
        <v>45642.571111111109</v>
      </c>
      <c r="D4889" s="1" t="s">
        <v>754</v>
      </c>
      <c r="E4889" s="1" t="s">
        <v>75</v>
      </c>
    </row>
    <row r="4890" spans="1:5" x14ac:dyDescent="0.2">
      <c r="A4890" s="1" t="s">
        <v>1276</v>
      </c>
      <c r="B4890" s="1" t="s">
        <v>22</v>
      </c>
      <c r="C4890" s="5">
        <f>DATE(2024, 12, 16) + TIME(13, 34, 30)</f>
        <v>45642.565625000003</v>
      </c>
      <c r="D4890" s="1" t="s">
        <v>269</v>
      </c>
      <c r="E4890" s="1" t="s">
        <v>748</v>
      </c>
    </row>
    <row r="4891" spans="1:5" x14ac:dyDescent="0.2">
      <c r="A4891" s="1" t="s">
        <v>1276</v>
      </c>
      <c r="B4891" s="1" t="s">
        <v>919</v>
      </c>
      <c r="C4891" s="5">
        <f>DATE(2024, 12, 16) + TIME(12, 39, 57)</f>
        <v>45642.527743055558</v>
      </c>
      <c r="D4891" s="1" t="s">
        <v>269</v>
      </c>
      <c r="E4891" s="1" t="s">
        <v>299</v>
      </c>
    </row>
    <row r="4892" spans="1:5" x14ac:dyDescent="0.2">
      <c r="A4892" s="1" t="s">
        <v>1276</v>
      </c>
      <c r="B4892" s="1" t="s">
        <v>14</v>
      </c>
      <c r="C4892" s="5">
        <f>DATE(2024, 12, 16) + TIME(12, 39, 57)</f>
        <v>45642.527743055558</v>
      </c>
      <c r="D4892" s="1" t="s">
        <v>269</v>
      </c>
      <c r="E4892" s="1" t="s">
        <v>299</v>
      </c>
    </row>
    <row r="4893" spans="1:5" x14ac:dyDescent="0.2">
      <c r="A4893" s="1" t="s">
        <v>1276</v>
      </c>
      <c r="B4893" s="1" t="s">
        <v>626</v>
      </c>
      <c r="C4893" s="5">
        <f>DATE(2024, 12, 16) + TIME(12, 39, 57)</f>
        <v>45642.527743055558</v>
      </c>
      <c r="D4893" s="1" t="s">
        <v>269</v>
      </c>
      <c r="E4893" s="1" t="s">
        <v>299</v>
      </c>
    </row>
    <row r="4894" spans="1:5" x14ac:dyDescent="0.2">
      <c r="A4894" s="1" t="s">
        <v>1276</v>
      </c>
      <c r="B4894" s="1" t="s">
        <v>228</v>
      </c>
      <c r="C4894" s="5">
        <f>DATE(2024, 12, 16) + TIME(7, 30, 34)</f>
        <v>45642.312893518516</v>
      </c>
      <c r="D4894" s="1" t="s">
        <v>640</v>
      </c>
      <c r="E4894" s="1" t="s">
        <v>500</v>
      </c>
    </row>
    <row r="4895" spans="1:5" x14ac:dyDescent="0.2">
      <c r="A4895" s="1" t="s">
        <v>1276</v>
      </c>
      <c r="B4895" s="1" t="s">
        <v>409</v>
      </c>
      <c r="C4895" s="5">
        <f>DATE(2024, 12, 16) + TIME(7, 14, 20)</f>
        <v>45642.301620370374</v>
      </c>
      <c r="D4895" s="1" t="s">
        <v>640</v>
      </c>
      <c r="E4895" s="1" t="s">
        <v>333</v>
      </c>
    </row>
    <row r="4896" spans="1:5" x14ac:dyDescent="0.2">
      <c r="A4896" s="1" t="s">
        <v>1276</v>
      </c>
      <c r="B4896" s="1" t="s">
        <v>177</v>
      </c>
      <c r="C4896" s="5">
        <f>DATE(2024, 12, 12) + TIME(16, 14, 24)</f>
        <v>45638.676666666666</v>
      </c>
      <c r="D4896" s="1" t="s">
        <v>640</v>
      </c>
      <c r="E4896" s="1" t="s">
        <v>667</v>
      </c>
    </row>
    <row r="4897" spans="1:5" x14ac:dyDescent="0.2">
      <c r="A4897" s="1" t="s">
        <v>1276</v>
      </c>
      <c r="B4897" s="1" t="s">
        <v>409</v>
      </c>
      <c r="C4897" s="5">
        <f>DATE(2024, 12, 12) + TIME(16, 9, 35)</f>
        <v>45638.673321759263</v>
      </c>
      <c r="D4897" s="1" t="s">
        <v>754</v>
      </c>
      <c r="E4897" s="1" t="s">
        <v>75</v>
      </c>
    </row>
    <row r="4898" spans="1:5" x14ac:dyDescent="0.2">
      <c r="A4898" s="1" t="s">
        <v>1276</v>
      </c>
      <c r="B4898" s="1" t="s">
        <v>1091</v>
      </c>
      <c r="C4898" s="5">
        <f>DATE(2024, 12, 12) + TIME(15, 53, 58)</f>
        <v>45638.662476851852</v>
      </c>
      <c r="D4898" s="1" t="s">
        <v>754</v>
      </c>
      <c r="E4898" s="1" t="s">
        <v>870</v>
      </c>
    </row>
    <row r="4899" spans="1:5" x14ac:dyDescent="0.2">
      <c r="A4899" s="1" t="s">
        <v>1276</v>
      </c>
      <c r="B4899" s="1" t="s">
        <v>1092</v>
      </c>
      <c r="C4899" s="5">
        <f>DATE(2024, 12, 12) + TIME(14, 28, 59)</f>
        <v>45638.603460648148</v>
      </c>
      <c r="D4899" s="1" t="s">
        <v>3</v>
      </c>
      <c r="E4899" s="1" t="s">
        <v>211</v>
      </c>
    </row>
    <row r="4900" spans="1:5" x14ac:dyDescent="0.2">
      <c r="A4900" s="1" t="s">
        <v>1276</v>
      </c>
      <c r="B4900" s="1" t="s">
        <v>542</v>
      </c>
      <c r="C4900" s="5">
        <f>DATE(2024, 12, 12) + TIME(14, 10, 31)</f>
        <v>45638.590636574074</v>
      </c>
      <c r="D4900" s="1" t="s">
        <v>638</v>
      </c>
      <c r="E4900" s="1" t="s">
        <v>397</v>
      </c>
    </row>
    <row r="4901" spans="1:5" x14ac:dyDescent="0.2">
      <c r="A4901" s="1" t="s">
        <v>1276</v>
      </c>
      <c r="B4901" s="1" t="s">
        <v>247</v>
      </c>
      <c r="C4901" s="5">
        <f>DATE(2024, 12, 12) + TIME(13, 54, 6)</f>
        <v>45638.579236111109</v>
      </c>
      <c r="D4901" s="1" t="s">
        <v>754</v>
      </c>
      <c r="E4901" s="1" t="s">
        <v>330</v>
      </c>
    </row>
    <row r="4902" spans="1:5" x14ac:dyDescent="0.2">
      <c r="A4902" s="1" t="s">
        <v>1276</v>
      </c>
      <c r="B4902" s="1" t="s">
        <v>542</v>
      </c>
      <c r="C4902" s="5">
        <f>DATE(2024, 12, 12) + TIME(13, 38, 53)</f>
        <v>45638.568668981483</v>
      </c>
      <c r="D4902" s="1" t="s">
        <v>754</v>
      </c>
      <c r="E4902" s="1" t="s">
        <v>330</v>
      </c>
    </row>
    <row r="4903" spans="1:5" x14ac:dyDescent="0.2">
      <c r="A4903" s="1" t="s">
        <v>1276</v>
      </c>
      <c r="B4903" s="1" t="s">
        <v>72</v>
      </c>
      <c r="C4903" s="5">
        <f>DATE(2024, 12, 12) + TIME(13, 37, 38)</f>
        <v>45638.567800925928</v>
      </c>
      <c r="D4903" s="1" t="s">
        <v>754</v>
      </c>
      <c r="E4903" s="1" t="s">
        <v>441</v>
      </c>
    </row>
    <row r="4904" spans="1:5" x14ac:dyDescent="0.2">
      <c r="A4904" s="1" t="s">
        <v>1276</v>
      </c>
      <c r="B4904" s="1" t="s">
        <v>1069</v>
      </c>
      <c r="C4904" s="5">
        <f>DATE(2024, 12, 12) + TIME(13, 37, 38)</f>
        <v>45638.567800925928</v>
      </c>
      <c r="D4904" s="1" t="s">
        <v>754</v>
      </c>
      <c r="E4904" s="1" t="s">
        <v>441</v>
      </c>
    </row>
    <row r="4905" spans="1:5" x14ac:dyDescent="0.2">
      <c r="A4905" s="1" t="s">
        <v>1276</v>
      </c>
      <c r="B4905" s="1" t="s">
        <v>932</v>
      </c>
      <c r="C4905" s="5">
        <f>DATE(2024, 12, 12) + TIME(13, 10, 55)</f>
        <v>45638.549247685187</v>
      </c>
      <c r="D4905" s="1" t="s">
        <v>638</v>
      </c>
      <c r="E4905" s="1" t="s">
        <v>147</v>
      </c>
    </row>
    <row r="4906" spans="1:5" x14ac:dyDescent="0.2">
      <c r="A4906" s="1" t="s">
        <v>1276</v>
      </c>
      <c r="B4906" s="1" t="s">
        <v>179</v>
      </c>
      <c r="C4906" s="5">
        <f>DATE(2024, 12, 12) + TIME(12, 42, 56)</f>
        <v>45638.529814814814</v>
      </c>
      <c r="D4906" s="1" t="s">
        <v>3</v>
      </c>
      <c r="E4906" s="1" t="s">
        <v>684</v>
      </c>
    </row>
    <row r="4907" spans="1:5" x14ac:dyDescent="0.2">
      <c r="A4907" s="1" t="s">
        <v>1276</v>
      </c>
      <c r="B4907" s="1" t="s">
        <v>161</v>
      </c>
      <c r="C4907" s="5">
        <f>DATE(2024, 12, 12) + TIME(12, 42, 56)</f>
        <v>45638.529814814814</v>
      </c>
      <c r="D4907" s="1" t="s">
        <v>3</v>
      </c>
      <c r="E4907" s="1" t="s">
        <v>684</v>
      </c>
    </row>
    <row r="4908" spans="1:5" x14ac:dyDescent="0.2">
      <c r="A4908" s="1" t="s">
        <v>1276</v>
      </c>
      <c r="B4908" s="1" t="s">
        <v>72</v>
      </c>
      <c r="C4908" s="5">
        <f>DATE(2024, 12, 12) + TIME(11, 59, 36)</f>
        <v>45638.499722222223</v>
      </c>
      <c r="D4908" s="1" t="s">
        <v>320</v>
      </c>
      <c r="E4908" s="1" t="s">
        <v>2</v>
      </c>
    </row>
    <row r="4909" spans="1:5" x14ac:dyDescent="0.2">
      <c r="A4909" s="1" t="s">
        <v>1276</v>
      </c>
      <c r="B4909" s="1" t="s">
        <v>235</v>
      </c>
      <c r="C4909" s="5">
        <f>DATE(2024, 12, 12) + TIME(11, 39, 46)</f>
        <v>45638.485949074071</v>
      </c>
      <c r="D4909" s="1" t="s">
        <v>506</v>
      </c>
      <c r="E4909" s="1" t="s">
        <v>867</v>
      </c>
    </row>
    <row r="4910" spans="1:5" x14ac:dyDescent="0.2">
      <c r="A4910" s="1" t="s">
        <v>1276</v>
      </c>
      <c r="B4910" s="1" t="s">
        <v>931</v>
      </c>
      <c r="C4910" s="5">
        <f>DATE(2024, 12, 12) + TIME(11, 29, 5)</f>
        <v>45638.478530092594</v>
      </c>
      <c r="D4910" s="1" t="s">
        <v>216</v>
      </c>
      <c r="E4910" s="1" t="s">
        <v>466</v>
      </c>
    </row>
    <row r="4911" spans="1:5" x14ac:dyDescent="0.2">
      <c r="A4911" s="1" t="s">
        <v>1276</v>
      </c>
      <c r="B4911" s="1" t="s">
        <v>72</v>
      </c>
      <c r="C4911" s="5">
        <f>DATE(2024, 12, 12) + TIME(11, 28, 47)</f>
        <v>45638.478321759256</v>
      </c>
      <c r="D4911" s="1" t="s">
        <v>640</v>
      </c>
      <c r="E4911" s="1" t="s">
        <v>70</v>
      </c>
    </row>
    <row r="4912" spans="1:5" x14ac:dyDescent="0.2">
      <c r="A4912" s="1" t="s">
        <v>1276</v>
      </c>
      <c r="B4912" s="1" t="s">
        <v>817</v>
      </c>
      <c r="C4912" s="5">
        <f>DATE(2024, 12, 12) + TIME(10, 11, 21)</f>
        <v>45638.42454861111</v>
      </c>
      <c r="D4912" s="1" t="s">
        <v>216</v>
      </c>
      <c r="E4912" s="1" t="s">
        <v>274</v>
      </c>
    </row>
    <row r="4913" spans="1:5" x14ac:dyDescent="0.2">
      <c r="A4913" s="1" t="s">
        <v>1276</v>
      </c>
      <c r="B4913" s="1" t="s">
        <v>69</v>
      </c>
      <c r="C4913" s="5">
        <f>DATE(2024, 12, 12) + TIME(10, 11, 21)</f>
        <v>45638.42454861111</v>
      </c>
      <c r="D4913" s="1" t="s">
        <v>216</v>
      </c>
      <c r="E4913" s="1" t="s">
        <v>274</v>
      </c>
    </row>
    <row r="4914" spans="1:5" x14ac:dyDescent="0.2">
      <c r="A4914" s="1" t="s">
        <v>1276</v>
      </c>
      <c r="B4914" s="1" t="s">
        <v>60</v>
      </c>
      <c r="C4914" s="5">
        <f>DATE(2024, 12, 12) + TIME(10, 11, 21)</f>
        <v>45638.42454861111</v>
      </c>
      <c r="D4914" s="1" t="s">
        <v>216</v>
      </c>
      <c r="E4914" s="1" t="s">
        <v>274</v>
      </c>
    </row>
    <row r="4915" spans="1:5" x14ac:dyDescent="0.2">
      <c r="A4915" s="1" t="s">
        <v>1276</v>
      </c>
      <c r="B4915" s="1" t="s">
        <v>1069</v>
      </c>
      <c r="C4915" s="5">
        <f>DATE(2024, 12, 11) + TIME(16, 21, 56)</f>
        <v>45637.681898148148</v>
      </c>
      <c r="D4915" s="1" t="s">
        <v>506</v>
      </c>
      <c r="E4915" s="1" t="s">
        <v>158</v>
      </c>
    </row>
    <row r="4916" spans="1:5" x14ac:dyDescent="0.2">
      <c r="A4916" s="1" t="s">
        <v>1276</v>
      </c>
      <c r="B4916" s="1" t="s">
        <v>577</v>
      </c>
      <c r="C4916" s="5">
        <f>DATE(2024, 12, 11) + TIME(16, 4, 8)</f>
        <v>45637.669537037036</v>
      </c>
      <c r="D4916" s="1" t="s">
        <v>148</v>
      </c>
      <c r="E4916" s="1" t="s">
        <v>621</v>
      </c>
    </row>
    <row r="4917" spans="1:5" x14ac:dyDescent="0.2">
      <c r="A4917" s="1" t="s">
        <v>1276</v>
      </c>
      <c r="B4917" s="1" t="s">
        <v>285</v>
      </c>
      <c r="C4917" s="5">
        <f>DATE(2024, 12, 11) + TIME(16, 4, 8)</f>
        <v>45637.669537037036</v>
      </c>
      <c r="D4917" s="1" t="s">
        <v>148</v>
      </c>
      <c r="E4917" s="1" t="s">
        <v>621</v>
      </c>
    </row>
    <row r="4918" spans="1:5" x14ac:dyDescent="0.2">
      <c r="A4918" s="1" t="s">
        <v>1276</v>
      </c>
      <c r="B4918" s="1" t="s">
        <v>72</v>
      </c>
      <c r="C4918" s="5">
        <f>DATE(2024, 12, 11) + TIME(15, 17, 9)</f>
        <v>45637.63690972222</v>
      </c>
      <c r="D4918" s="1" t="s">
        <v>869</v>
      </c>
      <c r="E4918" s="1" t="s">
        <v>1093</v>
      </c>
    </row>
    <row r="4919" spans="1:5" x14ac:dyDescent="0.2">
      <c r="A4919" s="1" t="s">
        <v>1276</v>
      </c>
      <c r="B4919" s="1" t="s">
        <v>228</v>
      </c>
      <c r="C4919" s="5">
        <f>DATE(2024, 12, 11) + TIME(14, 56, 21)</f>
        <v>45637.622465277775</v>
      </c>
      <c r="D4919" s="1" t="s">
        <v>638</v>
      </c>
      <c r="E4919" s="1" t="s">
        <v>198</v>
      </c>
    </row>
    <row r="4920" spans="1:5" x14ac:dyDescent="0.2">
      <c r="A4920" s="1" t="s">
        <v>1276</v>
      </c>
      <c r="B4920" s="1" t="s">
        <v>716</v>
      </c>
      <c r="C4920" s="5">
        <f>DATE(2024, 12, 11) + TIME(13, 45, 16)</f>
        <v>45637.573101851849</v>
      </c>
      <c r="D4920" s="1" t="s">
        <v>64</v>
      </c>
      <c r="E4920" s="1" t="s">
        <v>337</v>
      </c>
    </row>
    <row r="4921" spans="1:5" x14ac:dyDescent="0.2">
      <c r="A4921" s="1" t="s">
        <v>1276</v>
      </c>
      <c r="B4921" s="1" t="s">
        <v>72</v>
      </c>
      <c r="C4921" s="5">
        <f>DATE(2024, 12, 11) + TIME(13, 34, 41)</f>
        <v>45637.565752314818</v>
      </c>
      <c r="D4921" s="1" t="s">
        <v>126</v>
      </c>
      <c r="E4921" s="1" t="s">
        <v>380</v>
      </c>
    </row>
    <row r="4922" spans="1:5" x14ac:dyDescent="0.2">
      <c r="A4922" s="1" t="s">
        <v>1276</v>
      </c>
      <c r="B4922" s="1" t="s">
        <v>81</v>
      </c>
      <c r="C4922" s="5">
        <f>DATE(2024, 12, 11) + TIME(13, 21, 3)</f>
        <v>45637.556284722225</v>
      </c>
      <c r="D4922" s="1" t="s">
        <v>65</v>
      </c>
      <c r="E4922" s="1" t="s">
        <v>432</v>
      </c>
    </row>
    <row r="4923" spans="1:5" x14ac:dyDescent="0.2">
      <c r="A4923" s="1" t="s">
        <v>1276</v>
      </c>
      <c r="B4923" s="1" t="s">
        <v>72</v>
      </c>
      <c r="C4923" s="5">
        <f>DATE(2024, 12, 11) + TIME(13, 12, 29)</f>
        <v>45637.550335648149</v>
      </c>
      <c r="D4923" s="1" t="s">
        <v>126</v>
      </c>
      <c r="E4923" s="1" t="s">
        <v>249</v>
      </c>
    </row>
    <row r="4924" spans="1:5" x14ac:dyDescent="0.2">
      <c r="A4924" s="1" t="s">
        <v>1276</v>
      </c>
      <c r="B4924" s="1" t="s">
        <v>1048</v>
      </c>
      <c r="C4924" s="5">
        <f>DATE(2024, 12, 11) + TIME(13, 8, 36)</f>
        <v>45637.547638888886</v>
      </c>
      <c r="D4924" s="1" t="s">
        <v>216</v>
      </c>
      <c r="E4924" s="1" t="s">
        <v>321</v>
      </c>
    </row>
    <row r="4925" spans="1:5" x14ac:dyDescent="0.2">
      <c r="A4925" s="1" t="s">
        <v>1276</v>
      </c>
      <c r="B4925" s="1" t="s">
        <v>285</v>
      </c>
      <c r="C4925" s="5">
        <f>DATE(2024, 12, 11) + TIME(12, 42, 17)</f>
        <v>45637.529363425929</v>
      </c>
      <c r="D4925" s="1" t="s">
        <v>64</v>
      </c>
      <c r="E4925" s="1" t="s">
        <v>873</v>
      </c>
    </row>
    <row r="4926" spans="1:5" x14ac:dyDescent="0.2">
      <c r="A4926" s="1" t="s">
        <v>1276</v>
      </c>
      <c r="B4926" s="1" t="s">
        <v>580</v>
      </c>
      <c r="C4926" s="5">
        <f>DATE(2024, 12, 11) + TIME(12, 18, 32)</f>
        <v>45637.512870370374</v>
      </c>
      <c r="D4926" s="1" t="s">
        <v>459</v>
      </c>
      <c r="E4926" s="1" t="s">
        <v>19</v>
      </c>
    </row>
    <row r="4927" spans="1:5" x14ac:dyDescent="0.2">
      <c r="A4927" s="1" t="s">
        <v>1276</v>
      </c>
      <c r="B4927" s="1" t="s">
        <v>323</v>
      </c>
      <c r="C4927" s="5">
        <f>DATE(2024, 12, 11) + TIME(10, 17, 6)</f>
        <v>45637.428541666668</v>
      </c>
      <c r="D4927" s="1" t="s">
        <v>869</v>
      </c>
      <c r="E4927" s="1" t="s">
        <v>1093</v>
      </c>
    </row>
    <row r="4928" spans="1:5" x14ac:dyDescent="0.2">
      <c r="A4928" s="1" t="s">
        <v>1276</v>
      </c>
      <c r="B4928" s="1" t="s">
        <v>577</v>
      </c>
      <c r="C4928" s="5">
        <f>DATE(2024, 12, 11) + TIME(10, 10, 3)</f>
        <v>45637.423645833333</v>
      </c>
      <c r="D4928" s="1" t="s">
        <v>869</v>
      </c>
      <c r="E4928" s="1" t="s">
        <v>1093</v>
      </c>
    </row>
    <row r="4929" spans="1:5" x14ac:dyDescent="0.2">
      <c r="A4929" s="1" t="s">
        <v>1276</v>
      </c>
      <c r="B4929" s="1" t="s">
        <v>716</v>
      </c>
      <c r="C4929" s="5">
        <f>DATE(2024, 12, 11) + TIME(10, 10, 3)</f>
        <v>45637.423645833333</v>
      </c>
      <c r="D4929" s="1" t="s">
        <v>869</v>
      </c>
      <c r="E4929" s="1" t="s">
        <v>1093</v>
      </c>
    </row>
    <row r="4930" spans="1:5" x14ac:dyDescent="0.2">
      <c r="A4930" s="1" t="s">
        <v>1276</v>
      </c>
      <c r="B4930" s="1" t="s">
        <v>72</v>
      </c>
      <c r="C4930" s="5">
        <f>DATE(2024, 12, 11) + TIME(9, 47, 3)</f>
        <v>45637.407673611109</v>
      </c>
      <c r="D4930" s="1" t="s">
        <v>459</v>
      </c>
      <c r="E4930" s="1" t="s">
        <v>836</v>
      </c>
    </row>
    <row r="4931" spans="1:5" x14ac:dyDescent="0.2">
      <c r="A4931" s="1" t="s">
        <v>1276</v>
      </c>
      <c r="B4931" s="1" t="s">
        <v>301</v>
      </c>
      <c r="C4931" s="5">
        <f>DATE(2024, 12, 10) + TIME(15, 44, 2)</f>
        <v>45636.655578703707</v>
      </c>
      <c r="D4931" s="1" t="s">
        <v>3</v>
      </c>
      <c r="E4931" s="1" t="s">
        <v>571</v>
      </c>
    </row>
    <row r="4932" spans="1:5" x14ac:dyDescent="0.2">
      <c r="A4932" s="1" t="s">
        <v>1276</v>
      </c>
      <c r="B4932" s="1" t="s">
        <v>24</v>
      </c>
      <c r="C4932" s="5">
        <f>DATE(2024, 12, 10) + TIME(15, 41, 50)</f>
        <v>45636.654050925928</v>
      </c>
      <c r="D4932" s="1" t="s">
        <v>506</v>
      </c>
      <c r="E4932" s="1" t="s">
        <v>823</v>
      </c>
    </row>
    <row r="4933" spans="1:5" x14ac:dyDescent="0.2">
      <c r="A4933" s="1" t="s">
        <v>1276</v>
      </c>
      <c r="B4933" s="1" t="s">
        <v>1094</v>
      </c>
      <c r="C4933" s="5">
        <f>DATE(2024, 12, 10) + TIME(14, 28, 9)</f>
        <v>45636.602881944447</v>
      </c>
      <c r="D4933" s="1" t="s">
        <v>566</v>
      </c>
      <c r="E4933" s="1" t="s">
        <v>1042</v>
      </c>
    </row>
    <row r="4934" spans="1:5" x14ac:dyDescent="0.2">
      <c r="A4934" s="1" t="s">
        <v>1276</v>
      </c>
      <c r="B4934" s="1" t="s">
        <v>716</v>
      </c>
      <c r="C4934" s="5">
        <f>DATE(2024, 12, 10) + TIME(14, 28, 9)</f>
        <v>45636.602881944447</v>
      </c>
      <c r="D4934" s="1" t="s">
        <v>566</v>
      </c>
      <c r="E4934" s="1" t="s">
        <v>1042</v>
      </c>
    </row>
    <row r="4935" spans="1:5" x14ac:dyDescent="0.2">
      <c r="A4935" s="1" t="s">
        <v>1276</v>
      </c>
      <c r="B4935" s="1" t="s">
        <v>9</v>
      </c>
      <c r="C4935" s="5">
        <f>DATE(2024, 12, 10) + TIME(14, 28, 8)</f>
        <v>45636.602870370371</v>
      </c>
      <c r="D4935" s="1" t="s">
        <v>566</v>
      </c>
      <c r="E4935" s="1" t="s">
        <v>1042</v>
      </c>
    </row>
    <row r="4936" spans="1:5" x14ac:dyDescent="0.2">
      <c r="A4936" s="1" t="s">
        <v>1276</v>
      </c>
      <c r="B4936" s="1" t="s">
        <v>817</v>
      </c>
      <c r="C4936" s="5">
        <f>DATE(2024, 12, 10) + TIME(14, 28, 8)</f>
        <v>45636.602870370371</v>
      </c>
      <c r="D4936" s="1" t="s">
        <v>566</v>
      </c>
      <c r="E4936" s="1" t="s">
        <v>1042</v>
      </c>
    </row>
    <row r="4937" spans="1:5" x14ac:dyDescent="0.2">
      <c r="A4937" s="1" t="s">
        <v>1276</v>
      </c>
      <c r="B4937" s="1" t="s">
        <v>63</v>
      </c>
      <c r="C4937" s="5">
        <f>DATE(2024, 12, 10) + TIME(14, 28, 8)</f>
        <v>45636.602870370371</v>
      </c>
      <c r="D4937" s="1" t="s">
        <v>566</v>
      </c>
      <c r="E4937" s="1" t="s">
        <v>1042</v>
      </c>
    </row>
    <row r="4938" spans="1:5" x14ac:dyDescent="0.2">
      <c r="A4938" s="1" t="s">
        <v>1276</v>
      </c>
      <c r="B4938" s="1" t="s">
        <v>583</v>
      </c>
      <c r="C4938" s="5">
        <f>DATE(2024, 12, 10) + TIME(11, 39, 21)</f>
        <v>45636.485659722224</v>
      </c>
      <c r="D4938" s="1" t="s">
        <v>65</v>
      </c>
      <c r="E4938" s="1" t="s">
        <v>152</v>
      </c>
    </row>
    <row r="4939" spans="1:5" x14ac:dyDescent="0.2">
      <c r="A4939" s="1" t="s">
        <v>1276</v>
      </c>
      <c r="B4939" s="1" t="s">
        <v>782</v>
      </c>
      <c r="C4939" s="5">
        <f>DATE(2024, 12, 10) + TIME(11, 39, 21)</f>
        <v>45636.485659722224</v>
      </c>
      <c r="D4939" s="1" t="s">
        <v>65</v>
      </c>
      <c r="E4939" s="1" t="s">
        <v>152</v>
      </c>
    </row>
    <row r="4940" spans="1:5" x14ac:dyDescent="0.2">
      <c r="A4940" s="1" t="s">
        <v>1276</v>
      </c>
      <c r="B4940" s="1" t="s">
        <v>1095</v>
      </c>
      <c r="C4940" s="5">
        <f>DATE(2024, 12, 10) + TIME(11, 5, 55)</f>
        <v>45636.462442129632</v>
      </c>
      <c r="D4940" s="1" t="s">
        <v>871</v>
      </c>
      <c r="E4940" s="1" t="s">
        <v>149</v>
      </c>
    </row>
    <row r="4941" spans="1:5" x14ac:dyDescent="0.2">
      <c r="A4941" s="1" t="s">
        <v>1276</v>
      </c>
      <c r="B4941" s="1" t="s">
        <v>1095</v>
      </c>
      <c r="C4941" s="5">
        <f>DATE(2024, 12, 10) + TIME(10, 53, 12)</f>
        <v>45636.453611111108</v>
      </c>
      <c r="D4941" s="1" t="s">
        <v>871</v>
      </c>
      <c r="E4941" s="1" t="s">
        <v>1096</v>
      </c>
    </row>
    <row r="4942" spans="1:5" x14ac:dyDescent="0.2">
      <c r="A4942" s="1" t="s">
        <v>1276</v>
      </c>
      <c r="B4942" s="1" t="s">
        <v>919</v>
      </c>
      <c r="C4942" s="5">
        <f>DATE(2024, 12, 10) + TIME(6, 8, 21)</f>
        <v>45636.255798611113</v>
      </c>
      <c r="D4942" s="1" t="s">
        <v>640</v>
      </c>
      <c r="E4942" s="1" t="s">
        <v>195</v>
      </c>
    </row>
    <row r="4943" spans="1:5" x14ac:dyDescent="0.2">
      <c r="A4943" s="1" t="s">
        <v>1276</v>
      </c>
      <c r="B4943" s="1" t="s">
        <v>866</v>
      </c>
      <c r="C4943" s="5">
        <f>DATE(2024, 12, 9) + TIME(16, 3, 42)</f>
        <v>45635.669236111113</v>
      </c>
      <c r="D4943" s="1" t="s">
        <v>320</v>
      </c>
      <c r="E4943" s="1" t="s">
        <v>406</v>
      </c>
    </row>
    <row r="4944" spans="1:5" x14ac:dyDescent="0.2">
      <c r="A4944" s="1" t="s">
        <v>1276</v>
      </c>
      <c r="B4944" s="1" t="s">
        <v>1021</v>
      </c>
      <c r="C4944" s="5">
        <f>DATE(2024, 12, 9) + TIME(16, 3, 42)</f>
        <v>45635.669236111113</v>
      </c>
      <c r="D4944" s="1" t="s">
        <v>320</v>
      </c>
      <c r="E4944" s="1" t="s">
        <v>406</v>
      </c>
    </row>
    <row r="4945" spans="1:5" x14ac:dyDescent="0.2">
      <c r="A4945" s="1" t="s">
        <v>1276</v>
      </c>
      <c r="B4945" s="1" t="s">
        <v>234</v>
      </c>
      <c r="C4945" s="5">
        <f>DATE(2024, 12, 9) + TIME(15, 25, 30)</f>
        <v>45635.642708333333</v>
      </c>
      <c r="D4945" s="1" t="s">
        <v>871</v>
      </c>
      <c r="E4945" s="1" t="s">
        <v>839</v>
      </c>
    </row>
    <row r="4946" spans="1:5" x14ac:dyDescent="0.2">
      <c r="A4946" s="1" t="s">
        <v>1276</v>
      </c>
      <c r="B4946" s="1" t="s">
        <v>271</v>
      </c>
      <c r="C4946" s="5">
        <f>DATE(2024, 12, 9) + TIME(14, 13, 21)</f>
        <v>45635.592604166668</v>
      </c>
      <c r="D4946" s="1" t="s">
        <v>1054</v>
      </c>
      <c r="E4946" s="1" t="s">
        <v>210</v>
      </c>
    </row>
    <row r="4947" spans="1:5" x14ac:dyDescent="0.2">
      <c r="A4947" s="1" t="s">
        <v>1276</v>
      </c>
      <c r="B4947" s="1" t="s">
        <v>951</v>
      </c>
      <c r="C4947" s="5">
        <f>DATE(2024, 12, 9) + TIME(14, 13, 20)</f>
        <v>45635.592592592591</v>
      </c>
      <c r="D4947" s="1" t="s">
        <v>1054</v>
      </c>
      <c r="E4947" s="1" t="s">
        <v>210</v>
      </c>
    </row>
    <row r="4948" spans="1:5" x14ac:dyDescent="0.2">
      <c r="A4948" s="1" t="s">
        <v>1276</v>
      </c>
      <c r="B4948" s="1" t="s">
        <v>14</v>
      </c>
      <c r="C4948" s="5">
        <f>DATE(2024, 12, 9) + TIME(14, 13, 20)</f>
        <v>45635.592592592591</v>
      </c>
      <c r="D4948" s="1" t="s">
        <v>1054</v>
      </c>
      <c r="E4948" s="1" t="s">
        <v>210</v>
      </c>
    </row>
    <row r="4949" spans="1:5" x14ac:dyDescent="0.2">
      <c r="A4949" s="1" t="s">
        <v>1276</v>
      </c>
      <c r="B4949" s="1" t="s">
        <v>328</v>
      </c>
      <c r="C4949" s="5">
        <f>DATE(2024, 12, 9) + TIME(13, 7, 13)</f>
        <v>45635.546678240738</v>
      </c>
      <c r="D4949" s="1" t="s">
        <v>5</v>
      </c>
      <c r="E4949" s="1" t="s">
        <v>599</v>
      </c>
    </row>
    <row r="4950" spans="1:5" x14ac:dyDescent="0.2">
      <c r="A4950" s="1" t="s">
        <v>1276</v>
      </c>
      <c r="B4950" s="1" t="s">
        <v>72</v>
      </c>
      <c r="C4950" s="5">
        <f>DATE(2024, 12, 9) + TIME(13, 7, 12)</f>
        <v>45635.546666666669</v>
      </c>
      <c r="D4950" s="1" t="s">
        <v>5</v>
      </c>
      <c r="E4950" s="1" t="s">
        <v>599</v>
      </c>
    </row>
    <row r="4951" spans="1:5" x14ac:dyDescent="0.2">
      <c r="A4951" s="1" t="s">
        <v>1276</v>
      </c>
      <c r="B4951" s="1" t="s">
        <v>69</v>
      </c>
      <c r="C4951" s="5">
        <f>DATE(2024, 12, 9) + TIME(12, 49, 18)</f>
        <v>45635.534236111111</v>
      </c>
      <c r="D4951" s="1" t="s">
        <v>216</v>
      </c>
      <c r="E4951" s="1" t="s">
        <v>607</v>
      </c>
    </row>
    <row r="4952" spans="1:5" x14ac:dyDescent="0.2">
      <c r="A4952" s="1" t="s">
        <v>1276</v>
      </c>
      <c r="B4952" s="1" t="s">
        <v>271</v>
      </c>
      <c r="C4952" s="5">
        <f>DATE(2024, 12, 9) + TIME(12, 46, 16)</f>
        <v>45635.532129629632</v>
      </c>
      <c r="D4952" s="1" t="s">
        <v>450</v>
      </c>
      <c r="E4952" s="1" t="s">
        <v>573</v>
      </c>
    </row>
    <row r="4953" spans="1:5" x14ac:dyDescent="0.2">
      <c r="A4953" s="1" t="s">
        <v>1276</v>
      </c>
      <c r="B4953" s="1" t="s">
        <v>72</v>
      </c>
      <c r="C4953" s="5">
        <f>DATE(2024, 12, 9) + TIME(12, 45, 24)</f>
        <v>45635.531527777777</v>
      </c>
      <c r="D4953" s="1" t="s">
        <v>5</v>
      </c>
      <c r="E4953" s="1" t="s">
        <v>92</v>
      </c>
    </row>
    <row r="4954" spans="1:5" x14ac:dyDescent="0.2">
      <c r="A4954" s="1" t="s">
        <v>1276</v>
      </c>
      <c r="B4954" s="1" t="s">
        <v>69</v>
      </c>
      <c r="C4954" s="5">
        <f>DATE(2024, 12, 9) + TIME(12, 3, 52)</f>
        <v>45635.502685185187</v>
      </c>
      <c r="D4954" s="1" t="s">
        <v>640</v>
      </c>
      <c r="E4954" s="1" t="s">
        <v>500</v>
      </c>
    </row>
    <row r="4955" spans="1:5" x14ac:dyDescent="0.2">
      <c r="A4955" s="1" t="s">
        <v>1276</v>
      </c>
      <c r="B4955" s="1" t="s">
        <v>932</v>
      </c>
      <c r="C4955" s="5">
        <f>DATE(2024, 12, 9) + TIME(12, 3, 51)</f>
        <v>45635.50267361111</v>
      </c>
      <c r="D4955" s="1" t="s">
        <v>640</v>
      </c>
      <c r="E4955" s="1" t="s">
        <v>500</v>
      </c>
    </row>
    <row r="4956" spans="1:5" x14ac:dyDescent="0.2">
      <c r="A4956" s="1" t="s">
        <v>1276</v>
      </c>
      <c r="B4956" s="1" t="s">
        <v>716</v>
      </c>
      <c r="C4956" s="5">
        <f>DATE(2024, 12, 9) + TIME(12, 3, 51)</f>
        <v>45635.50267361111</v>
      </c>
      <c r="D4956" s="1" t="s">
        <v>640</v>
      </c>
      <c r="E4956" s="1" t="s">
        <v>500</v>
      </c>
    </row>
    <row r="4957" spans="1:5" x14ac:dyDescent="0.2">
      <c r="A4957" s="1" t="s">
        <v>1276</v>
      </c>
      <c r="B4957" s="1" t="s">
        <v>468</v>
      </c>
      <c r="C4957" s="5">
        <f>DATE(2024, 12, 9) + TIME(12, 3, 51)</f>
        <v>45635.50267361111</v>
      </c>
      <c r="D4957" s="1" t="s">
        <v>640</v>
      </c>
      <c r="E4957" s="1" t="s">
        <v>500</v>
      </c>
    </row>
    <row r="4958" spans="1:5" x14ac:dyDescent="0.2">
      <c r="A4958" s="1" t="s">
        <v>1276</v>
      </c>
      <c r="B4958" s="1" t="s">
        <v>72</v>
      </c>
      <c r="C4958" s="5">
        <f>DATE(2024, 12, 9) + TIME(11, 17, 3)</f>
        <v>45635.470173611109</v>
      </c>
      <c r="D4958" s="1" t="s">
        <v>320</v>
      </c>
      <c r="E4958" s="1" t="s">
        <v>948</v>
      </c>
    </row>
    <row r="4959" spans="1:5" x14ac:dyDescent="0.2">
      <c r="A4959" s="1" t="s">
        <v>1276</v>
      </c>
      <c r="B4959" s="1" t="s">
        <v>542</v>
      </c>
      <c r="C4959" s="5">
        <f>DATE(2024, 12, 8) + TIME(10, 9, 15)</f>
        <v>45634.423090277778</v>
      </c>
      <c r="D4959" s="1" t="s">
        <v>64</v>
      </c>
      <c r="E4959" s="1" t="s">
        <v>220</v>
      </c>
    </row>
    <row r="4960" spans="1:5" x14ac:dyDescent="0.2">
      <c r="A4960" s="1" t="s">
        <v>1276</v>
      </c>
      <c r="B4960" s="1" t="s">
        <v>828</v>
      </c>
      <c r="C4960" s="5">
        <f>DATE(2024, 12, 5) + TIME(16, 17, 30)</f>
        <v>45631.678819444445</v>
      </c>
      <c r="D4960" s="1" t="s">
        <v>566</v>
      </c>
      <c r="E4960" s="1" t="s">
        <v>324</v>
      </c>
    </row>
    <row r="4961" spans="1:5" x14ac:dyDescent="0.2">
      <c r="A4961" s="1" t="s">
        <v>1276</v>
      </c>
      <c r="B4961" s="1" t="s">
        <v>235</v>
      </c>
      <c r="C4961" s="5">
        <f>DATE(2024, 12, 5) + TIME(16, 17, 29)</f>
        <v>45631.678807870368</v>
      </c>
      <c r="D4961" s="1" t="s">
        <v>566</v>
      </c>
      <c r="E4961" s="1" t="s">
        <v>324</v>
      </c>
    </row>
    <row r="4962" spans="1:5" x14ac:dyDescent="0.2">
      <c r="A4962" s="1" t="s">
        <v>1276</v>
      </c>
      <c r="B4962" s="1" t="s">
        <v>29</v>
      </c>
      <c r="C4962" s="5">
        <f>DATE(2024, 12, 5) + TIME(16, 9, 50)</f>
        <v>45631.673495370371</v>
      </c>
      <c r="D4962" s="1" t="s">
        <v>506</v>
      </c>
      <c r="E4962" s="1" t="s">
        <v>867</v>
      </c>
    </row>
    <row r="4963" spans="1:5" x14ac:dyDescent="0.2">
      <c r="A4963" s="1" t="s">
        <v>1276</v>
      </c>
      <c r="B4963" s="1" t="s">
        <v>328</v>
      </c>
      <c r="C4963" s="5">
        <f>DATE(2024, 12, 5) + TIME(16, 9, 50)</f>
        <v>45631.673495370371</v>
      </c>
      <c r="D4963" s="1" t="s">
        <v>506</v>
      </c>
      <c r="E4963" s="1" t="s">
        <v>867</v>
      </c>
    </row>
    <row r="4964" spans="1:5" x14ac:dyDescent="0.2">
      <c r="A4964" s="1" t="s">
        <v>1276</v>
      </c>
      <c r="B4964" s="1" t="s">
        <v>301</v>
      </c>
      <c r="C4964" s="5">
        <f>DATE(2024, 12, 5) + TIME(15, 29, 4)</f>
        <v>45631.645185185182</v>
      </c>
      <c r="D4964" s="1" t="s">
        <v>754</v>
      </c>
      <c r="E4964" s="1" t="s">
        <v>870</v>
      </c>
    </row>
    <row r="4965" spans="1:5" x14ac:dyDescent="0.2">
      <c r="A4965" s="1" t="s">
        <v>1276</v>
      </c>
      <c r="B4965" s="1" t="s">
        <v>1098</v>
      </c>
      <c r="C4965" s="5">
        <f>DATE(2024, 12, 5) + TIME(15, 29, 4)</f>
        <v>45631.645185185182</v>
      </c>
      <c r="D4965" s="1" t="s">
        <v>754</v>
      </c>
      <c r="E4965" s="1" t="s">
        <v>870</v>
      </c>
    </row>
    <row r="4966" spans="1:5" x14ac:dyDescent="0.2">
      <c r="A4966" s="1" t="s">
        <v>1276</v>
      </c>
      <c r="B4966" s="1" t="s">
        <v>60</v>
      </c>
      <c r="C4966" s="5">
        <f>DATE(2024, 12, 5) + TIME(15, 21, 12)</f>
        <v>45631.639722222222</v>
      </c>
      <c r="D4966" s="1" t="s">
        <v>576</v>
      </c>
      <c r="E4966" s="1" t="s">
        <v>438</v>
      </c>
    </row>
    <row r="4967" spans="1:5" x14ac:dyDescent="0.2">
      <c r="A4967" s="1" t="s">
        <v>1276</v>
      </c>
      <c r="B4967" s="1" t="s">
        <v>654</v>
      </c>
      <c r="C4967" s="5">
        <f>DATE(2024, 12, 5) + TIME(15, 4, 16)</f>
        <v>45631.627962962964</v>
      </c>
      <c r="D4967" s="1" t="s">
        <v>638</v>
      </c>
      <c r="E4967" s="1" t="s">
        <v>147</v>
      </c>
    </row>
    <row r="4968" spans="1:5" x14ac:dyDescent="0.2">
      <c r="A4968" s="1" t="s">
        <v>1276</v>
      </c>
      <c r="B4968" s="1" t="s">
        <v>4</v>
      </c>
      <c r="C4968" s="5">
        <f>DATE(2024, 12, 5) + TIME(13, 39, 6)</f>
        <v>45631.568819444445</v>
      </c>
      <c r="D4968" s="1" t="s">
        <v>506</v>
      </c>
      <c r="E4968" s="1" t="s">
        <v>697</v>
      </c>
    </row>
    <row r="4969" spans="1:5" x14ac:dyDescent="0.2">
      <c r="A4969" s="1" t="s">
        <v>1276</v>
      </c>
      <c r="B4969" s="1" t="s">
        <v>464</v>
      </c>
      <c r="C4969" s="5">
        <f>DATE(2024, 12, 5) + TIME(10, 48, 5)</f>
        <v>45631.450057870374</v>
      </c>
      <c r="D4969" s="1" t="s">
        <v>754</v>
      </c>
      <c r="E4969" s="1" t="s">
        <v>330</v>
      </c>
    </row>
    <row r="4970" spans="1:5" x14ac:dyDescent="0.2">
      <c r="A4970" s="1" t="s">
        <v>1276</v>
      </c>
      <c r="B4970" s="1" t="s">
        <v>931</v>
      </c>
      <c r="C4970" s="5">
        <f>DATE(2024, 12, 4) + TIME(16, 1, 39)</f>
        <v>45630.667812500003</v>
      </c>
      <c r="D4970" s="1" t="s">
        <v>64</v>
      </c>
      <c r="E4970" s="1" t="s">
        <v>403</v>
      </c>
    </row>
    <row r="4971" spans="1:5" x14ac:dyDescent="0.2">
      <c r="A4971" s="1" t="s">
        <v>1276</v>
      </c>
      <c r="B4971" s="1" t="s">
        <v>828</v>
      </c>
      <c r="C4971" s="5">
        <f>DATE(2024, 12, 4) + TIME(15, 44, 12)</f>
        <v>45630.655694444446</v>
      </c>
      <c r="D4971" s="1" t="s">
        <v>576</v>
      </c>
      <c r="E4971" s="1" t="s">
        <v>243</v>
      </c>
    </row>
    <row r="4972" spans="1:5" x14ac:dyDescent="0.2">
      <c r="A4972" s="1" t="s">
        <v>1276</v>
      </c>
      <c r="B4972" s="1" t="s">
        <v>716</v>
      </c>
      <c r="C4972" s="5">
        <f>DATE(2024, 12, 4) + TIME(15, 44, 11)</f>
        <v>45630.655682870369</v>
      </c>
      <c r="D4972" s="1" t="s">
        <v>576</v>
      </c>
      <c r="E4972" s="1" t="s">
        <v>243</v>
      </c>
    </row>
    <row r="4973" spans="1:5" x14ac:dyDescent="0.2">
      <c r="A4973" s="1" t="s">
        <v>1276</v>
      </c>
      <c r="B4973" s="1" t="s">
        <v>1099</v>
      </c>
      <c r="C4973" s="5">
        <f>DATE(2024, 12, 4) + TIME(15, 44, 11)</f>
        <v>45630.655682870369</v>
      </c>
      <c r="D4973" s="1" t="s">
        <v>576</v>
      </c>
      <c r="E4973" s="1" t="s">
        <v>243</v>
      </c>
    </row>
    <row r="4974" spans="1:5" x14ac:dyDescent="0.2">
      <c r="A4974" s="1" t="s">
        <v>1276</v>
      </c>
      <c r="B4974" s="1" t="s">
        <v>828</v>
      </c>
      <c r="C4974" s="5">
        <f>DATE(2024, 12, 4) + TIME(15, 24, 29)</f>
        <v>45630.642002314817</v>
      </c>
      <c r="D4974" s="1" t="s">
        <v>320</v>
      </c>
      <c r="E4974" s="1" t="s">
        <v>2</v>
      </c>
    </row>
    <row r="4975" spans="1:5" x14ac:dyDescent="0.2">
      <c r="A4975" s="1" t="s">
        <v>1276</v>
      </c>
      <c r="B4975" s="1" t="s">
        <v>759</v>
      </c>
      <c r="C4975" s="5">
        <f>DATE(2024, 12, 4) + TIME(15, 2, 50)</f>
        <v>45630.626967592594</v>
      </c>
      <c r="D4975" s="1" t="s">
        <v>64</v>
      </c>
      <c r="E4975" s="1" t="s">
        <v>11</v>
      </c>
    </row>
    <row r="4976" spans="1:5" x14ac:dyDescent="0.2">
      <c r="A4976" s="1" t="s">
        <v>1276</v>
      </c>
      <c r="B4976" s="1" t="s">
        <v>235</v>
      </c>
      <c r="C4976" s="5">
        <f>DATE(2024, 12, 4) + TIME(14, 53, 7)</f>
        <v>45630.620219907411</v>
      </c>
      <c r="D4976" s="1" t="s">
        <v>566</v>
      </c>
      <c r="E4976" s="1" t="s">
        <v>888</v>
      </c>
    </row>
    <row r="4977" spans="1:5" x14ac:dyDescent="0.2">
      <c r="A4977" s="1" t="s">
        <v>1276</v>
      </c>
      <c r="B4977" s="1" t="s">
        <v>1100</v>
      </c>
      <c r="C4977" s="5">
        <f>DATE(2024, 12, 4) + TIME(14, 53, 6)</f>
        <v>45630.620208333334</v>
      </c>
      <c r="D4977" s="1" t="s">
        <v>566</v>
      </c>
      <c r="E4977" s="1" t="s">
        <v>888</v>
      </c>
    </row>
    <row r="4978" spans="1:5" x14ac:dyDescent="0.2">
      <c r="A4978" s="1" t="s">
        <v>1276</v>
      </c>
      <c r="B4978" s="1" t="s">
        <v>1099</v>
      </c>
      <c r="C4978" s="5">
        <f>DATE(2024, 12, 4) + TIME(14, 53, 6)</f>
        <v>45630.620208333334</v>
      </c>
      <c r="D4978" s="1" t="s">
        <v>566</v>
      </c>
      <c r="E4978" s="1" t="s">
        <v>888</v>
      </c>
    </row>
    <row r="4979" spans="1:5" x14ac:dyDescent="0.2">
      <c r="A4979" s="1" t="s">
        <v>1276</v>
      </c>
      <c r="B4979" s="1" t="s">
        <v>654</v>
      </c>
      <c r="C4979" s="5">
        <f>DATE(2024, 12, 4) + TIME(13, 54, 59)</f>
        <v>45630.57984953704</v>
      </c>
      <c r="D4979" s="1" t="s">
        <v>396</v>
      </c>
      <c r="E4979" s="1" t="s">
        <v>507</v>
      </c>
    </row>
    <row r="4980" spans="1:5" x14ac:dyDescent="0.2">
      <c r="A4980" s="1" t="s">
        <v>1276</v>
      </c>
      <c r="B4980" s="1" t="s">
        <v>951</v>
      </c>
      <c r="C4980" s="5">
        <f>DATE(2024, 12, 4) + TIME(13, 38, 53)</f>
        <v>45630.568668981483</v>
      </c>
      <c r="D4980" s="1" t="s">
        <v>216</v>
      </c>
      <c r="E4980" s="1" t="s">
        <v>321</v>
      </c>
    </row>
    <row r="4981" spans="1:5" x14ac:dyDescent="0.2">
      <c r="A4981" s="1" t="s">
        <v>1276</v>
      </c>
      <c r="B4981" s="1" t="s">
        <v>782</v>
      </c>
      <c r="C4981" s="5">
        <f>DATE(2024, 12, 4) + TIME(12, 51, 25)</f>
        <v>45630.53570601852</v>
      </c>
      <c r="D4981" s="1" t="s">
        <v>320</v>
      </c>
      <c r="E4981" s="1" t="s">
        <v>2</v>
      </c>
    </row>
    <row r="4982" spans="1:5" x14ac:dyDescent="0.2">
      <c r="A4982" s="1" t="s">
        <v>1276</v>
      </c>
      <c r="B4982" s="1" t="s">
        <v>81</v>
      </c>
      <c r="C4982" s="5">
        <f>DATE(2024, 12, 4) + TIME(12, 51, 14)</f>
        <v>45630.535578703704</v>
      </c>
      <c r="D4982" s="1" t="s">
        <v>65</v>
      </c>
      <c r="E4982" s="1" t="s">
        <v>432</v>
      </c>
    </row>
    <row r="4983" spans="1:5" x14ac:dyDescent="0.2">
      <c r="A4983" s="1" t="s">
        <v>1276</v>
      </c>
      <c r="B4983" s="1" t="s">
        <v>716</v>
      </c>
      <c r="C4983" s="5">
        <f>DATE(2024, 12, 4) + TIME(9, 51, 42)</f>
        <v>45630.410902777781</v>
      </c>
      <c r="D4983" s="1" t="s">
        <v>65</v>
      </c>
      <c r="E4983" s="1" t="s">
        <v>918</v>
      </c>
    </row>
    <row r="4984" spans="1:5" x14ac:dyDescent="0.2">
      <c r="A4984" s="1" t="s">
        <v>1276</v>
      </c>
      <c r="B4984" s="1" t="s">
        <v>322</v>
      </c>
      <c r="C4984" s="5">
        <f>DATE(2024, 12, 3) + TIME(12, 21, 25)</f>
        <v>45629.514872685184</v>
      </c>
      <c r="D4984" s="1" t="s">
        <v>3</v>
      </c>
      <c r="E4984" s="1" t="s">
        <v>248</v>
      </c>
    </row>
    <row r="4985" spans="1:5" x14ac:dyDescent="0.2">
      <c r="A4985" s="1" t="s">
        <v>1276</v>
      </c>
      <c r="B4985" s="1" t="s">
        <v>716</v>
      </c>
      <c r="C4985" s="5">
        <f>DATE(2024, 12, 3) + TIME(10, 56, 32)</f>
        <v>45629.455925925926</v>
      </c>
      <c r="D4985" s="1" t="s">
        <v>216</v>
      </c>
      <c r="E4985" s="1" t="s">
        <v>912</v>
      </c>
    </row>
    <row r="4986" spans="1:5" ht="16" x14ac:dyDescent="0.2">
      <c r="A4986" s="1" t="s">
        <v>1276</v>
      </c>
      <c r="B4986" s="1" t="s">
        <v>716</v>
      </c>
      <c r="C4986" s="5">
        <f>DATE(2024, 12, 3) + TIME(10, 10, 40)</f>
        <v>45629.424074074072</v>
      </c>
      <c r="D4986" s="1" t="s">
        <v>754</v>
      </c>
      <c r="E4986" s="2" t="s">
        <v>87</v>
      </c>
    </row>
    <row r="4987" spans="1:5" ht="16" x14ac:dyDescent="0.2">
      <c r="A4987" s="1" t="s">
        <v>1276</v>
      </c>
      <c r="B4987" s="1" t="s">
        <v>285</v>
      </c>
      <c r="C4987" s="5">
        <f>DATE(2024, 12, 3) + TIME(10, 10, 40)</f>
        <v>45629.424074074072</v>
      </c>
      <c r="D4987" s="1" t="s">
        <v>754</v>
      </c>
      <c r="E4987" s="2" t="s">
        <v>87</v>
      </c>
    </row>
    <row r="4988" spans="1:5" ht="16" x14ac:dyDescent="0.2">
      <c r="A4988" s="1" t="s">
        <v>1276</v>
      </c>
      <c r="B4988" s="1" t="s">
        <v>1087</v>
      </c>
      <c r="C4988" s="5">
        <f>DATE(2024, 12, 3) + TIME(10, 10, 39)</f>
        <v>45629.424062500002</v>
      </c>
      <c r="D4988" s="1" t="s">
        <v>754</v>
      </c>
      <c r="E4988" s="2" t="s">
        <v>87</v>
      </c>
    </row>
    <row r="4989" spans="1:5" x14ac:dyDescent="0.2">
      <c r="A4989" s="1" t="s">
        <v>1276</v>
      </c>
      <c r="B4989" s="1" t="s">
        <v>153</v>
      </c>
      <c r="C4989" s="5">
        <f>DATE(2024, 12, 3) + TIME(9, 20, 19)</f>
        <v>45629.389108796298</v>
      </c>
      <c r="D4989" s="1" t="s">
        <v>126</v>
      </c>
      <c r="E4989" s="1" t="s">
        <v>143</v>
      </c>
    </row>
    <row r="4990" spans="1:5" x14ac:dyDescent="0.2">
      <c r="A4990" s="1" t="s">
        <v>1276</v>
      </c>
      <c r="B4990" s="1" t="s">
        <v>1102</v>
      </c>
      <c r="C4990" s="5">
        <f>DATE(2024, 12, 3) + TIME(9, 20, 19)</f>
        <v>45629.389108796298</v>
      </c>
      <c r="D4990" s="1" t="s">
        <v>126</v>
      </c>
      <c r="E4990" s="1" t="s">
        <v>143</v>
      </c>
    </row>
    <row r="4991" spans="1:5" x14ac:dyDescent="0.2">
      <c r="A4991" s="1" t="s">
        <v>1276</v>
      </c>
      <c r="B4991" s="1" t="s">
        <v>654</v>
      </c>
      <c r="C4991" s="5">
        <f>DATE(2024, 12, 3) + TIME(9, 20, 19)</f>
        <v>45629.389108796298</v>
      </c>
      <c r="D4991" s="1" t="s">
        <v>126</v>
      </c>
      <c r="E4991" s="1" t="s">
        <v>143</v>
      </c>
    </row>
    <row r="4992" spans="1:5" x14ac:dyDescent="0.2">
      <c r="A4992" s="1" t="s">
        <v>1276</v>
      </c>
      <c r="B4992" s="1" t="s">
        <v>577</v>
      </c>
      <c r="C4992" s="5">
        <f>DATE(2024, 12, 2) + TIME(14, 24, 4)</f>
        <v>45628.600046296298</v>
      </c>
      <c r="D4992" s="1" t="s">
        <v>269</v>
      </c>
      <c r="E4992" s="1" t="s">
        <v>299</v>
      </c>
    </row>
    <row r="4993" spans="1:5" x14ac:dyDescent="0.2">
      <c r="A4993" s="1" t="s">
        <v>1276</v>
      </c>
      <c r="B4993" s="1" t="s">
        <v>864</v>
      </c>
      <c r="C4993" s="5">
        <f>DATE(2024, 12, 2) + TIME(14, 23, 50)</f>
        <v>45628.59988425926</v>
      </c>
      <c r="D4993" s="1" t="s">
        <v>356</v>
      </c>
      <c r="E4993" s="1" t="s">
        <v>701</v>
      </c>
    </row>
    <row r="4994" spans="1:5" x14ac:dyDescent="0.2">
      <c r="A4994" s="1" t="s">
        <v>1276</v>
      </c>
      <c r="B4994" s="1" t="s">
        <v>716</v>
      </c>
      <c r="C4994" s="5">
        <f>DATE(2024, 12, 2) + TIME(13, 17, 4)</f>
        <v>45628.553518518522</v>
      </c>
      <c r="D4994" s="1" t="s">
        <v>65</v>
      </c>
      <c r="E4994" s="1" t="s">
        <v>400</v>
      </c>
    </row>
    <row r="4995" spans="1:5" x14ac:dyDescent="0.2">
      <c r="A4995" s="1" t="s">
        <v>1276</v>
      </c>
      <c r="B4995" s="1" t="s">
        <v>654</v>
      </c>
      <c r="C4995" s="5">
        <f>DATE(2024, 12, 2) + TIME(13, 2, 47)</f>
        <v>45628.543599537035</v>
      </c>
      <c r="D4995" s="1" t="s">
        <v>566</v>
      </c>
      <c r="E4995" s="1" t="s">
        <v>938</v>
      </c>
    </row>
    <row r="4996" spans="1:5" x14ac:dyDescent="0.2">
      <c r="A4996" s="1" t="s">
        <v>1276</v>
      </c>
      <c r="B4996" s="1" t="s">
        <v>716</v>
      </c>
      <c r="C4996" s="5">
        <f>DATE(2024, 12, 2) + TIME(12, 21, 11)</f>
        <v>45628.514710648145</v>
      </c>
      <c r="D4996" s="1" t="s">
        <v>869</v>
      </c>
      <c r="E4996" s="1" t="s">
        <v>275</v>
      </c>
    </row>
    <row r="4997" spans="1:5" x14ac:dyDescent="0.2">
      <c r="A4997" s="1" t="s">
        <v>1276</v>
      </c>
      <c r="B4997" s="1" t="s">
        <v>716</v>
      </c>
      <c r="C4997" s="5">
        <f>DATE(2024, 12, 2) + TIME(12, 0, 2)</f>
        <v>45628.500023148146</v>
      </c>
      <c r="D4997" s="1" t="s">
        <v>65</v>
      </c>
      <c r="E4997" s="1" t="s">
        <v>219</v>
      </c>
    </row>
    <row r="4998" spans="1:5" x14ac:dyDescent="0.2">
      <c r="A4998" s="1" t="s">
        <v>1276</v>
      </c>
      <c r="B4998" s="1" t="s">
        <v>139</v>
      </c>
      <c r="C4998" s="5">
        <f>DATE(2024, 12, 2) + TIME(9, 19, 17)</f>
        <v>45628.388391203705</v>
      </c>
      <c r="D4998" s="1" t="s">
        <v>5</v>
      </c>
      <c r="E4998" s="1" t="s">
        <v>405</v>
      </c>
    </row>
    <row r="4999" spans="1:5" x14ac:dyDescent="0.2">
      <c r="A4999" s="1" t="s">
        <v>1276</v>
      </c>
      <c r="B4999" s="1" t="s">
        <v>951</v>
      </c>
      <c r="C4999" s="5">
        <f>DATE(2024, 11, 27) + TIME(15, 20, 41)</f>
        <v>45623.639363425929</v>
      </c>
      <c r="D4999" s="1" t="s">
        <v>396</v>
      </c>
      <c r="E4999" s="1" t="s">
        <v>36</v>
      </c>
    </row>
    <row r="5000" spans="1:5" x14ac:dyDescent="0.2">
      <c r="A5000" s="1" t="s">
        <v>1276</v>
      </c>
      <c r="B5000" s="1" t="s">
        <v>654</v>
      </c>
      <c r="C5000" s="5">
        <f>DATE(2024, 11, 27) + TIME(15, 10, 43)</f>
        <v>45623.63244212963</v>
      </c>
      <c r="D5000" s="1" t="s">
        <v>638</v>
      </c>
      <c r="E5000" s="1" t="s">
        <v>85</v>
      </c>
    </row>
    <row r="5001" spans="1:5" x14ac:dyDescent="0.2">
      <c r="A5001" s="1" t="s">
        <v>1276</v>
      </c>
      <c r="B5001" s="1" t="s">
        <v>716</v>
      </c>
      <c r="C5001" s="5">
        <f>DATE(2024, 11, 27) + TIME(14, 55, 51)</f>
        <v>45623.622118055559</v>
      </c>
      <c r="D5001" s="1" t="s">
        <v>269</v>
      </c>
      <c r="E5001" s="1" t="s">
        <v>748</v>
      </c>
    </row>
    <row r="5002" spans="1:5" x14ac:dyDescent="0.2">
      <c r="A5002" s="1" t="s">
        <v>1276</v>
      </c>
      <c r="B5002" s="1" t="s">
        <v>1099</v>
      </c>
      <c r="C5002" s="5">
        <f>DATE(2024, 11, 27) + TIME(11, 56, 56)</f>
        <v>45623.497870370367</v>
      </c>
      <c r="D5002" s="1" t="s">
        <v>3</v>
      </c>
      <c r="E5002" s="1" t="s">
        <v>684</v>
      </c>
    </row>
    <row r="5003" spans="1:5" x14ac:dyDescent="0.2">
      <c r="A5003" s="1" t="s">
        <v>1276</v>
      </c>
      <c r="B5003" s="1" t="s">
        <v>716</v>
      </c>
      <c r="C5003" s="5">
        <f>DATE(2024, 11, 27) + TIME(11, 30, 43)</f>
        <v>45623.479664351849</v>
      </c>
      <c r="D5003" s="1" t="s">
        <v>640</v>
      </c>
      <c r="E5003" s="1" t="s">
        <v>283</v>
      </c>
    </row>
    <row r="5004" spans="1:5" x14ac:dyDescent="0.2">
      <c r="A5004" s="1" t="s">
        <v>1276</v>
      </c>
      <c r="B5004" s="1" t="s">
        <v>524</v>
      </c>
      <c r="C5004" s="5">
        <f>DATE(2024, 11, 27) + TIME(11, 3, 8)</f>
        <v>45623.460509259261</v>
      </c>
      <c r="D5004" s="1" t="s">
        <v>506</v>
      </c>
      <c r="E5004" s="1" t="s">
        <v>867</v>
      </c>
    </row>
    <row r="5005" spans="1:5" x14ac:dyDescent="0.2">
      <c r="A5005" s="1" t="s">
        <v>1276</v>
      </c>
      <c r="B5005" s="1" t="s">
        <v>60</v>
      </c>
      <c r="C5005" s="5">
        <f>DATE(2024, 11, 27) + TIME(10, 33, 8)</f>
        <v>45623.439675925925</v>
      </c>
      <c r="D5005" s="1" t="s">
        <v>506</v>
      </c>
      <c r="E5005" s="1" t="s">
        <v>6</v>
      </c>
    </row>
    <row r="5006" spans="1:5" x14ac:dyDescent="0.2">
      <c r="A5006" s="1" t="s">
        <v>1276</v>
      </c>
      <c r="B5006" s="1" t="s">
        <v>937</v>
      </c>
      <c r="C5006" s="5">
        <f>DATE(2024, 11, 27) + TIME(10, 14, 0)</f>
        <v>45623.426388888889</v>
      </c>
      <c r="D5006" s="1" t="s">
        <v>871</v>
      </c>
      <c r="E5006" s="1" t="s">
        <v>340</v>
      </c>
    </row>
    <row r="5007" spans="1:5" x14ac:dyDescent="0.2">
      <c r="A5007" s="1" t="s">
        <v>1276</v>
      </c>
      <c r="B5007" s="1" t="s">
        <v>322</v>
      </c>
      <c r="C5007" s="5">
        <f>DATE(2024, 11, 26) + TIME(16, 36, 39)</f>
        <v>45622.692118055558</v>
      </c>
      <c r="D5007" s="1" t="s">
        <v>3</v>
      </c>
      <c r="E5007" s="1" t="s">
        <v>890</v>
      </c>
    </row>
    <row r="5008" spans="1:5" x14ac:dyDescent="0.2">
      <c r="A5008" s="1" t="s">
        <v>1276</v>
      </c>
      <c r="B5008" s="1" t="s">
        <v>196</v>
      </c>
      <c r="C5008" s="5">
        <f>DATE(2024, 11, 26) + TIME(16, 18, 52)</f>
        <v>45622.679768518516</v>
      </c>
      <c r="D5008" s="1" t="s">
        <v>64</v>
      </c>
      <c r="E5008" s="1" t="s">
        <v>1105</v>
      </c>
    </row>
    <row r="5009" spans="1:5" x14ac:dyDescent="0.2">
      <c r="A5009" s="1" t="s">
        <v>1276</v>
      </c>
      <c r="B5009" s="1" t="s">
        <v>411</v>
      </c>
      <c r="C5009" s="5">
        <f>DATE(2024, 11, 26) + TIME(14, 32, 45)</f>
        <v>45622.606076388889</v>
      </c>
      <c r="D5009" s="1" t="s">
        <v>216</v>
      </c>
      <c r="E5009" s="1" t="s">
        <v>321</v>
      </c>
    </row>
    <row r="5010" spans="1:5" x14ac:dyDescent="0.2">
      <c r="A5010" s="1" t="s">
        <v>1276</v>
      </c>
      <c r="B5010" s="1" t="s">
        <v>483</v>
      </c>
      <c r="C5010" s="5">
        <f>DATE(2024, 11, 26) + TIME(13, 54, 25)</f>
        <v>45622.579456018517</v>
      </c>
      <c r="D5010" s="1" t="s">
        <v>750</v>
      </c>
      <c r="E5010" s="1" t="s">
        <v>466</v>
      </c>
    </row>
    <row r="5011" spans="1:5" x14ac:dyDescent="0.2">
      <c r="A5011" s="1" t="s">
        <v>1276</v>
      </c>
      <c r="B5011" s="1" t="s">
        <v>409</v>
      </c>
      <c r="C5011" s="5">
        <f>DATE(2024, 11, 26) + TIME(13, 43, 51)</f>
        <v>45622.572118055556</v>
      </c>
      <c r="D5011" s="1" t="s">
        <v>65</v>
      </c>
      <c r="E5011" s="1" t="s">
        <v>918</v>
      </c>
    </row>
    <row r="5012" spans="1:5" x14ac:dyDescent="0.2">
      <c r="A5012" s="1" t="s">
        <v>1276</v>
      </c>
      <c r="B5012" s="1" t="s">
        <v>22</v>
      </c>
      <c r="C5012" s="5">
        <f>DATE(2024, 11, 26) + TIME(13, 43, 23)</f>
        <v>45622.571793981479</v>
      </c>
      <c r="D5012" s="1" t="s">
        <v>638</v>
      </c>
      <c r="E5012" s="1" t="s">
        <v>258</v>
      </c>
    </row>
    <row r="5013" spans="1:5" x14ac:dyDescent="0.2">
      <c r="A5013" s="1" t="s">
        <v>1276</v>
      </c>
      <c r="B5013" s="1" t="s">
        <v>1021</v>
      </c>
      <c r="C5013" s="5">
        <f>DATE(2024, 11, 26) + TIME(10, 51, 44)</f>
        <v>45622.452592592592</v>
      </c>
      <c r="D5013" s="1" t="s">
        <v>320</v>
      </c>
      <c r="E5013" s="1" t="s">
        <v>2</v>
      </c>
    </row>
    <row r="5014" spans="1:5" x14ac:dyDescent="0.2">
      <c r="A5014" s="1" t="s">
        <v>1276</v>
      </c>
      <c r="B5014" s="1" t="s">
        <v>4</v>
      </c>
      <c r="C5014" s="5">
        <f>DATE(2024, 11, 26) + TIME(9, 21, 51)</f>
        <v>45622.390173611115</v>
      </c>
      <c r="D5014" s="1" t="s">
        <v>640</v>
      </c>
      <c r="E5014" s="1" t="s">
        <v>426</v>
      </c>
    </row>
    <row r="5015" spans="1:5" x14ac:dyDescent="0.2">
      <c r="A5015" s="1" t="s">
        <v>1276</v>
      </c>
      <c r="B5015" s="1" t="s">
        <v>1021</v>
      </c>
      <c r="C5015" s="5">
        <f>DATE(2024, 11, 26) + TIME(9, 17, 9)</f>
        <v>45622.38690972222</v>
      </c>
      <c r="D5015" s="1" t="s">
        <v>754</v>
      </c>
      <c r="E5015" s="1" t="s">
        <v>760</v>
      </c>
    </row>
    <row r="5016" spans="1:5" x14ac:dyDescent="0.2">
      <c r="A5016" s="1" t="s">
        <v>1276</v>
      </c>
      <c r="B5016" s="1" t="s">
        <v>716</v>
      </c>
      <c r="C5016" s="5">
        <f>DATE(2024, 11, 25) + TIME(12, 28, 28)</f>
        <v>45621.519768518519</v>
      </c>
      <c r="D5016" s="1" t="s">
        <v>3</v>
      </c>
      <c r="E5016" s="1" t="s">
        <v>571</v>
      </c>
    </row>
    <row r="5017" spans="1:5" x14ac:dyDescent="0.2">
      <c r="A5017" s="1" t="s">
        <v>1276</v>
      </c>
      <c r="B5017" s="1" t="s">
        <v>4</v>
      </c>
      <c r="C5017" s="5">
        <f>DATE(2024, 11, 25) + TIME(11, 1, 46)</f>
        <v>45621.459560185183</v>
      </c>
      <c r="D5017" s="1" t="s">
        <v>65</v>
      </c>
      <c r="E5017" s="1" t="s">
        <v>152</v>
      </c>
    </row>
    <row r="5018" spans="1:5" x14ac:dyDescent="0.2">
      <c r="A5018" s="1" t="s">
        <v>1276</v>
      </c>
      <c r="B5018" s="1" t="s">
        <v>951</v>
      </c>
      <c r="C5018" s="5">
        <f>DATE(2024, 11, 25) + TIME(9, 0, 41)</f>
        <v>45621.375474537039</v>
      </c>
      <c r="D5018" s="1" t="s">
        <v>65</v>
      </c>
      <c r="E5018" s="1" t="s">
        <v>152</v>
      </c>
    </row>
    <row r="5019" spans="1:5" x14ac:dyDescent="0.2">
      <c r="A5019" s="1" t="s">
        <v>1276</v>
      </c>
      <c r="B5019" s="1" t="s">
        <v>468</v>
      </c>
      <c r="C5019" s="5">
        <f>DATE(2024, 11, 24) + TIME(17, 17, 42)</f>
        <v>45620.720625000002</v>
      </c>
      <c r="D5019" s="1" t="s">
        <v>65</v>
      </c>
      <c r="E5019" s="1" t="s">
        <v>404</v>
      </c>
    </row>
    <row r="5020" spans="1:5" x14ac:dyDescent="0.2">
      <c r="A5020" s="1" t="s">
        <v>1276</v>
      </c>
      <c r="B5020" s="1" t="s">
        <v>951</v>
      </c>
      <c r="C5020" s="5">
        <f>DATE(2024, 11, 24) + TIME(17, 17, 41)</f>
        <v>45620.720613425925</v>
      </c>
      <c r="D5020" s="1" t="s">
        <v>65</v>
      </c>
      <c r="E5020" s="1" t="s">
        <v>404</v>
      </c>
    </row>
    <row r="5021" spans="1:5" x14ac:dyDescent="0.2">
      <c r="A5021" s="1" t="s">
        <v>1276</v>
      </c>
      <c r="B5021" s="1" t="s">
        <v>63</v>
      </c>
      <c r="C5021" s="5">
        <f>DATE(2024, 11, 24) + TIME(16, 22, 8)</f>
        <v>45620.682037037041</v>
      </c>
      <c r="D5021" s="1" t="s">
        <v>320</v>
      </c>
      <c r="E5021" s="1" t="s">
        <v>406</v>
      </c>
    </row>
    <row r="5022" spans="1:5" x14ac:dyDescent="0.2">
      <c r="A5022" s="1" t="s">
        <v>1276</v>
      </c>
      <c r="B5022" s="1" t="s">
        <v>716</v>
      </c>
      <c r="C5022" s="5">
        <f>DATE(2024, 11, 24) + TIME(16, 22, 8)</f>
        <v>45620.682037037041</v>
      </c>
      <c r="D5022" s="1" t="s">
        <v>320</v>
      </c>
      <c r="E5022" s="1" t="s">
        <v>406</v>
      </c>
    </row>
    <row r="5023" spans="1:5" x14ac:dyDescent="0.2">
      <c r="A5023" s="1" t="s">
        <v>1276</v>
      </c>
      <c r="B5023" s="1" t="s">
        <v>422</v>
      </c>
      <c r="C5023" s="5">
        <f>DATE(2024, 11, 24) + TIME(16, 22, 8)</f>
        <v>45620.682037037041</v>
      </c>
      <c r="D5023" s="1" t="s">
        <v>320</v>
      </c>
      <c r="E5023" s="1" t="s">
        <v>406</v>
      </c>
    </row>
    <row r="5024" spans="1:5" x14ac:dyDescent="0.2">
      <c r="A5024" s="1" t="s">
        <v>1276</v>
      </c>
      <c r="B5024" s="1" t="s">
        <v>1098</v>
      </c>
      <c r="C5024" s="5">
        <f>DATE(2024, 11, 24) + TIME(13, 2, 50)</f>
        <v>45620.543634259258</v>
      </c>
      <c r="D5024" s="1" t="s">
        <v>754</v>
      </c>
      <c r="E5024" s="1" t="s">
        <v>870</v>
      </c>
    </row>
    <row r="5025" spans="1:5" x14ac:dyDescent="0.2">
      <c r="A5025" s="1" t="s">
        <v>1276</v>
      </c>
      <c r="B5025" s="1" t="s">
        <v>81</v>
      </c>
      <c r="C5025" s="5">
        <f>DATE(2024, 11, 24) + TIME(7, 34, 15)</f>
        <v>45620.315451388888</v>
      </c>
      <c r="D5025" s="1" t="s">
        <v>640</v>
      </c>
      <c r="E5025" s="1" t="s">
        <v>1029</v>
      </c>
    </row>
    <row r="5026" spans="1:5" x14ac:dyDescent="0.2">
      <c r="A5026" s="1" t="s">
        <v>1276</v>
      </c>
      <c r="B5026" s="1" t="s">
        <v>716</v>
      </c>
      <c r="C5026" s="5">
        <f>DATE(2024, 11, 24) + TIME(7, 34, 15)</f>
        <v>45620.315451388888</v>
      </c>
      <c r="D5026" s="1" t="s">
        <v>640</v>
      </c>
      <c r="E5026" s="1" t="s">
        <v>1029</v>
      </c>
    </row>
    <row r="5027" spans="1:5" x14ac:dyDescent="0.2">
      <c r="A5027" s="1" t="s">
        <v>1276</v>
      </c>
      <c r="B5027" s="1" t="s">
        <v>864</v>
      </c>
      <c r="C5027" s="5">
        <f>DATE(2024, 11, 24) + TIME(7, 34, 15)</f>
        <v>45620.315451388888</v>
      </c>
      <c r="D5027" s="1" t="s">
        <v>640</v>
      </c>
      <c r="E5027" s="1" t="s">
        <v>1029</v>
      </c>
    </row>
    <row r="5028" spans="1:5" x14ac:dyDescent="0.2">
      <c r="A5028" s="1" t="s">
        <v>1276</v>
      </c>
      <c r="B5028" s="1" t="s">
        <v>1043</v>
      </c>
      <c r="C5028" s="5">
        <f>DATE(2024, 11, 22) + TIME(18, 48, 2)</f>
        <v>45618.783356481479</v>
      </c>
      <c r="D5028" s="1" t="s">
        <v>65</v>
      </c>
      <c r="E5028" s="1" t="s">
        <v>400</v>
      </c>
    </row>
    <row r="5029" spans="1:5" x14ac:dyDescent="0.2">
      <c r="A5029" s="1" t="s">
        <v>1276</v>
      </c>
      <c r="B5029" s="1" t="s">
        <v>183</v>
      </c>
      <c r="C5029" s="5">
        <f>DATE(2024, 11, 21) + TIME(16, 28, 59)</f>
        <v>45617.686793981484</v>
      </c>
      <c r="D5029" s="1" t="s">
        <v>566</v>
      </c>
      <c r="E5029" s="1" t="s">
        <v>324</v>
      </c>
    </row>
    <row r="5030" spans="1:5" x14ac:dyDescent="0.2">
      <c r="A5030" s="1" t="s">
        <v>1276</v>
      </c>
      <c r="B5030" s="1" t="s">
        <v>1106</v>
      </c>
      <c r="C5030" s="5">
        <f>DATE(2024, 11, 21) + TIME(16, 28, 59)</f>
        <v>45617.686793981484</v>
      </c>
      <c r="D5030" s="1" t="s">
        <v>566</v>
      </c>
      <c r="E5030" s="1" t="s">
        <v>324</v>
      </c>
    </row>
    <row r="5031" spans="1:5" x14ac:dyDescent="0.2">
      <c r="A5031" s="1" t="s">
        <v>1276</v>
      </c>
      <c r="B5031" s="1" t="s">
        <v>350</v>
      </c>
      <c r="C5031" s="5">
        <f>DATE(2024, 11, 21) + TIME(16, 28, 11)</f>
        <v>45617.686238425929</v>
      </c>
      <c r="D5031" s="1" t="s">
        <v>869</v>
      </c>
      <c r="E5031" s="1" t="s">
        <v>832</v>
      </c>
    </row>
    <row r="5032" spans="1:5" x14ac:dyDescent="0.2">
      <c r="A5032" s="1" t="s">
        <v>1276</v>
      </c>
      <c r="B5032" s="1" t="s">
        <v>782</v>
      </c>
      <c r="C5032" s="5">
        <f>DATE(2024, 11, 21) + TIME(15, 38, 14)</f>
        <v>45617.651550925926</v>
      </c>
      <c r="D5032" s="1" t="s">
        <v>1054</v>
      </c>
      <c r="E5032" s="1" t="s">
        <v>210</v>
      </c>
    </row>
    <row r="5033" spans="1:5" x14ac:dyDescent="0.2">
      <c r="A5033" s="1" t="s">
        <v>1276</v>
      </c>
      <c r="B5033" s="1" t="s">
        <v>609</v>
      </c>
      <c r="C5033" s="5">
        <f>DATE(2024, 11, 21) + TIME(15, 38, 14)</f>
        <v>45617.651550925926</v>
      </c>
      <c r="D5033" s="1" t="s">
        <v>1054</v>
      </c>
      <c r="E5033" s="1" t="s">
        <v>210</v>
      </c>
    </row>
    <row r="5034" spans="1:5" x14ac:dyDescent="0.2">
      <c r="A5034" s="1" t="s">
        <v>1276</v>
      </c>
      <c r="B5034" s="1" t="s">
        <v>817</v>
      </c>
      <c r="C5034" s="5">
        <f>DATE(2024, 11, 21) + TIME(14, 53, 7)</f>
        <v>45617.620219907411</v>
      </c>
      <c r="D5034" s="1" t="s">
        <v>638</v>
      </c>
      <c r="E5034" s="1" t="s">
        <v>157</v>
      </c>
    </row>
    <row r="5035" spans="1:5" x14ac:dyDescent="0.2">
      <c r="A5035" s="1" t="s">
        <v>1276</v>
      </c>
      <c r="B5035" s="1" t="s">
        <v>1024</v>
      </c>
      <c r="C5035" s="5">
        <f>DATE(2024, 11, 21) + TIME(14, 52, 6)</f>
        <v>45617.619513888887</v>
      </c>
      <c r="D5035" s="1" t="s">
        <v>396</v>
      </c>
      <c r="E5035" s="1" t="s">
        <v>652</v>
      </c>
    </row>
    <row r="5036" spans="1:5" x14ac:dyDescent="0.2">
      <c r="A5036" s="1" t="s">
        <v>1276</v>
      </c>
      <c r="B5036" s="1" t="s">
        <v>1021</v>
      </c>
      <c r="C5036" s="5">
        <f>DATE(2024, 11, 21) + TIME(14, 9, 39)</f>
        <v>45617.59003472222</v>
      </c>
      <c r="D5036" s="1" t="s">
        <v>1054</v>
      </c>
      <c r="E5036" s="1" t="s">
        <v>351</v>
      </c>
    </row>
    <row r="5037" spans="1:5" x14ac:dyDescent="0.2">
      <c r="A5037" s="1" t="s">
        <v>1276</v>
      </c>
      <c r="B5037" s="1" t="s">
        <v>654</v>
      </c>
      <c r="C5037" s="5">
        <f>DATE(2024, 11, 21) + TIME(12, 39, 9)</f>
        <v>45617.527187500003</v>
      </c>
      <c r="D5037" s="1" t="s">
        <v>269</v>
      </c>
      <c r="E5037" s="1" t="s">
        <v>537</v>
      </c>
    </row>
    <row r="5038" spans="1:5" x14ac:dyDescent="0.2">
      <c r="A5038" s="1" t="s">
        <v>1276</v>
      </c>
      <c r="B5038" s="1" t="s">
        <v>587</v>
      </c>
      <c r="C5038" s="5">
        <f>DATE(2024, 11, 21) + TIME(12, 39, 9)</f>
        <v>45617.527187500003</v>
      </c>
      <c r="D5038" s="1" t="s">
        <v>269</v>
      </c>
      <c r="E5038" s="1" t="s">
        <v>537</v>
      </c>
    </row>
    <row r="5039" spans="1:5" x14ac:dyDescent="0.2">
      <c r="A5039" s="1" t="s">
        <v>1276</v>
      </c>
      <c r="B5039" s="1" t="s">
        <v>409</v>
      </c>
      <c r="C5039" s="5">
        <f>DATE(2024, 11, 21) + TIME(12, 7, 29)</f>
        <v>45617.505196759259</v>
      </c>
      <c r="D5039" s="1" t="s">
        <v>506</v>
      </c>
      <c r="E5039" s="1" t="s">
        <v>867</v>
      </c>
    </row>
    <row r="5040" spans="1:5" x14ac:dyDescent="0.2">
      <c r="A5040" s="1" t="s">
        <v>1276</v>
      </c>
      <c r="B5040" s="1" t="s">
        <v>234</v>
      </c>
      <c r="C5040" s="5">
        <f>DATE(2024, 11, 21) + TIME(11, 49, 0)</f>
        <v>45617.492361111108</v>
      </c>
      <c r="D5040" s="1" t="s">
        <v>506</v>
      </c>
      <c r="E5040" s="1" t="s">
        <v>635</v>
      </c>
    </row>
    <row r="5041" spans="1:5" x14ac:dyDescent="0.2">
      <c r="A5041" s="1" t="s">
        <v>1276</v>
      </c>
      <c r="B5041" s="1" t="s">
        <v>411</v>
      </c>
      <c r="C5041" s="5">
        <f>DATE(2024, 11, 21) + TIME(11, 8, 5)</f>
        <v>45617.463946759257</v>
      </c>
      <c r="D5041" s="1" t="s">
        <v>3</v>
      </c>
      <c r="E5041" s="1" t="s">
        <v>211</v>
      </c>
    </row>
    <row r="5042" spans="1:5" x14ac:dyDescent="0.2">
      <c r="A5042" s="1" t="s">
        <v>1276</v>
      </c>
      <c r="B5042" s="1" t="s">
        <v>951</v>
      </c>
      <c r="C5042" s="5">
        <f>DATE(2024, 11, 21) + TIME(11, 2, 27)</f>
        <v>45617.460034722222</v>
      </c>
      <c r="D5042" s="1" t="s">
        <v>320</v>
      </c>
      <c r="E5042" s="1" t="s">
        <v>2</v>
      </c>
    </row>
    <row r="5043" spans="1:5" x14ac:dyDescent="0.2">
      <c r="A5043" s="1" t="s">
        <v>1276</v>
      </c>
      <c r="B5043" s="1" t="s">
        <v>139</v>
      </c>
      <c r="C5043" s="5">
        <f>DATE(2024, 11, 21) + TIME(10, 47, 18)</f>
        <v>45617.449513888889</v>
      </c>
      <c r="D5043" s="1" t="s">
        <v>640</v>
      </c>
      <c r="E5043" s="1" t="s">
        <v>1107</v>
      </c>
    </row>
    <row r="5044" spans="1:5" x14ac:dyDescent="0.2">
      <c r="A5044" s="1" t="s">
        <v>1276</v>
      </c>
      <c r="B5044" s="1" t="s">
        <v>24</v>
      </c>
      <c r="C5044" s="5">
        <f>DATE(2024, 11, 21) + TIME(10, 47, 12)</f>
        <v>45617.449444444443</v>
      </c>
      <c r="D5044" s="1" t="s">
        <v>754</v>
      </c>
      <c r="E5044" s="1" t="s">
        <v>135</v>
      </c>
    </row>
    <row r="5045" spans="1:5" x14ac:dyDescent="0.2">
      <c r="A5045" s="1" t="s">
        <v>1276</v>
      </c>
      <c r="B5045" s="1" t="s">
        <v>951</v>
      </c>
      <c r="C5045" s="5">
        <f>DATE(2024, 11, 21) + TIME(10, 9, 20)</f>
        <v>45617.423148148147</v>
      </c>
      <c r="D5045" s="1" t="s">
        <v>871</v>
      </c>
      <c r="E5045" s="1" t="s">
        <v>340</v>
      </c>
    </row>
    <row r="5046" spans="1:5" x14ac:dyDescent="0.2">
      <c r="A5046" s="1" t="s">
        <v>1276</v>
      </c>
      <c r="B5046" s="1" t="s">
        <v>866</v>
      </c>
      <c r="C5046" s="5">
        <f>DATE(2024, 11, 21) + TIME(8, 23, 48)</f>
        <v>45617.349861111114</v>
      </c>
      <c r="D5046" s="1" t="s">
        <v>5</v>
      </c>
      <c r="E5046" s="1" t="s">
        <v>367</v>
      </c>
    </row>
    <row r="5047" spans="1:5" x14ac:dyDescent="0.2">
      <c r="A5047" s="1" t="s">
        <v>1276</v>
      </c>
      <c r="B5047" s="1" t="s">
        <v>931</v>
      </c>
      <c r="C5047" s="5">
        <f>DATE(2024, 11, 20) + TIME(16, 16, 37)</f>
        <v>45616.678206018521</v>
      </c>
      <c r="D5047" s="1" t="s">
        <v>566</v>
      </c>
      <c r="E5047" s="1" t="s">
        <v>888</v>
      </c>
    </row>
    <row r="5048" spans="1:5" x14ac:dyDescent="0.2">
      <c r="A5048" s="1" t="s">
        <v>1276</v>
      </c>
      <c r="B5048" s="1" t="s">
        <v>1077</v>
      </c>
      <c r="C5048" s="5">
        <f>DATE(2024, 11, 20) + TIME(16, 7, 52)</f>
        <v>45616.672129629631</v>
      </c>
      <c r="D5048" s="1" t="s">
        <v>566</v>
      </c>
      <c r="E5048" s="1" t="s">
        <v>888</v>
      </c>
    </row>
    <row r="5049" spans="1:5" x14ac:dyDescent="0.2">
      <c r="A5049" s="1" t="s">
        <v>1276</v>
      </c>
      <c r="B5049" s="1" t="s">
        <v>1095</v>
      </c>
      <c r="C5049" s="5">
        <f>DATE(2024, 11, 20) + TIME(16, 7, 52)</f>
        <v>45616.672129629631</v>
      </c>
      <c r="D5049" s="1" t="s">
        <v>566</v>
      </c>
      <c r="E5049" s="1" t="s">
        <v>888</v>
      </c>
    </row>
    <row r="5050" spans="1:5" x14ac:dyDescent="0.2">
      <c r="A5050" s="1" t="s">
        <v>1276</v>
      </c>
      <c r="B5050" s="1" t="s">
        <v>1108</v>
      </c>
      <c r="C5050" s="5">
        <f>DATE(2024, 11, 20) + TIME(15, 49, 26)</f>
        <v>45616.659328703703</v>
      </c>
      <c r="D5050" s="1" t="s">
        <v>869</v>
      </c>
      <c r="E5050" s="1" t="s">
        <v>243</v>
      </c>
    </row>
    <row r="5051" spans="1:5" x14ac:dyDescent="0.2">
      <c r="A5051" s="1" t="s">
        <v>1276</v>
      </c>
      <c r="B5051" s="1" t="s">
        <v>153</v>
      </c>
      <c r="C5051" s="5">
        <f>DATE(2024, 11, 20) + TIME(15, 13, 12)</f>
        <v>45616.634166666663</v>
      </c>
      <c r="D5051" s="1" t="s">
        <v>459</v>
      </c>
      <c r="E5051" s="1" t="s">
        <v>799</v>
      </c>
    </row>
    <row r="5052" spans="1:5" x14ac:dyDescent="0.2">
      <c r="A5052" s="1" t="s">
        <v>1276</v>
      </c>
      <c r="B5052" s="1" t="s">
        <v>1098</v>
      </c>
      <c r="C5052" s="5">
        <f>DATE(2024, 11, 20) + TIME(13, 5, 37)</f>
        <v>45616.545567129629</v>
      </c>
      <c r="D5052" s="1" t="s">
        <v>754</v>
      </c>
      <c r="E5052" s="1" t="s">
        <v>760</v>
      </c>
    </row>
    <row r="5053" spans="1:5" x14ac:dyDescent="0.2">
      <c r="A5053" s="1" t="s">
        <v>1276</v>
      </c>
      <c r="B5053" s="1" t="s">
        <v>234</v>
      </c>
      <c r="C5053" s="5">
        <f>DATE(2024, 11, 20) + TIME(12, 4, 19)</f>
        <v>45616.502997685187</v>
      </c>
      <c r="D5053" s="1" t="s">
        <v>126</v>
      </c>
      <c r="E5053" s="1" t="s">
        <v>1055</v>
      </c>
    </row>
    <row r="5054" spans="1:5" x14ac:dyDescent="0.2">
      <c r="A5054" s="1" t="s">
        <v>1276</v>
      </c>
      <c r="B5054" s="1" t="s">
        <v>817</v>
      </c>
      <c r="C5054" s="5">
        <f>DATE(2024, 11, 20) + TIME(11, 57, 51)</f>
        <v>45616.498506944445</v>
      </c>
      <c r="D5054" s="1" t="s">
        <v>750</v>
      </c>
      <c r="E5054" s="1" t="s">
        <v>1049</v>
      </c>
    </row>
    <row r="5055" spans="1:5" x14ac:dyDescent="0.2">
      <c r="A5055" s="1" t="s">
        <v>1276</v>
      </c>
      <c r="B5055" s="1" t="s">
        <v>1043</v>
      </c>
      <c r="C5055" s="5">
        <f>DATE(2024, 11, 19) + TIME(13, 56, 37)</f>
        <v>45615.580983796295</v>
      </c>
      <c r="D5055" s="1" t="s">
        <v>148</v>
      </c>
      <c r="E5055" s="1" t="s">
        <v>877</v>
      </c>
    </row>
    <row r="5056" spans="1:5" x14ac:dyDescent="0.2">
      <c r="A5056" s="1" t="s">
        <v>1276</v>
      </c>
      <c r="B5056" s="1" t="s">
        <v>1109</v>
      </c>
      <c r="C5056" s="5">
        <f>DATE(2024, 11, 19) + TIME(13, 56, 37)</f>
        <v>45615.580983796295</v>
      </c>
      <c r="D5056" s="1" t="s">
        <v>148</v>
      </c>
      <c r="E5056" s="1" t="s">
        <v>877</v>
      </c>
    </row>
    <row r="5057" spans="1:5" x14ac:dyDescent="0.2">
      <c r="A5057" s="1" t="s">
        <v>1276</v>
      </c>
      <c r="B5057" s="1" t="s">
        <v>483</v>
      </c>
      <c r="C5057" s="5">
        <f>DATE(2024, 11, 19) + TIME(13, 56, 37)</f>
        <v>45615.580983796295</v>
      </c>
      <c r="D5057" s="1" t="s">
        <v>148</v>
      </c>
      <c r="E5057" s="1" t="s">
        <v>877</v>
      </c>
    </row>
    <row r="5058" spans="1:5" x14ac:dyDescent="0.2">
      <c r="A5058" s="1" t="s">
        <v>1276</v>
      </c>
      <c r="B5058" s="1" t="s">
        <v>468</v>
      </c>
      <c r="C5058" s="5">
        <f>DATE(2024, 11, 19) + TIME(13, 14, 29)</f>
        <v>45615.551724537036</v>
      </c>
      <c r="D5058" s="1" t="s">
        <v>450</v>
      </c>
      <c r="E5058" s="1" t="s">
        <v>292</v>
      </c>
    </row>
    <row r="5059" spans="1:5" x14ac:dyDescent="0.2">
      <c r="A5059" s="1" t="s">
        <v>1276</v>
      </c>
      <c r="B5059" s="1" t="s">
        <v>864</v>
      </c>
      <c r="C5059" s="5">
        <f>DATE(2024, 11, 19) + TIME(10, 34, 39)</f>
        <v>45615.440729166665</v>
      </c>
      <c r="D5059" s="1" t="s">
        <v>871</v>
      </c>
      <c r="E5059" s="1" t="s">
        <v>1111</v>
      </c>
    </row>
    <row r="5060" spans="1:5" x14ac:dyDescent="0.2">
      <c r="A5060" s="1" t="s">
        <v>1276</v>
      </c>
      <c r="B5060" s="1" t="s">
        <v>422</v>
      </c>
      <c r="C5060" s="5">
        <f>DATE(2024, 11, 19) + TIME(10, 20, 42)</f>
        <v>45615.431041666663</v>
      </c>
      <c r="D5060" s="1" t="s">
        <v>64</v>
      </c>
      <c r="E5060" s="1" t="s">
        <v>987</v>
      </c>
    </row>
    <row r="5061" spans="1:5" x14ac:dyDescent="0.2">
      <c r="A5061" s="1" t="s">
        <v>1276</v>
      </c>
      <c r="B5061" s="1" t="s">
        <v>782</v>
      </c>
      <c r="C5061" s="5">
        <f>DATE(2024, 11, 18) + TIME(16, 54, 19)</f>
        <v>45614.704386574071</v>
      </c>
      <c r="D5061" s="1" t="s">
        <v>1054</v>
      </c>
      <c r="E5061" s="1" t="s">
        <v>210</v>
      </c>
    </row>
    <row r="5062" spans="1:5" x14ac:dyDescent="0.2">
      <c r="A5062" s="1" t="s">
        <v>1276</v>
      </c>
      <c r="B5062" s="1" t="s">
        <v>609</v>
      </c>
      <c r="C5062" s="5">
        <f>DATE(2024, 11, 18) + TIME(16, 54, 19)</f>
        <v>45614.704386574071</v>
      </c>
      <c r="D5062" s="1" t="s">
        <v>1054</v>
      </c>
      <c r="E5062" s="1" t="s">
        <v>210</v>
      </c>
    </row>
    <row r="5063" spans="1:5" x14ac:dyDescent="0.2">
      <c r="A5063" s="1" t="s">
        <v>1276</v>
      </c>
      <c r="B5063" s="1" t="s">
        <v>682</v>
      </c>
      <c r="C5063" s="5">
        <f>DATE(2024, 11, 18) + TIME(15, 47, 46)</f>
        <v>45614.658171296294</v>
      </c>
      <c r="D5063" s="1" t="s">
        <v>64</v>
      </c>
      <c r="E5063" s="1" t="s">
        <v>630</v>
      </c>
    </row>
    <row r="5064" spans="1:5" x14ac:dyDescent="0.2">
      <c r="A5064" s="1" t="s">
        <v>1276</v>
      </c>
      <c r="B5064" s="1" t="s">
        <v>654</v>
      </c>
      <c r="C5064" s="5">
        <f>DATE(2024, 11, 18) + TIME(15, 6, 34)</f>
        <v>45614.629560185182</v>
      </c>
      <c r="D5064" s="1" t="s">
        <v>754</v>
      </c>
      <c r="E5064" s="1" t="s">
        <v>870</v>
      </c>
    </row>
    <row r="5065" spans="1:5" x14ac:dyDescent="0.2">
      <c r="A5065" s="1" t="s">
        <v>1276</v>
      </c>
      <c r="B5065" s="1" t="s">
        <v>1021</v>
      </c>
      <c r="C5065" s="5">
        <f>DATE(2024, 11, 18) + TIME(14, 57, 41)</f>
        <v>45614.623391203706</v>
      </c>
      <c r="D5065" s="1" t="s">
        <v>640</v>
      </c>
      <c r="E5065" s="1" t="s">
        <v>520</v>
      </c>
    </row>
    <row r="5066" spans="1:5" x14ac:dyDescent="0.2">
      <c r="A5066" s="1" t="s">
        <v>1276</v>
      </c>
      <c r="B5066" s="1" t="s">
        <v>183</v>
      </c>
      <c r="C5066" s="5">
        <f>DATE(2024, 11, 18) + TIME(14, 41, 34)</f>
        <v>45614.612199074072</v>
      </c>
      <c r="D5066" s="1" t="s">
        <v>320</v>
      </c>
      <c r="E5066" s="1" t="s">
        <v>406</v>
      </c>
    </row>
    <row r="5067" spans="1:5" x14ac:dyDescent="0.2">
      <c r="A5067" s="1" t="s">
        <v>1276</v>
      </c>
      <c r="B5067" s="1" t="s">
        <v>677</v>
      </c>
      <c r="C5067" s="5">
        <f>DATE(2024, 11, 18) + TIME(14, 41, 34)</f>
        <v>45614.612199074072</v>
      </c>
      <c r="D5067" s="1" t="s">
        <v>320</v>
      </c>
      <c r="E5067" s="1" t="s">
        <v>406</v>
      </c>
    </row>
    <row r="5068" spans="1:5" x14ac:dyDescent="0.2">
      <c r="A5068" s="1" t="s">
        <v>1276</v>
      </c>
      <c r="B5068" s="1" t="s">
        <v>1112</v>
      </c>
      <c r="C5068" s="5">
        <f>DATE(2024, 11, 18) + TIME(14, 30, 20)</f>
        <v>45614.604398148149</v>
      </c>
      <c r="D5068" s="1" t="s">
        <v>269</v>
      </c>
      <c r="E5068" s="1" t="s">
        <v>299</v>
      </c>
    </row>
    <row r="5069" spans="1:5" x14ac:dyDescent="0.2">
      <c r="A5069" s="1" t="s">
        <v>1276</v>
      </c>
      <c r="B5069" s="1" t="s">
        <v>44</v>
      </c>
      <c r="C5069" s="5">
        <f>DATE(2024, 11, 18) + TIME(14, 30, 20)</f>
        <v>45614.604398148149</v>
      </c>
      <c r="D5069" s="1" t="s">
        <v>269</v>
      </c>
      <c r="E5069" s="1" t="s">
        <v>299</v>
      </c>
    </row>
    <row r="5070" spans="1:5" x14ac:dyDescent="0.2">
      <c r="A5070" s="1" t="s">
        <v>1276</v>
      </c>
      <c r="B5070" s="1" t="s">
        <v>1113</v>
      </c>
      <c r="C5070" s="5">
        <f>DATE(2024, 11, 18) + TIME(14, 30, 19)</f>
        <v>45614.604386574072</v>
      </c>
      <c r="D5070" s="1" t="s">
        <v>269</v>
      </c>
      <c r="E5070" s="1" t="s">
        <v>299</v>
      </c>
    </row>
    <row r="5071" spans="1:5" x14ac:dyDescent="0.2">
      <c r="A5071" s="1" t="s">
        <v>1276</v>
      </c>
      <c r="B5071" s="1" t="s">
        <v>1021</v>
      </c>
      <c r="C5071" s="5">
        <f>DATE(2024, 11, 18) + TIME(14, 29, 16)</f>
        <v>45614.60365740741</v>
      </c>
      <c r="D5071" s="1" t="s">
        <v>638</v>
      </c>
      <c r="E5071" s="1" t="s">
        <v>188</v>
      </c>
    </row>
    <row r="5072" spans="1:5" x14ac:dyDescent="0.2">
      <c r="A5072" s="1" t="s">
        <v>1276</v>
      </c>
      <c r="B5072" s="1" t="s">
        <v>937</v>
      </c>
      <c r="C5072" s="5">
        <f>DATE(2024, 11, 18) + TIME(14, 12, 40)</f>
        <v>45614.592129629629</v>
      </c>
      <c r="D5072" s="1" t="s">
        <v>391</v>
      </c>
      <c r="E5072" s="1" t="s">
        <v>883</v>
      </c>
    </row>
    <row r="5073" spans="1:5" x14ac:dyDescent="0.2">
      <c r="A5073" s="1" t="s">
        <v>1276</v>
      </c>
      <c r="B5073" s="1" t="s">
        <v>1115</v>
      </c>
      <c r="C5073" s="5">
        <f>DATE(2024, 11, 18) + TIME(13, 17, 23)</f>
        <v>45614.553738425922</v>
      </c>
      <c r="D5073" s="1" t="s">
        <v>754</v>
      </c>
      <c r="E5073" s="1" t="s">
        <v>441</v>
      </c>
    </row>
    <row r="5074" spans="1:5" x14ac:dyDescent="0.2">
      <c r="A5074" s="1" t="s">
        <v>1276</v>
      </c>
      <c r="B5074" s="1" t="s">
        <v>69</v>
      </c>
      <c r="C5074" s="5">
        <f>DATE(2024, 11, 18) + TIME(12, 54, 43)</f>
        <v>45614.537997685184</v>
      </c>
      <c r="D5074" s="1" t="s">
        <v>269</v>
      </c>
      <c r="E5074" s="1" t="s">
        <v>280</v>
      </c>
    </row>
    <row r="5075" spans="1:5" x14ac:dyDescent="0.2">
      <c r="A5075" s="1" t="s">
        <v>1276</v>
      </c>
      <c r="B5075" s="1" t="s">
        <v>1116</v>
      </c>
      <c r="C5075" s="5">
        <f>DATE(2024, 11, 14) + TIME(15, 59, 46)</f>
        <v>45610.666504629633</v>
      </c>
      <c r="D5075" s="1" t="s">
        <v>566</v>
      </c>
      <c r="E5075" s="1" t="s">
        <v>324</v>
      </c>
    </row>
    <row r="5076" spans="1:5" x14ac:dyDescent="0.2">
      <c r="A5076" s="1" t="s">
        <v>1276</v>
      </c>
      <c r="B5076" s="1" t="s">
        <v>322</v>
      </c>
      <c r="C5076" s="5">
        <f>DATE(2024, 11, 14) + TIME(14, 33, 34)</f>
        <v>45610.60664351852</v>
      </c>
      <c r="D5076" s="1" t="s">
        <v>320</v>
      </c>
      <c r="E5076" s="1" t="s">
        <v>2</v>
      </c>
    </row>
    <row r="5077" spans="1:5" x14ac:dyDescent="0.2">
      <c r="A5077" s="1" t="s">
        <v>1276</v>
      </c>
      <c r="B5077" s="1" t="s">
        <v>163</v>
      </c>
      <c r="C5077" s="5">
        <f>DATE(2024, 11, 14) + TIME(12, 57, 35)</f>
        <v>45610.539988425924</v>
      </c>
      <c r="D5077" s="1" t="s">
        <v>450</v>
      </c>
      <c r="E5077" s="1" t="s">
        <v>691</v>
      </c>
    </row>
    <row r="5078" spans="1:5" x14ac:dyDescent="0.2">
      <c r="A5078" s="1" t="s">
        <v>1276</v>
      </c>
      <c r="B5078" s="1" t="s">
        <v>1044</v>
      </c>
      <c r="C5078" s="5">
        <f>DATE(2024, 11, 14) + TIME(12, 0, 37)</f>
        <v>45610.500428240739</v>
      </c>
      <c r="D5078" s="1" t="s">
        <v>3</v>
      </c>
      <c r="E5078" s="1" t="s">
        <v>684</v>
      </c>
    </row>
    <row r="5079" spans="1:5" x14ac:dyDescent="0.2">
      <c r="A5079" s="1" t="s">
        <v>1276</v>
      </c>
      <c r="B5079" s="1" t="s">
        <v>118</v>
      </c>
      <c r="C5079" s="5">
        <f>DATE(2024, 11, 14) + TIME(11, 32, 35)</f>
        <v>45610.48096064815</v>
      </c>
      <c r="D5079" s="1" t="s">
        <v>3</v>
      </c>
      <c r="E5079" s="1" t="s">
        <v>936</v>
      </c>
    </row>
    <row r="5080" spans="1:5" x14ac:dyDescent="0.2">
      <c r="A5080" s="1" t="s">
        <v>1276</v>
      </c>
      <c r="B5080" s="1" t="s">
        <v>33</v>
      </c>
      <c r="C5080" s="5">
        <f>DATE(2024, 11, 14) + TIME(10, 51, 3)</f>
        <v>45610.452118055553</v>
      </c>
      <c r="D5080" s="1" t="s">
        <v>754</v>
      </c>
      <c r="E5080" s="1" t="s">
        <v>941</v>
      </c>
    </row>
    <row r="5081" spans="1:5" x14ac:dyDescent="0.2">
      <c r="A5081" s="1" t="s">
        <v>1276</v>
      </c>
      <c r="B5081" s="1" t="s">
        <v>22</v>
      </c>
      <c r="C5081" s="5">
        <f>DATE(2024, 11, 13) + TIME(16, 2, 18)</f>
        <v>45609.668263888889</v>
      </c>
      <c r="D5081" s="1" t="s">
        <v>576</v>
      </c>
      <c r="E5081" s="1" t="s">
        <v>85</v>
      </c>
    </row>
    <row r="5082" spans="1:5" x14ac:dyDescent="0.2">
      <c r="A5082" s="1" t="s">
        <v>1276</v>
      </c>
      <c r="B5082" s="1" t="s">
        <v>1021</v>
      </c>
      <c r="C5082" s="5">
        <f>DATE(2024, 11, 13) + TIME(15, 22, 36)</f>
        <v>45609.640694444446</v>
      </c>
      <c r="D5082" s="1" t="s">
        <v>566</v>
      </c>
      <c r="E5082" s="1" t="s">
        <v>1042</v>
      </c>
    </row>
    <row r="5083" spans="1:5" x14ac:dyDescent="0.2">
      <c r="A5083" s="1" t="s">
        <v>1276</v>
      </c>
      <c r="B5083" s="1" t="s">
        <v>81</v>
      </c>
      <c r="C5083" s="5">
        <f>DATE(2024, 11, 13) + TIME(15, 22, 35)</f>
        <v>45609.640682870369</v>
      </c>
      <c r="D5083" s="1" t="s">
        <v>566</v>
      </c>
      <c r="E5083" s="1" t="s">
        <v>1042</v>
      </c>
    </row>
    <row r="5084" spans="1:5" x14ac:dyDescent="0.2">
      <c r="A5084" s="1" t="s">
        <v>1276</v>
      </c>
      <c r="B5084" s="1" t="s">
        <v>937</v>
      </c>
      <c r="C5084" s="5">
        <f>DATE(2024, 11, 13) + TIME(15, 22, 35)</f>
        <v>45609.640682870369</v>
      </c>
      <c r="D5084" s="1" t="s">
        <v>566</v>
      </c>
      <c r="E5084" s="1" t="s">
        <v>1042</v>
      </c>
    </row>
    <row r="5085" spans="1:5" x14ac:dyDescent="0.2">
      <c r="A5085" s="1" t="s">
        <v>1276</v>
      </c>
      <c r="B5085" s="1" t="s">
        <v>411</v>
      </c>
      <c r="C5085" s="5">
        <f>DATE(2024, 11, 13) + TIME(15, 22, 34)</f>
        <v>45609.6406712963</v>
      </c>
      <c r="D5085" s="1" t="s">
        <v>566</v>
      </c>
      <c r="E5085" s="1" t="s">
        <v>1042</v>
      </c>
    </row>
    <row r="5086" spans="1:5" x14ac:dyDescent="0.2">
      <c r="A5086" s="1" t="s">
        <v>1276</v>
      </c>
      <c r="B5086" s="1" t="s">
        <v>944</v>
      </c>
      <c r="C5086" s="5">
        <f>DATE(2024, 11, 13) + TIME(15, 5, 17)</f>
        <v>45609.628668981481</v>
      </c>
      <c r="D5086" s="1" t="s">
        <v>566</v>
      </c>
      <c r="E5086" s="1" t="s">
        <v>888</v>
      </c>
    </row>
    <row r="5087" spans="1:5" x14ac:dyDescent="0.2">
      <c r="A5087" s="1" t="s">
        <v>1276</v>
      </c>
      <c r="B5087" s="1" t="s">
        <v>44</v>
      </c>
      <c r="C5087" s="5">
        <f>DATE(2024, 11, 13) + TIME(15, 5, 17)</f>
        <v>45609.628668981481</v>
      </c>
      <c r="D5087" s="1" t="s">
        <v>566</v>
      </c>
      <c r="E5087" s="1" t="s">
        <v>888</v>
      </c>
    </row>
    <row r="5088" spans="1:5" x14ac:dyDescent="0.2">
      <c r="A5088" s="1" t="s">
        <v>1276</v>
      </c>
      <c r="B5088" s="1" t="s">
        <v>654</v>
      </c>
      <c r="C5088" s="5">
        <f>DATE(2024, 11, 13) + TIME(15, 5, 16)</f>
        <v>45609.628657407404</v>
      </c>
      <c r="D5088" s="1" t="s">
        <v>566</v>
      </c>
      <c r="E5088" s="1" t="s">
        <v>888</v>
      </c>
    </row>
    <row r="5089" spans="1:5" x14ac:dyDescent="0.2">
      <c r="A5089" s="1" t="s">
        <v>1276</v>
      </c>
      <c r="B5089" s="1" t="s">
        <v>290</v>
      </c>
      <c r="C5089" s="5">
        <f>DATE(2024, 11, 13) + TIME(15, 5, 16)</f>
        <v>45609.628657407404</v>
      </c>
      <c r="D5089" s="1" t="s">
        <v>566</v>
      </c>
      <c r="E5089" s="1" t="s">
        <v>888</v>
      </c>
    </row>
    <row r="5090" spans="1:5" x14ac:dyDescent="0.2">
      <c r="A5090" s="1" t="s">
        <v>1276</v>
      </c>
      <c r="B5090" s="1" t="s">
        <v>1118</v>
      </c>
      <c r="C5090" s="5">
        <f>DATE(2024, 11, 13) + TIME(15, 5, 16)</f>
        <v>45609.628657407404</v>
      </c>
      <c r="D5090" s="1" t="s">
        <v>566</v>
      </c>
      <c r="E5090" s="1" t="s">
        <v>888</v>
      </c>
    </row>
    <row r="5091" spans="1:5" x14ac:dyDescent="0.2">
      <c r="A5091" s="1" t="s">
        <v>1276</v>
      </c>
      <c r="B5091" s="1" t="s">
        <v>1100</v>
      </c>
      <c r="C5091" s="5">
        <f>DATE(2024, 11, 13) + TIME(15, 3, 55)</f>
        <v>45609.62771990741</v>
      </c>
      <c r="D5091" s="1" t="s">
        <v>3</v>
      </c>
      <c r="E5091" s="1" t="s">
        <v>73</v>
      </c>
    </row>
    <row r="5092" spans="1:5" x14ac:dyDescent="0.2">
      <c r="A5092" s="1" t="s">
        <v>1276</v>
      </c>
      <c r="B5092" s="1" t="s">
        <v>937</v>
      </c>
      <c r="C5092" s="5">
        <f>DATE(2024, 11, 13) + TIME(14, 40, 10)</f>
        <v>45609.611226851855</v>
      </c>
      <c r="D5092" s="1" t="s">
        <v>506</v>
      </c>
      <c r="E5092" s="1" t="s">
        <v>158</v>
      </c>
    </row>
    <row r="5093" spans="1:5" x14ac:dyDescent="0.2">
      <c r="A5093" s="1" t="s">
        <v>1276</v>
      </c>
      <c r="B5093" s="1" t="s">
        <v>295</v>
      </c>
      <c r="C5093" s="5">
        <f>DATE(2024, 11, 13) + TIME(14, 40, 9)</f>
        <v>45609.611215277779</v>
      </c>
      <c r="D5093" s="1" t="s">
        <v>506</v>
      </c>
      <c r="E5093" s="1" t="s">
        <v>158</v>
      </c>
    </row>
    <row r="5094" spans="1:5" x14ac:dyDescent="0.2">
      <c r="A5094" s="1" t="s">
        <v>1276</v>
      </c>
      <c r="B5094" s="1" t="s">
        <v>864</v>
      </c>
      <c r="C5094" s="5">
        <f>DATE(2024, 11, 13) + TIME(14, 21, 8)</f>
        <v>45609.598009259258</v>
      </c>
      <c r="D5094" s="1" t="s">
        <v>320</v>
      </c>
      <c r="E5094" s="1" t="s">
        <v>902</v>
      </c>
    </row>
    <row r="5095" spans="1:5" x14ac:dyDescent="0.2">
      <c r="A5095" s="1" t="s">
        <v>1276</v>
      </c>
      <c r="B5095" s="1" t="s">
        <v>651</v>
      </c>
      <c r="C5095" s="5">
        <f>DATE(2024, 11, 13) + TIME(14, 16, 4)</f>
        <v>45609.594490740739</v>
      </c>
      <c r="D5095" s="1" t="s">
        <v>871</v>
      </c>
      <c r="E5095" s="1" t="s">
        <v>1119</v>
      </c>
    </row>
    <row r="5096" spans="1:5" x14ac:dyDescent="0.2">
      <c r="A5096" s="1" t="s">
        <v>1276</v>
      </c>
      <c r="B5096" s="1" t="s">
        <v>323</v>
      </c>
      <c r="C5096" s="5">
        <f>DATE(2024, 11, 13) + TIME(14, 16, 4)</f>
        <v>45609.594490740739</v>
      </c>
      <c r="D5096" s="1" t="s">
        <v>871</v>
      </c>
      <c r="E5096" s="1" t="s">
        <v>1119</v>
      </c>
    </row>
    <row r="5097" spans="1:5" x14ac:dyDescent="0.2">
      <c r="A5097" s="1" t="s">
        <v>1276</v>
      </c>
      <c r="B5097" s="1" t="s">
        <v>1021</v>
      </c>
      <c r="C5097" s="5">
        <f>DATE(2024, 11, 13) + TIME(12, 41, 29)</f>
        <v>45609.528807870367</v>
      </c>
      <c r="D5097" s="1" t="s">
        <v>754</v>
      </c>
      <c r="E5097" s="1" t="s">
        <v>363</v>
      </c>
    </row>
    <row r="5098" spans="1:5" x14ac:dyDescent="0.2">
      <c r="A5098" s="1" t="s">
        <v>1276</v>
      </c>
      <c r="B5098" s="1" t="s">
        <v>1043</v>
      </c>
      <c r="C5098" s="5">
        <f>DATE(2024, 11, 13) + TIME(12, 3, 28)</f>
        <v>45609.50240740741</v>
      </c>
      <c r="D5098" s="1" t="s">
        <v>65</v>
      </c>
      <c r="E5098" s="1" t="s">
        <v>918</v>
      </c>
    </row>
    <row r="5099" spans="1:5" x14ac:dyDescent="0.2">
      <c r="A5099" s="1" t="s">
        <v>1276</v>
      </c>
      <c r="B5099" s="1" t="s">
        <v>932</v>
      </c>
      <c r="C5099" s="5">
        <f>DATE(2024, 11, 13) + TIME(12, 2, 4)</f>
        <v>45609.501435185186</v>
      </c>
      <c r="D5099" s="1" t="s">
        <v>576</v>
      </c>
      <c r="E5099" s="1" t="s">
        <v>535</v>
      </c>
    </row>
    <row r="5100" spans="1:5" x14ac:dyDescent="0.2">
      <c r="A5100" s="1" t="s">
        <v>1276</v>
      </c>
      <c r="B5100" s="1" t="s">
        <v>163</v>
      </c>
      <c r="C5100" s="5">
        <f>DATE(2024, 11, 13) + TIME(11, 27, 5)</f>
        <v>45609.477141203701</v>
      </c>
      <c r="D5100" s="1" t="s">
        <v>450</v>
      </c>
      <c r="E5100" s="1" t="s">
        <v>185</v>
      </c>
    </row>
    <row r="5101" spans="1:5" x14ac:dyDescent="0.2">
      <c r="A5101" s="1" t="s">
        <v>1276</v>
      </c>
      <c r="B5101" s="1" t="s">
        <v>139</v>
      </c>
      <c r="C5101" s="5">
        <f>DATE(2024, 11, 13) + TIME(11, 8, 35)</f>
        <v>45609.46429398148</v>
      </c>
      <c r="D5101" s="1" t="s">
        <v>869</v>
      </c>
      <c r="E5101" s="1" t="s">
        <v>1120</v>
      </c>
    </row>
    <row r="5102" spans="1:5" x14ac:dyDescent="0.2">
      <c r="A5102" s="1" t="s">
        <v>1276</v>
      </c>
      <c r="B5102" s="1" t="s">
        <v>944</v>
      </c>
      <c r="C5102" s="5">
        <f>DATE(2024, 11, 13) + TIME(9, 29, 33)</f>
        <v>45609.395520833335</v>
      </c>
      <c r="D5102" s="1" t="s">
        <v>459</v>
      </c>
      <c r="E5102" s="1" t="s">
        <v>160</v>
      </c>
    </row>
    <row r="5103" spans="1:5" x14ac:dyDescent="0.2">
      <c r="A5103" s="1" t="s">
        <v>1276</v>
      </c>
      <c r="B5103" s="1" t="s">
        <v>69</v>
      </c>
      <c r="C5103" s="5">
        <f>DATE(2024, 11, 12) + TIME(16, 5, 48)</f>
        <v>45608.670694444445</v>
      </c>
      <c r="D5103" s="1" t="s">
        <v>269</v>
      </c>
      <c r="E5103" s="1" t="s">
        <v>110</v>
      </c>
    </row>
    <row r="5104" spans="1:5" x14ac:dyDescent="0.2">
      <c r="A5104" s="1" t="s">
        <v>1276</v>
      </c>
      <c r="B5104" s="1" t="s">
        <v>919</v>
      </c>
      <c r="C5104" s="5">
        <f>DATE(2024, 11, 12) + TIME(13, 49, 59)</f>
        <v>45608.576377314814</v>
      </c>
      <c r="D5104" s="1" t="s">
        <v>65</v>
      </c>
      <c r="E5104" s="1" t="s">
        <v>555</v>
      </c>
    </row>
    <row r="5105" spans="1:5" x14ac:dyDescent="0.2">
      <c r="A5105" s="1" t="s">
        <v>1276</v>
      </c>
      <c r="B5105" s="1" t="s">
        <v>716</v>
      </c>
      <c r="C5105" s="5">
        <f>DATE(2024, 11, 12) + TIME(11, 53, 40)</f>
        <v>45608.49560185185</v>
      </c>
      <c r="D5105" s="1" t="s">
        <v>640</v>
      </c>
      <c r="E5105" s="1" t="s">
        <v>761</v>
      </c>
    </row>
    <row r="5106" spans="1:5" x14ac:dyDescent="0.2">
      <c r="A5106" s="1" t="s">
        <v>1276</v>
      </c>
      <c r="B5106" s="1" t="s">
        <v>69</v>
      </c>
      <c r="C5106" s="5">
        <f>DATE(2024, 11, 12) + TIME(11, 11, 45)</f>
        <v>45608.466493055559</v>
      </c>
      <c r="D5106" s="1" t="s">
        <v>871</v>
      </c>
      <c r="E5106" s="1" t="s">
        <v>1111</v>
      </c>
    </row>
    <row r="5107" spans="1:5" x14ac:dyDescent="0.2">
      <c r="A5107" s="1" t="s">
        <v>1276</v>
      </c>
      <c r="B5107" s="1" t="s">
        <v>69</v>
      </c>
      <c r="C5107" s="5">
        <f>DATE(2024, 11, 12) + TIME(9, 39, 49)</f>
        <v>45608.402650462966</v>
      </c>
      <c r="D5107" s="1" t="s">
        <v>869</v>
      </c>
      <c r="E5107" s="1" t="s">
        <v>830</v>
      </c>
    </row>
    <row r="5108" spans="1:5" x14ac:dyDescent="0.2">
      <c r="A5108" s="1" t="s">
        <v>1276</v>
      </c>
      <c r="B5108" s="1" t="s">
        <v>499</v>
      </c>
      <c r="C5108" s="5">
        <f>DATE(2024, 11, 12) + TIME(8, 54, 9)</f>
        <v>45608.370937500003</v>
      </c>
      <c r="D5108" s="1" t="s">
        <v>65</v>
      </c>
      <c r="E5108" s="1" t="s">
        <v>152</v>
      </c>
    </row>
    <row r="5109" spans="1:5" x14ac:dyDescent="0.2">
      <c r="A5109" s="1" t="s">
        <v>1276</v>
      </c>
      <c r="B5109" s="1" t="s">
        <v>409</v>
      </c>
      <c r="C5109" s="5">
        <f>DATE(2024, 11, 12) + TIME(8, 19, 33)</f>
        <v>45608.346909722219</v>
      </c>
      <c r="D5109" s="1" t="s">
        <v>65</v>
      </c>
      <c r="E5109" s="1" t="s">
        <v>219</v>
      </c>
    </row>
    <row r="5110" spans="1:5" x14ac:dyDescent="0.2">
      <c r="A5110" s="1" t="s">
        <v>1276</v>
      </c>
      <c r="B5110" s="1" t="s">
        <v>587</v>
      </c>
      <c r="C5110" s="5">
        <f>DATE(2024, 11, 11) + TIME(14, 18, 25)</f>
        <v>45607.596122685187</v>
      </c>
      <c r="D5110" s="1" t="s">
        <v>320</v>
      </c>
      <c r="E5110" s="1" t="s">
        <v>948</v>
      </c>
    </row>
    <row r="5111" spans="1:5" x14ac:dyDescent="0.2">
      <c r="A5111" s="1" t="s">
        <v>1276</v>
      </c>
      <c r="B5111" s="1" t="s">
        <v>1021</v>
      </c>
      <c r="C5111" s="5">
        <f>DATE(2024, 11, 11) + TIME(13, 51, 16)</f>
        <v>45607.577268518522</v>
      </c>
      <c r="D5111" s="1" t="s">
        <v>1054</v>
      </c>
      <c r="E5111" s="1" t="s">
        <v>351</v>
      </c>
    </row>
    <row r="5112" spans="1:5" x14ac:dyDescent="0.2">
      <c r="A5112" s="1" t="s">
        <v>1276</v>
      </c>
      <c r="B5112" s="1" t="s">
        <v>413</v>
      </c>
      <c r="C5112" s="5">
        <f>DATE(2024, 11, 11) + TIME(13, 23, 20)</f>
        <v>45607.557870370372</v>
      </c>
      <c r="D5112" s="1" t="s">
        <v>5</v>
      </c>
      <c r="E5112" s="1" t="s">
        <v>599</v>
      </c>
    </row>
    <row r="5113" spans="1:5" x14ac:dyDescent="0.2">
      <c r="A5113" s="1" t="s">
        <v>1276</v>
      </c>
      <c r="B5113" s="1" t="s">
        <v>29</v>
      </c>
      <c r="C5113" s="5">
        <f>DATE(2024, 11, 11) + TIME(13, 23, 20)</f>
        <v>45607.557870370372</v>
      </c>
      <c r="D5113" s="1" t="s">
        <v>5</v>
      </c>
      <c r="E5113" s="1" t="s">
        <v>599</v>
      </c>
    </row>
    <row r="5114" spans="1:5" x14ac:dyDescent="0.2">
      <c r="A5114" s="1" t="s">
        <v>1276</v>
      </c>
      <c r="B5114" s="1" t="s">
        <v>654</v>
      </c>
      <c r="C5114" s="5">
        <f>DATE(2024, 11, 11) + TIME(13, 23, 19)</f>
        <v>45607.557858796295</v>
      </c>
      <c r="D5114" s="1" t="s">
        <v>5</v>
      </c>
      <c r="E5114" s="1" t="s">
        <v>599</v>
      </c>
    </row>
    <row r="5115" spans="1:5" x14ac:dyDescent="0.2">
      <c r="A5115" s="1" t="s">
        <v>1276</v>
      </c>
      <c r="B5115" s="1" t="s">
        <v>409</v>
      </c>
      <c r="C5115" s="5">
        <f>DATE(2024, 11, 11) + TIME(12, 8, 43)</f>
        <v>45607.506053240744</v>
      </c>
      <c r="D5115" s="1" t="s">
        <v>65</v>
      </c>
      <c r="E5115" s="1" t="s">
        <v>219</v>
      </c>
    </row>
    <row r="5116" spans="1:5" x14ac:dyDescent="0.2">
      <c r="A5116" s="1" t="s">
        <v>1276</v>
      </c>
      <c r="B5116" s="1" t="s">
        <v>234</v>
      </c>
      <c r="C5116" s="5">
        <f>DATE(2024, 11, 7) + TIME(15, 37, 40)</f>
        <v>45603.65115740741</v>
      </c>
      <c r="D5116" s="1" t="s">
        <v>506</v>
      </c>
      <c r="E5116" s="1" t="s">
        <v>538</v>
      </c>
    </row>
    <row r="5117" spans="1:5" x14ac:dyDescent="0.2">
      <c r="A5117" s="1" t="s">
        <v>1276</v>
      </c>
      <c r="B5117" s="1" t="s">
        <v>290</v>
      </c>
      <c r="C5117" s="5">
        <f>DATE(2024, 11, 7) + TIME(15, 9, 35)</f>
        <v>45603.631655092591</v>
      </c>
      <c r="D5117" s="1" t="s">
        <v>754</v>
      </c>
      <c r="E5117" s="1" t="s">
        <v>1123</v>
      </c>
    </row>
    <row r="5118" spans="1:5" x14ac:dyDescent="0.2">
      <c r="A5118" s="1" t="s">
        <v>1276</v>
      </c>
      <c r="B5118" s="1" t="s">
        <v>328</v>
      </c>
      <c r="C5118" s="5">
        <f>DATE(2024, 11, 7) + TIME(15, 9, 34)</f>
        <v>45603.631643518522</v>
      </c>
      <c r="D5118" s="1" t="s">
        <v>754</v>
      </c>
      <c r="E5118" s="1" t="s">
        <v>1123</v>
      </c>
    </row>
    <row r="5119" spans="1:5" x14ac:dyDescent="0.2">
      <c r="A5119" s="1" t="s">
        <v>1276</v>
      </c>
      <c r="B5119" s="1" t="s">
        <v>411</v>
      </c>
      <c r="C5119" s="5">
        <f>DATE(2024, 11, 7) + TIME(15, 8, 59)</f>
        <v>45603.631238425929</v>
      </c>
      <c r="D5119" s="1" t="s">
        <v>506</v>
      </c>
      <c r="E5119" s="1" t="s">
        <v>6</v>
      </c>
    </row>
    <row r="5120" spans="1:5" x14ac:dyDescent="0.2">
      <c r="A5120" s="1" t="s">
        <v>1276</v>
      </c>
      <c r="B5120" s="1" t="s">
        <v>1100</v>
      </c>
      <c r="C5120" s="5">
        <f>DATE(2024, 11, 7) + TIME(15, 7, 26)</f>
        <v>45603.630162037036</v>
      </c>
      <c r="D5120" s="1" t="s">
        <v>396</v>
      </c>
      <c r="E5120" s="1" t="s">
        <v>652</v>
      </c>
    </row>
    <row r="5121" spans="1:5" x14ac:dyDescent="0.2">
      <c r="A5121" s="1" t="s">
        <v>1276</v>
      </c>
      <c r="B5121" s="1" t="s">
        <v>493</v>
      </c>
      <c r="C5121" s="5">
        <f>DATE(2024, 11, 7) + TIME(15, 6, 23)</f>
        <v>45603.629432870373</v>
      </c>
      <c r="D5121" s="1" t="s">
        <v>640</v>
      </c>
      <c r="E5121" s="1" t="s">
        <v>667</v>
      </c>
    </row>
    <row r="5122" spans="1:5" x14ac:dyDescent="0.2">
      <c r="A5122" s="1" t="s">
        <v>1276</v>
      </c>
      <c r="B5122" s="1" t="s">
        <v>485</v>
      </c>
      <c r="C5122" s="5">
        <f>DATE(2024, 11, 7) + TIME(14, 58, 2)</f>
        <v>45603.62363425926</v>
      </c>
      <c r="D5122" s="1" t="s">
        <v>566</v>
      </c>
      <c r="E5122" s="1" t="s">
        <v>324</v>
      </c>
    </row>
    <row r="5123" spans="1:5" x14ac:dyDescent="0.2">
      <c r="A5123" s="1" t="s">
        <v>1276</v>
      </c>
      <c r="B5123" s="1" t="s">
        <v>789</v>
      </c>
      <c r="C5123" s="5">
        <f>DATE(2024, 11, 7) + TIME(14, 58, 2)</f>
        <v>45603.62363425926</v>
      </c>
      <c r="D5123" s="1" t="s">
        <v>566</v>
      </c>
      <c r="E5123" s="1" t="s">
        <v>324</v>
      </c>
    </row>
    <row r="5124" spans="1:5" x14ac:dyDescent="0.2">
      <c r="A5124" s="1" t="s">
        <v>1276</v>
      </c>
      <c r="B5124" s="1" t="s">
        <v>752</v>
      </c>
      <c r="C5124" s="5">
        <f>DATE(2024, 11, 7) + TIME(14, 41, 52)</f>
        <v>45603.612407407411</v>
      </c>
      <c r="D5124" s="1" t="s">
        <v>506</v>
      </c>
      <c r="E5124" s="1" t="s">
        <v>867</v>
      </c>
    </row>
    <row r="5125" spans="1:5" x14ac:dyDescent="0.2">
      <c r="A5125" s="1" t="s">
        <v>1276</v>
      </c>
      <c r="B5125" s="1" t="s">
        <v>1043</v>
      </c>
      <c r="C5125" s="5">
        <f>DATE(2024, 11, 7) + TIME(14, 38, 24)</f>
        <v>45603.61</v>
      </c>
      <c r="D5125" s="1" t="s">
        <v>640</v>
      </c>
      <c r="E5125" s="1" t="s">
        <v>283</v>
      </c>
    </row>
    <row r="5126" spans="1:5" x14ac:dyDescent="0.2">
      <c r="A5126" s="1" t="s">
        <v>1276</v>
      </c>
      <c r="B5126" s="1" t="s">
        <v>561</v>
      </c>
      <c r="C5126" s="5">
        <f>DATE(2024, 11, 7) + TIME(14, 38, 24)</f>
        <v>45603.61</v>
      </c>
      <c r="D5126" s="1" t="s">
        <v>640</v>
      </c>
      <c r="E5126" s="1" t="s">
        <v>667</v>
      </c>
    </row>
    <row r="5127" spans="1:5" x14ac:dyDescent="0.2">
      <c r="A5127" s="1" t="s">
        <v>1276</v>
      </c>
      <c r="B5127" s="1" t="s">
        <v>22</v>
      </c>
      <c r="C5127" s="5">
        <f>DATE(2024, 11, 7) + TIME(14, 13, 54)</f>
        <v>45603.592986111114</v>
      </c>
      <c r="D5127" s="1" t="s">
        <v>638</v>
      </c>
      <c r="E5127" s="1" t="s">
        <v>85</v>
      </c>
    </row>
    <row r="5128" spans="1:5" x14ac:dyDescent="0.2">
      <c r="A5128" s="1" t="s">
        <v>1276</v>
      </c>
      <c r="B5128" s="1" t="s">
        <v>290</v>
      </c>
      <c r="C5128" s="5">
        <f>DATE(2024, 11, 7) + TIME(12, 45, 29)</f>
        <v>45603.531585648147</v>
      </c>
      <c r="D5128" s="1" t="s">
        <v>750</v>
      </c>
      <c r="E5128" s="1" t="s">
        <v>466</v>
      </c>
    </row>
    <row r="5129" spans="1:5" x14ac:dyDescent="0.2">
      <c r="A5129" s="1" t="s">
        <v>1276</v>
      </c>
      <c r="B5129" s="1" t="s">
        <v>817</v>
      </c>
      <c r="C5129" s="5">
        <f>DATE(2024, 11, 7) + TIME(12, 37, 54)</f>
        <v>45603.526319444441</v>
      </c>
      <c r="D5129" s="1" t="s">
        <v>320</v>
      </c>
      <c r="E5129" s="1" t="s">
        <v>698</v>
      </c>
    </row>
    <row r="5130" spans="1:5" x14ac:dyDescent="0.2">
      <c r="A5130" s="1" t="s">
        <v>1276</v>
      </c>
      <c r="B5130" s="1" t="s">
        <v>139</v>
      </c>
      <c r="C5130" s="5">
        <f>DATE(2024, 11, 7) + TIME(12, 26, 17)</f>
        <v>45603.518252314818</v>
      </c>
      <c r="D5130" s="1" t="s">
        <v>640</v>
      </c>
      <c r="E5130" s="1" t="s">
        <v>838</v>
      </c>
    </row>
    <row r="5131" spans="1:5" x14ac:dyDescent="0.2">
      <c r="A5131" s="1" t="s">
        <v>1276</v>
      </c>
      <c r="B5131" s="1" t="s">
        <v>322</v>
      </c>
      <c r="C5131" s="5">
        <f>DATE(2024, 11, 7) + TIME(8, 53, 22)</f>
        <v>45603.370393518519</v>
      </c>
      <c r="D5131" s="1" t="s">
        <v>226</v>
      </c>
      <c r="E5131" s="1" t="s">
        <v>574</v>
      </c>
    </row>
    <row r="5132" spans="1:5" x14ac:dyDescent="0.2">
      <c r="A5132" s="1" t="s">
        <v>1276</v>
      </c>
      <c r="B5132" s="1" t="s">
        <v>864</v>
      </c>
      <c r="C5132" s="5">
        <f>DATE(2024, 11, 7) + TIME(8, 15, 9)</f>
        <v>45603.343854166669</v>
      </c>
      <c r="D5132" s="1" t="s">
        <v>148</v>
      </c>
      <c r="E5132" s="1" t="s">
        <v>529</v>
      </c>
    </row>
    <row r="5133" spans="1:5" x14ac:dyDescent="0.2">
      <c r="A5133" s="1" t="s">
        <v>1276</v>
      </c>
      <c r="B5133" s="1" t="s">
        <v>932</v>
      </c>
      <c r="C5133" s="5">
        <f>DATE(2024, 11, 6) + TIME(17, 0, 30)</f>
        <v>45602.708680555559</v>
      </c>
      <c r="D5133" s="1" t="s">
        <v>731</v>
      </c>
      <c r="E5133" s="1" t="s">
        <v>773</v>
      </c>
    </row>
    <row r="5134" spans="1:5" x14ac:dyDescent="0.2">
      <c r="A5134" s="1" t="s">
        <v>1276</v>
      </c>
      <c r="B5134" s="1" t="s">
        <v>14</v>
      </c>
      <c r="C5134" s="5">
        <f>DATE(2024, 11, 6) + TIME(15, 31, 24)</f>
        <v>45602.646805555552</v>
      </c>
      <c r="D5134" s="1" t="s">
        <v>566</v>
      </c>
      <c r="E5134" s="1" t="s">
        <v>888</v>
      </c>
    </row>
    <row r="5135" spans="1:5" x14ac:dyDescent="0.2">
      <c r="A5135" s="1" t="s">
        <v>1276</v>
      </c>
      <c r="B5135" s="1" t="s">
        <v>682</v>
      </c>
      <c r="C5135" s="5">
        <f>DATE(2024, 11, 6) + TIME(15, 19, 40)</f>
        <v>45602.638657407406</v>
      </c>
      <c r="D5135" s="1" t="s">
        <v>506</v>
      </c>
      <c r="E5135" s="1" t="s">
        <v>158</v>
      </c>
    </row>
    <row r="5136" spans="1:5" x14ac:dyDescent="0.2">
      <c r="A5136" s="1" t="s">
        <v>1276</v>
      </c>
      <c r="B5136" s="1" t="s">
        <v>234</v>
      </c>
      <c r="C5136" s="5">
        <f>DATE(2024, 11, 6) + TIME(15, 19, 40)</f>
        <v>45602.638657407406</v>
      </c>
      <c r="D5136" s="1" t="s">
        <v>506</v>
      </c>
      <c r="E5136" s="1" t="s">
        <v>158</v>
      </c>
    </row>
    <row r="5137" spans="1:5" x14ac:dyDescent="0.2">
      <c r="A5137" s="1" t="s">
        <v>1276</v>
      </c>
      <c r="B5137" s="1" t="s">
        <v>1124</v>
      </c>
      <c r="C5137" s="5">
        <f>DATE(2024, 11, 6) + TIME(15, 15, 38)</f>
        <v>45602.63585648148</v>
      </c>
      <c r="D5137" s="1" t="s">
        <v>320</v>
      </c>
      <c r="E5137" s="1" t="s">
        <v>2</v>
      </c>
    </row>
    <row r="5138" spans="1:5" x14ac:dyDescent="0.2">
      <c r="A5138" s="1" t="s">
        <v>1276</v>
      </c>
      <c r="B5138" s="1" t="s">
        <v>63</v>
      </c>
      <c r="C5138" s="5">
        <f>DATE(2024, 11, 6) + TIME(15, 14, 58)</f>
        <v>45602.635393518518</v>
      </c>
      <c r="D5138" s="1" t="s">
        <v>320</v>
      </c>
      <c r="E5138" s="1" t="s">
        <v>2</v>
      </c>
    </row>
    <row r="5139" spans="1:5" x14ac:dyDescent="0.2">
      <c r="A5139" s="1" t="s">
        <v>1276</v>
      </c>
      <c r="B5139" s="1" t="s">
        <v>234</v>
      </c>
      <c r="C5139" s="5">
        <f>DATE(2024, 11, 6) + TIME(14, 19, 22)</f>
        <v>45602.596782407411</v>
      </c>
      <c r="D5139" s="1" t="s">
        <v>731</v>
      </c>
      <c r="E5139" s="1" t="s">
        <v>19</v>
      </c>
    </row>
    <row r="5140" spans="1:5" x14ac:dyDescent="0.2">
      <c r="A5140" s="1" t="s">
        <v>1276</v>
      </c>
      <c r="B5140" s="1" t="s">
        <v>1021</v>
      </c>
      <c r="C5140" s="5">
        <f>DATE(2024, 11, 6) + TIME(12, 50, 12)</f>
        <v>45602.534861111111</v>
      </c>
      <c r="D5140" s="1" t="s">
        <v>216</v>
      </c>
      <c r="E5140" s="1" t="s">
        <v>321</v>
      </c>
    </row>
    <row r="5141" spans="1:5" x14ac:dyDescent="0.2">
      <c r="A5141" s="1" t="s">
        <v>1276</v>
      </c>
      <c r="B5141" s="1" t="s">
        <v>1126</v>
      </c>
      <c r="C5141" s="5">
        <f>DATE(2024, 11, 6) + TIME(11, 34, 37)</f>
        <v>45602.482372685183</v>
      </c>
      <c r="D5141" s="1" t="s">
        <v>64</v>
      </c>
      <c r="E5141" s="1" t="s">
        <v>873</v>
      </c>
    </row>
    <row r="5142" spans="1:5" x14ac:dyDescent="0.2">
      <c r="A5142" s="1" t="s">
        <v>1276</v>
      </c>
      <c r="B5142" s="1" t="s">
        <v>139</v>
      </c>
      <c r="C5142" s="5">
        <f>DATE(2024, 11, 6) + TIME(10, 46, 1)</f>
        <v>45602.448622685188</v>
      </c>
      <c r="D5142" s="1" t="s">
        <v>5</v>
      </c>
      <c r="E5142" s="1" t="s">
        <v>1005</v>
      </c>
    </row>
    <row r="5143" spans="1:5" x14ac:dyDescent="0.2">
      <c r="A5143" s="1" t="s">
        <v>1276</v>
      </c>
      <c r="B5143" s="1" t="s">
        <v>682</v>
      </c>
      <c r="C5143" s="5">
        <f>DATE(2024, 11, 5) + TIME(16, 14, 19)</f>
        <v>45601.676608796297</v>
      </c>
      <c r="D5143" s="1" t="s">
        <v>64</v>
      </c>
      <c r="E5143" s="1" t="s">
        <v>889</v>
      </c>
    </row>
    <row r="5144" spans="1:5" x14ac:dyDescent="0.2">
      <c r="A5144" s="1" t="s">
        <v>1276</v>
      </c>
      <c r="B5144" s="1" t="s">
        <v>932</v>
      </c>
      <c r="C5144" s="5">
        <f>DATE(2024, 11, 5) + TIME(14, 36, 44)</f>
        <v>45601.608842592592</v>
      </c>
      <c r="D5144" s="1" t="s">
        <v>64</v>
      </c>
      <c r="E5144" s="1" t="s">
        <v>433</v>
      </c>
    </row>
    <row r="5145" spans="1:5" x14ac:dyDescent="0.2">
      <c r="A5145" s="1" t="s">
        <v>1276</v>
      </c>
      <c r="B5145" s="1" t="s">
        <v>411</v>
      </c>
      <c r="C5145" s="5">
        <f>DATE(2024, 11, 5) + TIME(14, 6, 51)</f>
        <v>45601.588090277779</v>
      </c>
      <c r="D5145" s="1" t="s">
        <v>3</v>
      </c>
      <c r="E5145" s="1" t="s">
        <v>571</v>
      </c>
    </row>
    <row r="5146" spans="1:5" x14ac:dyDescent="0.2">
      <c r="A5146" s="1" t="s">
        <v>1276</v>
      </c>
      <c r="B5146" s="1" t="s">
        <v>69</v>
      </c>
      <c r="C5146" s="5">
        <f>DATE(2024, 11, 5) + TIME(10, 56, 59)</f>
        <v>45601.456238425926</v>
      </c>
      <c r="D5146" s="1" t="s">
        <v>869</v>
      </c>
      <c r="E5146" s="1" t="s">
        <v>830</v>
      </c>
    </row>
    <row r="5147" spans="1:5" x14ac:dyDescent="0.2">
      <c r="A5147" s="1" t="s">
        <v>1276</v>
      </c>
      <c r="B5147" s="1" t="s">
        <v>1021</v>
      </c>
      <c r="C5147" s="5">
        <f>DATE(2024, 11, 4) + TIME(15, 37, 2)</f>
        <v>45600.650717592594</v>
      </c>
      <c r="D5147" s="1" t="s">
        <v>1054</v>
      </c>
      <c r="E5147" s="1" t="s">
        <v>351</v>
      </c>
    </row>
    <row r="5148" spans="1:5" x14ac:dyDescent="0.2">
      <c r="A5148" s="1" t="s">
        <v>1276</v>
      </c>
      <c r="B5148" s="1" t="s">
        <v>569</v>
      </c>
      <c r="C5148" s="5">
        <f>DATE(2024, 11, 4) + TIME(15, 36, 0)</f>
        <v>45600.65</v>
      </c>
      <c r="D5148" s="1" t="s">
        <v>871</v>
      </c>
      <c r="E5148" s="1" t="s">
        <v>414</v>
      </c>
    </row>
    <row r="5149" spans="1:5" x14ac:dyDescent="0.2">
      <c r="A5149" s="1" t="s">
        <v>1276</v>
      </c>
      <c r="B5149" s="1" t="s">
        <v>234</v>
      </c>
      <c r="C5149" s="5">
        <f>DATE(2024, 11, 4) + TIME(15, 30, 54)</f>
        <v>45600.646458333336</v>
      </c>
      <c r="D5149" s="1" t="s">
        <v>64</v>
      </c>
      <c r="E5149" s="1" t="s">
        <v>630</v>
      </c>
    </row>
    <row r="5150" spans="1:5" x14ac:dyDescent="0.2">
      <c r="A5150" s="1" t="s">
        <v>1276</v>
      </c>
      <c r="B5150" s="1" t="s">
        <v>163</v>
      </c>
      <c r="C5150" s="5">
        <f>DATE(2024, 11, 4) + TIME(15, 15, 15)</f>
        <v>45600.63559027778</v>
      </c>
      <c r="D5150" s="1" t="s">
        <v>65</v>
      </c>
      <c r="E5150" s="1" t="s">
        <v>103</v>
      </c>
    </row>
    <row r="5151" spans="1:5" x14ac:dyDescent="0.2">
      <c r="A5151" s="1" t="s">
        <v>1276</v>
      </c>
      <c r="B5151" s="1" t="s">
        <v>234</v>
      </c>
      <c r="C5151" s="5">
        <f>DATE(2024, 11, 4) + TIME(15, 11, 58)</f>
        <v>45600.633310185185</v>
      </c>
      <c r="D5151" s="1" t="s">
        <v>320</v>
      </c>
      <c r="E5151" s="1" t="s">
        <v>406</v>
      </c>
    </row>
    <row r="5152" spans="1:5" x14ac:dyDescent="0.2">
      <c r="A5152" s="1" t="s">
        <v>1276</v>
      </c>
      <c r="B5152" s="1" t="s">
        <v>1130</v>
      </c>
      <c r="C5152" s="5">
        <f>DATE(2024, 11, 4) + TIME(15, 11, 57)</f>
        <v>45600.633298611108</v>
      </c>
      <c r="D5152" s="1" t="s">
        <v>320</v>
      </c>
      <c r="E5152" s="1" t="s">
        <v>406</v>
      </c>
    </row>
    <row r="5153" spans="1:5" x14ac:dyDescent="0.2">
      <c r="A5153" s="1" t="s">
        <v>1276</v>
      </c>
      <c r="B5153" s="1" t="s">
        <v>1021</v>
      </c>
      <c r="C5153" s="5">
        <f>DATE(2024, 11, 4) + TIME(14, 11, 46)</f>
        <v>45600.591504629629</v>
      </c>
      <c r="D5153" s="1" t="s">
        <v>754</v>
      </c>
      <c r="E5153" s="1" t="s">
        <v>441</v>
      </c>
    </row>
    <row r="5154" spans="1:5" x14ac:dyDescent="0.2">
      <c r="A5154" s="1" t="s">
        <v>1276</v>
      </c>
      <c r="B5154" s="1" t="s">
        <v>411</v>
      </c>
      <c r="C5154" s="5">
        <f>DATE(2024, 11, 4) + TIME(13, 52, 20)</f>
        <v>45600.578009259261</v>
      </c>
      <c r="D5154" s="1" t="s">
        <v>5</v>
      </c>
      <c r="E5154" s="1" t="s">
        <v>599</v>
      </c>
    </row>
    <row r="5155" spans="1:5" x14ac:dyDescent="0.2">
      <c r="A5155" s="1" t="s">
        <v>1276</v>
      </c>
      <c r="B5155" s="1" t="s">
        <v>322</v>
      </c>
      <c r="C5155" s="5">
        <f>DATE(2024, 11, 4) + TIME(13, 46, 38)</f>
        <v>45600.574050925927</v>
      </c>
      <c r="D5155" s="1" t="s">
        <v>269</v>
      </c>
      <c r="E5155" s="1" t="s">
        <v>273</v>
      </c>
    </row>
    <row r="5156" spans="1:5" x14ac:dyDescent="0.2">
      <c r="A5156" s="1" t="s">
        <v>1276</v>
      </c>
      <c r="B5156" s="1" t="s">
        <v>322</v>
      </c>
      <c r="C5156" s="5">
        <f>DATE(2024, 11, 4) + TIME(12, 44, 45)</f>
        <v>45600.531076388892</v>
      </c>
      <c r="D5156" s="1" t="s">
        <v>3</v>
      </c>
      <c r="E5156" s="1" t="s">
        <v>926</v>
      </c>
    </row>
    <row r="5157" spans="1:5" x14ac:dyDescent="0.2">
      <c r="A5157" s="1" t="s">
        <v>1276</v>
      </c>
      <c r="B5157" s="1" t="s">
        <v>139</v>
      </c>
      <c r="C5157" s="5">
        <f>DATE(2024, 11, 4) + TIME(12, 29, 46)</f>
        <v>45600.520671296297</v>
      </c>
      <c r="D5157" s="1" t="s">
        <v>450</v>
      </c>
      <c r="E5157" s="1" t="s">
        <v>573</v>
      </c>
    </row>
    <row r="5158" spans="1:5" x14ac:dyDescent="0.2">
      <c r="A5158" s="1" t="s">
        <v>1276</v>
      </c>
      <c r="B5158" s="1" t="s">
        <v>4</v>
      </c>
      <c r="C5158" s="5">
        <f>DATE(2024, 11, 4) + TIME(12, 24, 13)</f>
        <v>45600.516817129632</v>
      </c>
      <c r="D5158" s="1" t="s">
        <v>640</v>
      </c>
      <c r="E5158" s="1" t="s">
        <v>753</v>
      </c>
    </row>
    <row r="5159" spans="1:5" x14ac:dyDescent="0.2">
      <c r="A5159" s="1" t="s">
        <v>1276</v>
      </c>
      <c r="B5159" s="1" t="s">
        <v>24</v>
      </c>
      <c r="C5159" s="5">
        <f>DATE(2024, 11, 4) + TIME(12, 24, 13)</f>
        <v>45600.516817129632</v>
      </c>
      <c r="D5159" s="1" t="s">
        <v>640</v>
      </c>
      <c r="E5159" s="1" t="s">
        <v>753</v>
      </c>
    </row>
    <row r="5160" spans="1:5" x14ac:dyDescent="0.2">
      <c r="A5160" s="1" t="s">
        <v>1276</v>
      </c>
      <c r="B5160" s="1" t="s">
        <v>609</v>
      </c>
      <c r="C5160" s="5">
        <f>DATE(2024, 11, 4) + TIME(11, 42, 19)</f>
        <v>45600.487719907411</v>
      </c>
      <c r="D5160" s="1" t="s">
        <v>269</v>
      </c>
      <c r="E5160" s="1" t="s">
        <v>299</v>
      </c>
    </row>
    <row r="5161" spans="1:5" x14ac:dyDescent="0.2">
      <c r="A5161" s="1" t="s">
        <v>1276</v>
      </c>
      <c r="B5161" s="1" t="s">
        <v>737</v>
      </c>
      <c r="C5161" s="5">
        <f>DATE(2024, 11, 4) + TIME(11, 23, 53)</f>
        <v>45600.474918981483</v>
      </c>
      <c r="D5161" s="1" t="s">
        <v>566</v>
      </c>
      <c r="E5161" s="1" t="s">
        <v>938</v>
      </c>
    </row>
    <row r="5162" spans="1:5" x14ac:dyDescent="0.2">
      <c r="A5162" s="1" t="s">
        <v>1276</v>
      </c>
      <c r="B5162" s="1" t="s">
        <v>468</v>
      </c>
      <c r="C5162" s="5">
        <f>DATE(2024, 11, 4) + TIME(11, 23, 53)</f>
        <v>45600.474918981483</v>
      </c>
      <c r="D5162" s="1" t="s">
        <v>566</v>
      </c>
      <c r="E5162" s="1" t="s">
        <v>938</v>
      </c>
    </row>
    <row r="5163" spans="1:5" x14ac:dyDescent="0.2">
      <c r="A5163" s="1" t="s">
        <v>1276</v>
      </c>
      <c r="B5163" s="1" t="s">
        <v>864</v>
      </c>
      <c r="C5163" s="5">
        <f>DATE(2024, 11, 4) + TIME(11, 3, 29)</f>
        <v>45600.460752314815</v>
      </c>
      <c r="D5163" s="1" t="s">
        <v>341</v>
      </c>
      <c r="E5163" s="1" t="s">
        <v>498</v>
      </c>
    </row>
    <row r="5164" spans="1:5" x14ac:dyDescent="0.2">
      <c r="A5164" s="1" t="s">
        <v>1276</v>
      </c>
      <c r="B5164" s="1" t="s">
        <v>483</v>
      </c>
      <c r="C5164" s="5">
        <f>DATE(2024, 11, 3) + TIME(19, 59, 28)</f>
        <v>45599.832962962966</v>
      </c>
      <c r="D5164" s="1" t="s">
        <v>391</v>
      </c>
      <c r="E5164" s="1" t="s">
        <v>1134</v>
      </c>
    </row>
    <row r="5165" spans="1:5" x14ac:dyDescent="0.2">
      <c r="A5165" s="1" t="s">
        <v>1276</v>
      </c>
      <c r="B5165" s="1" t="s">
        <v>425</v>
      </c>
      <c r="C5165" s="5">
        <f>DATE(2024, 10, 31) + TIME(16, 18, 26)</f>
        <v>45596.679467592592</v>
      </c>
      <c r="D5165" s="1" t="s">
        <v>754</v>
      </c>
      <c r="E5165" s="1" t="s">
        <v>441</v>
      </c>
    </row>
    <row r="5166" spans="1:5" x14ac:dyDescent="0.2">
      <c r="A5166" s="1" t="s">
        <v>1276</v>
      </c>
      <c r="B5166" s="1" t="s">
        <v>234</v>
      </c>
      <c r="C5166" s="5">
        <f>DATE(2024, 10, 31) + TIME(15, 52, 19)</f>
        <v>45596.66133101852</v>
      </c>
      <c r="D5166" s="1" t="s">
        <v>566</v>
      </c>
      <c r="E5166" s="1" t="s">
        <v>922</v>
      </c>
    </row>
    <row r="5167" spans="1:5" x14ac:dyDescent="0.2">
      <c r="A5167" s="1" t="s">
        <v>1276</v>
      </c>
      <c r="B5167" s="1" t="s">
        <v>277</v>
      </c>
      <c r="C5167" s="5">
        <f>DATE(2024, 10, 31) + TIME(15, 49, 58)</f>
        <v>45596.659699074073</v>
      </c>
      <c r="D5167" s="1" t="s">
        <v>396</v>
      </c>
      <c r="E5167" s="1" t="s">
        <v>140</v>
      </c>
    </row>
    <row r="5168" spans="1:5" x14ac:dyDescent="0.2">
      <c r="A5168" s="1" t="s">
        <v>1276</v>
      </c>
      <c r="B5168" s="1" t="s">
        <v>978</v>
      </c>
      <c r="C5168" s="5">
        <f>DATE(2024, 10, 31) + TIME(14, 14, 39)</f>
        <v>45596.593506944446</v>
      </c>
      <c r="D5168" s="1" t="s">
        <v>638</v>
      </c>
      <c r="E5168" s="1" t="s">
        <v>397</v>
      </c>
    </row>
    <row r="5169" spans="1:5" x14ac:dyDescent="0.2">
      <c r="A5169" s="1" t="s">
        <v>1276</v>
      </c>
      <c r="B5169" s="1" t="s">
        <v>271</v>
      </c>
      <c r="C5169" s="5">
        <f>DATE(2024, 10, 31) + TIME(14, 12, 56)</f>
        <v>45596.592314814814</v>
      </c>
      <c r="D5169" s="1" t="s">
        <v>396</v>
      </c>
      <c r="E5169" s="1" t="s">
        <v>1086</v>
      </c>
    </row>
    <row r="5170" spans="1:5" x14ac:dyDescent="0.2">
      <c r="A5170" s="1" t="s">
        <v>1276</v>
      </c>
      <c r="B5170" s="1" t="s">
        <v>163</v>
      </c>
      <c r="C5170" s="5">
        <f>DATE(2024, 10, 31) + TIME(13, 8, 7)</f>
        <v>45596.547303240739</v>
      </c>
      <c r="D5170" s="1" t="s">
        <v>566</v>
      </c>
      <c r="E5170" s="1" t="s">
        <v>893</v>
      </c>
    </row>
    <row r="5171" spans="1:5" x14ac:dyDescent="0.2">
      <c r="A5171" s="1" t="s">
        <v>1276</v>
      </c>
      <c r="B5171" s="1" t="s">
        <v>932</v>
      </c>
      <c r="C5171" s="5">
        <f>DATE(2024, 10, 31) + TIME(12, 10, 24)</f>
        <v>45596.507222222222</v>
      </c>
      <c r="D5171" s="1" t="s">
        <v>640</v>
      </c>
      <c r="E5171" s="1" t="s">
        <v>520</v>
      </c>
    </row>
    <row r="5172" spans="1:5" x14ac:dyDescent="0.2">
      <c r="A5172" s="1" t="s">
        <v>1276</v>
      </c>
      <c r="B5172" s="1" t="s">
        <v>1043</v>
      </c>
      <c r="C5172" s="5">
        <f>DATE(2024, 10, 31) + TIME(11, 50, 37)</f>
        <v>45596.493483796294</v>
      </c>
      <c r="D5172" s="1" t="s">
        <v>640</v>
      </c>
      <c r="E5172" s="1" t="s">
        <v>283</v>
      </c>
    </row>
    <row r="5173" spans="1:5" x14ac:dyDescent="0.2">
      <c r="A5173" s="1" t="s">
        <v>1276</v>
      </c>
      <c r="B5173" s="1" t="s">
        <v>228</v>
      </c>
      <c r="C5173" s="5">
        <f>DATE(2024, 10, 31) + TIME(11, 40, 44)</f>
        <v>45596.486620370371</v>
      </c>
      <c r="D5173" s="1" t="s">
        <v>506</v>
      </c>
      <c r="E5173" s="1" t="s">
        <v>635</v>
      </c>
    </row>
    <row r="5174" spans="1:5" x14ac:dyDescent="0.2">
      <c r="A5174" s="1" t="s">
        <v>1276</v>
      </c>
      <c r="B5174" s="1" t="s">
        <v>663</v>
      </c>
      <c r="C5174" s="5">
        <f>DATE(2024, 10, 31) + TIME(10, 48, 30)</f>
        <v>45596.45034722222</v>
      </c>
      <c r="D5174" s="1" t="s">
        <v>5</v>
      </c>
      <c r="E5174" s="1" t="s">
        <v>304</v>
      </c>
    </row>
    <row r="5175" spans="1:5" x14ac:dyDescent="0.2">
      <c r="A5175" s="1" t="s">
        <v>1276</v>
      </c>
      <c r="B5175" s="1" t="s">
        <v>609</v>
      </c>
      <c r="C5175" s="5">
        <f>DATE(2024, 10, 31) + TIME(10, 48, 29)</f>
        <v>45596.450335648151</v>
      </c>
      <c r="D5175" s="1" t="s">
        <v>5</v>
      </c>
      <c r="E5175" s="1" t="s">
        <v>840</v>
      </c>
    </row>
    <row r="5176" spans="1:5" x14ac:dyDescent="0.2">
      <c r="A5176" s="1" t="s">
        <v>1276</v>
      </c>
      <c r="B5176" s="1" t="s">
        <v>15</v>
      </c>
      <c r="C5176" s="5">
        <f>DATE(2024, 10, 30) + TIME(16, 1, 14)</f>
        <v>45595.667523148149</v>
      </c>
      <c r="D5176" s="1" t="s">
        <v>320</v>
      </c>
      <c r="E5176" s="1" t="s">
        <v>565</v>
      </c>
    </row>
    <row r="5177" spans="1:5" x14ac:dyDescent="0.2">
      <c r="A5177" s="1" t="s">
        <v>1276</v>
      </c>
      <c r="B5177" s="1" t="s">
        <v>29</v>
      </c>
      <c r="C5177" s="5">
        <f>DATE(2024, 10, 30) + TIME(15, 39, 42)</f>
        <v>45595.652569444443</v>
      </c>
      <c r="D5177" s="1" t="s">
        <v>459</v>
      </c>
      <c r="E5177" s="1" t="s">
        <v>773</v>
      </c>
    </row>
    <row r="5178" spans="1:5" x14ac:dyDescent="0.2">
      <c r="A5178" s="1" t="s">
        <v>1276</v>
      </c>
      <c r="B5178" s="1" t="s">
        <v>14</v>
      </c>
      <c r="C5178" s="5">
        <f>DATE(2024, 10, 30) + TIME(15, 20, 9)</f>
        <v>45595.638993055552</v>
      </c>
      <c r="D5178" s="1" t="s">
        <v>64</v>
      </c>
      <c r="E5178" s="1" t="s">
        <v>11</v>
      </c>
    </row>
    <row r="5179" spans="1:5" x14ac:dyDescent="0.2">
      <c r="A5179" s="1" t="s">
        <v>1276</v>
      </c>
      <c r="B5179" s="1" t="s">
        <v>1137</v>
      </c>
      <c r="C5179" s="5">
        <f>DATE(2024, 10, 30) + TIME(15, 20, 9)</f>
        <v>45595.638993055552</v>
      </c>
      <c r="D5179" s="1" t="s">
        <v>64</v>
      </c>
      <c r="E5179" s="1" t="s">
        <v>11</v>
      </c>
    </row>
    <row r="5180" spans="1:5" x14ac:dyDescent="0.2">
      <c r="A5180" s="1" t="s">
        <v>1276</v>
      </c>
      <c r="B5180" s="1" t="s">
        <v>1126</v>
      </c>
      <c r="C5180" s="5">
        <f>DATE(2024, 10, 30) + TIME(15, 20, 9)</f>
        <v>45595.638993055552</v>
      </c>
      <c r="D5180" s="1" t="s">
        <v>64</v>
      </c>
      <c r="E5180" s="1" t="s">
        <v>11</v>
      </c>
    </row>
    <row r="5181" spans="1:5" x14ac:dyDescent="0.2">
      <c r="A5181" s="1" t="s">
        <v>1276</v>
      </c>
      <c r="B5181" s="1" t="s">
        <v>1043</v>
      </c>
      <c r="C5181" s="5">
        <f>DATE(2024, 10, 30) + TIME(14, 44, 53)</f>
        <v>45595.614502314813</v>
      </c>
      <c r="D5181" s="1" t="s">
        <v>638</v>
      </c>
      <c r="E5181" s="1" t="s">
        <v>198</v>
      </c>
    </row>
    <row r="5182" spans="1:5" x14ac:dyDescent="0.2">
      <c r="A5182" s="1" t="s">
        <v>1276</v>
      </c>
      <c r="B5182" s="1" t="s">
        <v>682</v>
      </c>
      <c r="C5182" s="5">
        <f>DATE(2024, 10, 30) + TIME(14, 44, 52)</f>
        <v>45595.614490740743</v>
      </c>
      <c r="D5182" s="1" t="s">
        <v>638</v>
      </c>
      <c r="E5182" s="1" t="s">
        <v>198</v>
      </c>
    </row>
    <row r="5183" spans="1:5" x14ac:dyDescent="0.2">
      <c r="A5183" s="1" t="s">
        <v>1276</v>
      </c>
      <c r="B5183" s="1" t="s">
        <v>60</v>
      </c>
      <c r="C5183" s="5">
        <f>DATE(2024, 10, 30) + TIME(14, 29, 59)</f>
        <v>45595.604155092595</v>
      </c>
      <c r="D5183" s="1" t="s">
        <v>255</v>
      </c>
      <c r="E5183" s="1" t="s">
        <v>983</v>
      </c>
    </row>
    <row r="5184" spans="1:5" x14ac:dyDescent="0.2">
      <c r="A5184" s="1" t="s">
        <v>1276</v>
      </c>
      <c r="B5184" s="1" t="s">
        <v>864</v>
      </c>
      <c r="C5184" s="5">
        <f>DATE(2024, 10, 30) + TIME(13, 56, 56)</f>
        <v>45595.581203703703</v>
      </c>
      <c r="D5184" s="1" t="s">
        <v>506</v>
      </c>
      <c r="E5184" s="1" t="s">
        <v>847</v>
      </c>
    </row>
    <row r="5185" spans="1:5" x14ac:dyDescent="0.2">
      <c r="A5185" s="1" t="s">
        <v>1276</v>
      </c>
      <c r="B5185" s="1" t="s">
        <v>1138</v>
      </c>
      <c r="C5185" s="5">
        <f>DATE(2024, 10, 30) + TIME(13, 18, 25)</f>
        <v>45595.554456018515</v>
      </c>
      <c r="D5185" s="1" t="s">
        <v>216</v>
      </c>
      <c r="E5185" s="1" t="s">
        <v>321</v>
      </c>
    </row>
    <row r="5186" spans="1:5" x14ac:dyDescent="0.2">
      <c r="A5186" s="1" t="s">
        <v>1276</v>
      </c>
      <c r="B5186" s="1" t="s">
        <v>1139</v>
      </c>
      <c r="C5186" s="5">
        <f>DATE(2024, 10, 30) + TIME(12, 2, 59)</f>
        <v>45595.502071759256</v>
      </c>
      <c r="D5186" s="1" t="s">
        <v>64</v>
      </c>
      <c r="E5186" s="1" t="s">
        <v>873</v>
      </c>
    </row>
    <row r="5187" spans="1:5" x14ac:dyDescent="0.2">
      <c r="A5187" s="1" t="s">
        <v>1276</v>
      </c>
      <c r="B5187" s="1" t="s">
        <v>163</v>
      </c>
      <c r="C5187" s="5">
        <f>DATE(2024, 10, 30) + TIME(11, 19, 6)</f>
        <v>45595.471597222226</v>
      </c>
      <c r="D5187" s="1" t="s">
        <v>450</v>
      </c>
      <c r="E5187" s="1" t="s">
        <v>1140</v>
      </c>
    </row>
    <row r="5188" spans="1:5" x14ac:dyDescent="0.2">
      <c r="A5188" s="1" t="s">
        <v>1276</v>
      </c>
      <c r="B5188" s="1" t="s">
        <v>1043</v>
      </c>
      <c r="C5188" s="5">
        <f>DATE(2024, 10, 30) + TIME(11, 6, 23)</f>
        <v>45595.462766203702</v>
      </c>
      <c r="D5188" s="1" t="s">
        <v>396</v>
      </c>
      <c r="E5188" s="1" t="s">
        <v>1009</v>
      </c>
    </row>
    <row r="5189" spans="1:5" x14ac:dyDescent="0.2">
      <c r="A5189" s="1" t="s">
        <v>1276</v>
      </c>
      <c r="B5189" s="1" t="s">
        <v>1043</v>
      </c>
      <c r="C5189" s="5">
        <f>DATE(2024, 10, 30) + TIME(11, 5, 30)</f>
        <v>45595.462152777778</v>
      </c>
      <c r="D5189" s="1" t="s">
        <v>396</v>
      </c>
      <c r="E5189" s="1" t="s">
        <v>507</v>
      </c>
    </row>
    <row r="5190" spans="1:5" x14ac:dyDescent="0.2">
      <c r="A5190" s="1" t="s">
        <v>1276</v>
      </c>
      <c r="B5190" s="1" t="s">
        <v>317</v>
      </c>
      <c r="C5190" s="5">
        <f>DATE(2024, 10, 29) + TIME(16, 35, 25)</f>
        <v>45594.691261574073</v>
      </c>
      <c r="D5190" s="1" t="s">
        <v>216</v>
      </c>
      <c r="E5190" s="1" t="s">
        <v>101</v>
      </c>
    </row>
    <row r="5191" spans="1:5" x14ac:dyDescent="0.2">
      <c r="A5191" s="1" t="s">
        <v>1276</v>
      </c>
      <c r="B5191" s="1" t="s">
        <v>234</v>
      </c>
      <c r="C5191" s="5">
        <f>DATE(2024, 10, 29) + TIME(14, 46, 10)</f>
        <v>45594.615393518521</v>
      </c>
      <c r="D5191" s="1" t="s">
        <v>566</v>
      </c>
      <c r="E5191" s="1" t="s">
        <v>888</v>
      </c>
    </row>
    <row r="5192" spans="1:5" x14ac:dyDescent="0.2">
      <c r="A5192" s="1" t="s">
        <v>1276</v>
      </c>
      <c r="B5192" s="1" t="s">
        <v>1098</v>
      </c>
      <c r="C5192" s="5">
        <f>DATE(2024, 10, 29) + TIME(14, 46, 9)</f>
        <v>45594.615381944444</v>
      </c>
      <c r="D5192" s="1" t="s">
        <v>566</v>
      </c>
      <c r="E5192" s="1" t="s">
        <v>888</v>
      </c>
    </row>
    <row r="5193" spans="1:5" x14ac:dyDescent="0.2">
      <c r="A5193" s="1" t="s">
        <v>1276</v>
      </c>
      <c r="B5193" s="1" t="s">
        <v>177</v>
      </c>
      <c r="C5193" s="5">
        <f>DATE(2024, 10, 29) + TIME(14, 23, 5)</f>
        <v>45594.599363425928</v>
      </c>
      <c r="D5193" s="1" t="s">
        <v>126</v>
      </c>
      <c r="E5193" s="1" t="s">
        <v>143</v>
      </c>
    </row>
    <row r="5194" spans="1:5" x14ac:dyDescent="0.2">
      <c r="A5194" s="1" t="s">
        <v>1276</v>
      </c>
      <c r="B5194" s="1" t="s">
        <v>228</v>
      </c>
      <c r="C5194" s="5">
        <f>DATE(2024, 10, 29) + TIME(14, 23, 5)</f>
        <v>45594.599363425928</v>
      </c>
      <c r="D5194" s="1" t="s">
        <v>126</v>
      </c>
      <c r="E5194" s="1" t="s">
        <v>143</v>
      </c>
    </row>
    <row r="5195" spans="1:5" x14ac:dyDescent="0.2">
      <c r="A5195" s="1" t="s">
        <v>1276</v>
      </c>
      <c r="B5195" s="1" t="s">
        <v>1142</v>
      </c>
      <c r="C5195" s="5">
        <f>DATE(2024, 10, 29) + TIME(14, 23, 4)</f>
        <v>45594.599351851852</v>
      </c>
      <c r="D5195" s="1" t="s">
        <v>126</v>
      </c>
      <c r="E5195" s="1" t="s">
        <v>143</v>
      </c>
    </row>
    <row r="5196" spans="1:5" x14ac:dyDescent="0.2">
      <c r="A5196" s="1" t="s">
        <v>1276</v>
      </c>
      <c r="B5196" s="1" t="s">
        <v>817</v>
      </c>
      <c r="C5196" s="5">
        <f>DATE(2024, 10, 29) + TIME(13, 46, 10)</f>
        <v>45594.57372685185</v>
      </c>
      <c r="D5196" s="1" t="s">
        <v>269</v>
      </c>
      <c r="E5196" s="1" t="s">
        <v>110</v>
      </c>
    </row>
    <row r="5197" spans="1:5" x14ac:dyDescent="0.2">
      <c r="A5197" s="1" t="s">
        <v>1276</v>
      </c>
      <c r="B5197" s="1" t="s">
        <v>4</v>
      </c>
      <c r="C5197" s="5">
        <f>DATE(2024, 10, 29) + TIME(13, 10, 58)</f>
        <v>45594.54928240741</v>
      </c>
      <c r="D5197" s="1" t="s">
        <v>64</v>
      </c>
      <c r="E5197" s="1" t="s">
        <v>1143</v>
      </c>
    </row>
    <row r="5198" spans="1:5" x14ac:dyDescent="0.2">
      <c r="A5198" s="1" t="s">
        <v>1276</v>
      </c>
      <c r="B5198" s="1" t="s">
        <v>824</v>
      </c>
      <c r="C5198" s="5">
        <f>DATE(2024, 10, 29) + TIME(11, 26, 47)</f>
        <v>45594.47693287037</v>
      </c>
      <c r="D5198" s="1" t="s">
        <v>356</v>
      </c>
      <c r="E5198" s="1" t="s">
        <v>149</v>
      </c>
    </row>
    <row r="5199" spans="1:5" x14ac:dyDescent="0.2">
      <c r="A5199" s="1" t="s">
        <v>1276</v>
      </c>
      <c r="B5199" s="1" t="s">
        <v>1144</v>
      </c>
      <c r="C5199" s="5">
        <f>DATE(2024, 10, 29) + TIME(11, 26, 43)</f>
        <v>45594.476886574077</v>
      </c>
      <c r="D5199" s="1" t="s">
        <v>65</v>
      </c>
      <c r="E5199" s="1" t="s">
        <v>152</v>
      </c>
    </row>
    <row r="5200" spans="1:5" x14ac:dyDescent="0.2">
      <c r="A5200" s="1" t="s">
        <v>1276</v>
      </c>
      <c r="B5200" s="1" t="s">
        <v>169</v>
      </c>
      <c r="C5200" s="5">
        <f>DATE(2024, 10, 29) + TIME(10, 54, 52)</f>
        <v>45594.454768518517</v>
      </c>
      <c r="D5200" s="1" t="s">
        <v>320</v>
      </c>
      <c r="E5200" s="1" t="s">
        <v>406</v>
      </c>
    </row>
    <row r="5201" spans="1:5" x14ac:dyDescent="0.2">
      <c r="A5201" s="1" t="s">
        <v>1276</v>
      </c>
      <c r="B5201" s="1" t="s">
        <v>29</v>
      </c>
      <c r="C5201" s="5">
        <f>DATE(2024, 10, 29) + TIME(8, 50, 51)</f>
        <v>45594.368645833332</v>
      </c>
      <c r="D5201" s="1" t="s">
        <v>640</v>
      </c>
      <c r="E5201" s="1" t="s">
        <v>195</v>
      </c>
    </row>
    <row r="5202" spans="1:5" x14ac:dyDescent="0.2">
      <c r="A5202" s="1" t="s">
        <v>1276</v>
      </c>
      <c r="B5202" s="1" t="s">
        <v>817</v>
      </c>
      <c r="C5202" s="5">
        <f>DATE(2024, 10, 28) + TIME(13, 43, 4)</f>
        <v>45593.571574074071</v>
      </c>
      <c r="D5202" s="1" t="s">
        <v>144</v>
      </c>
      <c r="E5202" s="1" t="s">
        <v>695</v>
      </c>
    </row>
    <row r="5203" spans="1:5" x14ac:dyDescent="0.2">
      <c r="A5203" s="1" t="s">
        <v>1276</v>
      </c>
      <c r="B5203" s="1" t="s">
        <v>409</v>
      </c>
      <c r="C5203" s="5">
        <f>DATE(2024, 10, 28) + TIME(13, 41, 48)</f>
        <v>45593.570694444446</v>
      </c>
      <c r="D5203" s="1" t="s">
        <v>269</v>
      </c>
      <c r="E5203" s="1" t="s">
        <v>748</v>
      </c>
    </row>
    <row r="5204" spans="1:5" x14ac:dyDescent="0.2">
      <c r="A5204" s="1" t="s">
        <v>1276</v>
      </c>
      <c r="B5204" s="1" t="s">
        <v>609</v>
      </c>
      <c r="C5204" s="5">
        <f>DATE(2024, 10, 28) + TIME(13, 17, 36)</f>
        <v>45593.553888888891</v>
      </c>
      <c r="D5204" s="1" t="s">
        <v>754</v>
      </c>
      <c r="E5204" s="1" t="s">
        <v>75</v>
      </c>
    </row>
    <row r="5205" spans="1:5" x14ac:dyDescent="0.2">
      <c r="A5205" s="1" t="s">
        <v>1276</v>
      </c>
      <c r="B5205" s="1" t="s">
        <v>682</v>
      </c>
      <c r="C5205" s="5">
        <f>DATE(2024, 10, 28) + TIME(13, 3, 55)</f>
        <v>45593.544386574074</v>
      </c>
      <c r="D5205" s="1" t="s">
        <v>754</v>
      </c>
      <c r="E5205" s="1" t="s">
        <v>75</v>
      </c>
    </row>
    <row r="5206" spans="1:5" x14ac:dyDescent="0.2">
      <c r="A5206" s="1" t="s">
        <v>1276</v>
      </c>
      <c r="B5206" s="1" t="s">
        <v>817</v>
      </c>
      <c r="C5206" s="5">
        <f>DATE(2024, 10, 28) + TIME(13, 1, 13)</f>
        <v>45593.542511574073</v>
      </c>
      <c r="D5206" s="1" t="s">
        <v>566</v>
      </c>
      <c r="E5206" s="1" t="s">
        <v>865</v>
      </c>
    </row>
    <row r="5207" spans="1:5" x14ac:dyDescent="0.2">
      <c r="A5207" s="1" t="s">
        <v>1276</v>
      </c>
      <c r="B5207" s="1" t="s">
        <v>305</v>
      </c>
      <c r="C5207" s="5">
        <f>DATE(2024, 10, 28) + TIME(12, 30, 2)</f>
        <v>45593.520856481482</v>
      </c>
      <c r="D5207" s="1" t="s">
        <v>754</v>
      </c>
      <c r="E5207" s="1" t="s">
        <v>330</v>
      </c>
    </row>
    <row r="5208" spans="1:5" x14ac:dyDescent="0.2">
      <c r="A5208" s="1" t="s">
        <v>1276</v>
      </c>
      <c r="B5208" s="1" t="s">
        <v>4</v>
      </c>
      <c r="C5208" s="5">
        <f>DATE(2024, 10, 28) + TIME(12, 9, 5)</f>
        <v>45593.506307870368</v>
      </c>
      <c r="D5208" s="1" t="s">
        <v>5</v>
      </c>
      <c r="E5208" s="1" t="s">
        <v>92</v>
      </c>
    </row>
    <row r="5209" spans="1:5" x14ac:dyDescent="0.2">
      <c r="A5209" s="1" t="s">
        <v>1276</v>
      </c>
      <c r="B5209" s="1" t="s">
        <v>817</v>
      </c>
      <c r="C5209" s="5">
        <f>DATE(2024, 10, 28) + TIME(11, 42, 52)</f>
        <v>45593.48810185185</v>
      </c>
      <c r="D5209" s="1" t="s">
        <v>144</v>
      </c>
      <c r="E5209" s="1" t="s">
        <v>660</v>
      </c>
    </row>
    <row r="5210" spans="1:5" x14ac:dyDescent="0.2">
      <c r="A5210" s="1" t="s">
        <v>1276</v>
      </c>
      <c r="B5210" s="1" t="s">
        <v>1138</v>
      </c>
      <c r="C5210" s="5">
        <f>DATE(2024, 10, 28) + TIME(10, 51, 32)</f>
        <v>45593.452453703707</v>
      </c>
      <c r="D5210" s="1" t="s">
        <v>65</v>
      </c>
      <c r="E5210" s="1" t="s">
        <v>404</v>
      </c>
    </row>
    <row r="5211" spans="1:5" x14ac:dyDescent="0.2">
      <c r="A5211" s="1" t="s">
        <v>1276</v>
      </c>
      <c r="B5211" s="1" t="s">
        <v>322</v>
      </c>
      <c r="C5211" s="5">
        <f>DATE(2024, 10, 28) + TIME(10, 26, 37)</f>
        <v>45593.435150462959</v>
      </c>
      <c r="D5211" s="1" t="s">
        <v>754</v>
      </c>
      <c r="E5211" s="1" t="s">
        <v>941</v>
      </c>
    </row>
    <row r="5212" spans="1:5" x14ac:dyDescent="0.2">
      <c r="A5212" s="1" t="s">
        <v>1276</v>
      </c>
      <c r="B5212" s="1" t="s">
        <v>60</v>
      </c>
      <c r="C5212" s="5">
        <f>DATE(2024, 10, 28) + TIME(10, 8, 4)</f>
        <v>45593.422268518516</v>
      </c>
      <c r="D5212" s="1" t="s">
        <v>1054</v>
      </c>
      <c r="E5212" s="1" t="s">
        <v>145</v>
      </c>
    </row>
    <row r="5213" spans="1:5" x14ac:dyDescent="0.2">
      <c r="A5213" s="1" t="s">
        <v>1276</v>
      </c>
      <c r="B5213" s="1" t="s">
        <v>824</v>
      </c>
      <c r="C5213" s="5">
        <f>DATE(2024, 10, 27) + TIME(11, 23, 7)</f>
        <v>45592.474386574075</v>
      </c>
      <c r="D5213" s="1" t="s">
        <v>871</v>
      </c>
      <c r="E5213" s="1" t="s">
        <v>149</v>
      </c>
    </row>
    <row r="5214" spans="1:5" x14ac:dyDescent="0.2">
      <c r="A5214" s="1" t="s">
        <v>1276</v>
      </c>
      <c r="B5214" s="1" t="s">
        <v>864</v>
      </c>
      <c r="C5214" s="5">
        <f>DATE(2024, 10, 24) + TIME(16, 26, 58)</f>
        <v>45589.685393518521</v>
      </c>
      <c r="D5214" s="1" t="s">
        <v>467</v>
      </c>
      <c r="E5214" s="1" t="s">
        <v>90</v>
      </c>
    </row>
    <row r="5215" spans="1:5" x14ac:dyDescent="0.2">
      <c r="A5215" s="1" t="s">
        <v>1276</v>
      </c>
      <c r="B5215" s="1" t="s">
        <v>191</v>
      </c>
      <c r="C5215" s="5">
        <f>DATE(2024, 10, 24) + TIME(16, 1, 16)</f>
        <v>45589.667546296296</v>
      </c>
      <c r="D5215" s="1" t="s">
        <v>638</v>
      </c>
      <c r="E5215" s="1" t="s">
        <v>315</v>
      </c>
    </row>
    <row r="5216" spans="1:5" x14ac:dyDescent="0.2">
      <c r="A5216" s="1" t="s">
        <v>1276</v>
      </c>
      <c r="B5216" s="1" t="s">
        <v>322</v>
      </c>
      <c r="C5216" s="5">
        <f>DATE(2024, 10, 24) + TIME(14, 37, 26)</f>
        <v>45589.6093287037</v>
      </c>
      <c r="D5216" s="1" t="s">
        <v>566</v>
      </c>
      <c r="E5216" s="1" t="s">
        <v>324</v>
      </c>
    </row>
    <row r="5217" spans="1:5" x14ac:dyDescent="0.2">
      <c r="A5217" s="1" t="s">
        <v>1276</v>
      </c>
      <c r="B5217" s="1" t="s">
        <v>196</v>
      </c>
      <c r="C5217" s="5">
        <f>DATE(2024, 10, 24) + TIME(14, 37, 26)</f>
        <v>45589.6093287037</v>
      </c>
      <c r="D5217" s="1" t="s">
        <v>566</v>
      </c>
      <c r="E5217" s="1" t="s">
        <v>324</v>
      </c>
    </row>
    <row r="5218" spans="1:5" x14ac:dyDescent="0.2">
      <c r="A5218" s="1" t="s">
        <v>1276</v>
      </c>
      <c r="B5218" s="1" t="s">
        <v>907</v>
      </c>
      <c r="C5218" s="5">
        <f>DATE(2024, 10, 24) + TIME(14, 37, 26)</f>
        <v>45589.6093287037</v>
      </c>
      <c r="D5218" s="1" t="s">
        <v>566</v>
      </c>
      <c r="E5218" s="1" t="s">
        <v>324</v>
      </c>
    </row>
    <row r="5219" spans="1:5" x14ac:dyDescent="0.2">
      <c r="A5219" s="1" t="s">
        <v>1276</v>
      </c>
      <c r="B5219" s="1" t="s">
        <v>376</v>
      </c>
      <c r="C5219" s="5">
        <f>DATE(2024, 10, 24) + TIME(14, 37, 25)</f>
        <v>45589.609317129631</v>
      </c>
      <c r="D5219" s="1" t="s">
        <v>566</v>
      </c>
      <c r="E5219" s="1" t="s">
        <v>324</v>
      </c>
    </row>
    <row r="5220" spans="1:5" x14ac:dyDescent="0.2">
      <c r="A5220" s="1" t="s">
        <v>1276</v>
      </c>
      <c r="B5220" s="1" t="s">
        <v>818</v>
      </c>
      <c r="C5220" s="5">
        <f>DATE(2024, 10, 24) + TIME(13, 37, 36)</f>
        <v>45589.567777777775</v>
      </c>
      <c r="D5220" s="1" t="s">
        <v>144</v>
      </c>
      <c r="E5220" s="1" t="s">
        <v>1019</v>
      </c>
    </row>
    <row r="5221" spans="1:5" x14ac:dyDescent="0.2">
      <c r="A5221" s="1" t="s">
        <v>1276</v>
      </c>
      <c r="B5221" s="1" t="s">
        <v>234</v>
      </c>
      <c r="C5221" s="5">
        <f>DATE(2024, 10, 24) + TIME(13, 37, 36)</f>
        <v>45589.567777777775</v>
      </c>
      <c r="D5221" s="1" t="s">
        <v>144</v>
      </c>
      <c r="E5221" s="1" t="s">
        <v>1019</v>
      </c>
    </row>
    <row r="5222" spans="1:5" x14ac:dyDescent="0.2">
      <c r="A5222" s="1" t="s">
        <v>1276</v>
      </c>
      <c r="B5222" s="1" t="s">
        <v>118</v>
      </c>
      <c r="C5222" s="5">
        <f>DATE(2024, 10, 24) + TIME(11, 26, 45)</f>
        <v>45589.476909722223</v>
      </c>
      <c r="D5222" s="1" t="s">
        <v>3</v>
      </c>
      <c r="E5222" s="1" t="s">
        <v>936</v>
      </c>
    </row>
    <row r="5223" spans="1:5" x14ac:dyDescent="0.2">
      <c r="A5223" s="1" t="s">
        <v>1276</v>
      </c>
      <c r="B5223" s="1" t="s">
        <v>48</v>
      </c>
      <c r="C5223" s="5">
        <f>DATE(2024, 10, 24) + TIME(11, 26, 3)</f>
        <v>45589.476423611108</v>
      </c>
      <c r="D5223" s="1" t="s">
        <v>754</v>
      </c>
      <c r="E5223" s="1" t="s">
        <v>941</v>
      </c>
    </row>
    <row r="5224" spans="1:5" x14ac:dyDescent="0.2">
      <c r="A5224" s="1" t="s">
        <v>1276</v>
      </c>
      <c r="B5224" s="1" t="s">
        <v>907</v>
      </c>
      <c r="C5224" s="5">
        <f>DATE(2024, 10, 24) + TIME(10, 59, 22)</f>
        <v>45589.45789351852</v>
      </c>
      <c r="D5224" s="1" t="s">
        <v>450</v>
      </c>
      <c r="E5224" s="1" t="s">
        <v>1063</v>
      </c>
    </row>
    <row r="5225" spans="1:5" x14ac:dyDescent="0.2">
      <c r="A5225" s="1" t="s">
        <v>1276</v>
      </c>
      <c r="B5225" s="1" t="s">
        <v>60</v>
      </c>
      <c r="C5225" s="5">
        <f>DATE(2024, 10, 24) + TIME(10, 59, 22)</f>
        <v>45589.45789351852</v>
      </c>
      <c r="D5225" s="1" t="s">
        <v>450</v>
      </c>
      <c r="E5225" s="1" t="s">
        <v>1063</v>
      </c>
    </row>
    <row r="5226" spans="1:5" x14ac:dyDescent="0.2">
      <c r="A5226" s="1" t="s">
        <v>1276</v>
      </c>
      <c r="B5226" s="1" t="s">
        <v>4</v>
      </c>
      <c r="C5226" s="5">
        <f>DATE(2024, 10, 24) + TIME(10, 5, 46)</f>
        <v>45589.420671296299</v>
      </c>
      <c r="D5226" s="1" t="s">
        <v>869</v>
      </c>
      <c r="E5226" s="1" t="s">
        <v>314</v>
      </c>
    </row>
    <row r="5227" spans="1:5" x14ac:dyDescent="0.2">
      <c r="A5227" s="1" t="s">
        <v>1276</v>
      </c>
      <c r="B5227" s="1" t="s">
        <v>33</v>
      </c>
      <c r="C5227" s="5">
        <f>DATE(2024, 10, 24) + TIME(9, 58, 3)</f>
        <v>45589.415312500001</v>
      </c>
      <c r="D5227" s="1" t="s">
        <v>754</v>
      </c>
      <c r="E5227" s="1" t="s">
        <v>135</v>
      </c>
    </row>
    <row r="5228" spans="1:5" x14ac:dyDescent="0.2">
      <c r="A5228" s="1" t="s">
        <v>1276</v>
      </c>
      <c r="B5228" s="1" t="s">
        <v>968</v>
      </c>
      <c r="C5228" s="5">
        <f>DATE(2024, 10, 23) + TIME(15, 57, 12)</f>
        <v>45588.664722222224</v>
      </c>
      <c r="D5228" s="1" t="s">
        <v>566</v>
      </c>
      <c r="E5228" s="1" t="s">
        <v>888</v>
      </c>
    </row>
    <row r="5229" spans="1:5" x14ac:dyDescent="0.2">
      <c r="A5229" s="1" t="s">
        <v>1276</v>
      </c>
      <c r="B5229" s="1" t="s">
        <v>1130</v>
      </c>
      <c r="C5229" s="5">
        <f>DATE(2024, 10, 23) + TIME(15, 57, 12)</f>
        <v>45588.664722222224</v>
      </c>
      <c r="D5229" s="1" t="s">
        <v>566</v>
      </c>
      <c r="E5229" s="1" t="s">
        <v>888</v>
      </c>
    </row>
    <row r="5230" spans="1:5" x14ac:dyDescent="0.2">
      <c r="A5230" s="1" t="s">
        <v>1276</v>
      </c>
      <c r="B5230" s="1" t="s">
        <v>484</v>
      </c>
      <c r="C5230" s="5">
        <f>DATE(2024, 10, 23) + TIME(15, 57, 12)</f>
        <v>45588.664722222224</v>
      </c>
      <c r="D5230" s="1" t="s">
        <v>566</v>
      </c>
      <c r="E5230" s="1" t="s">
        <v>888</v>
      </c>
    </row>
    <row r="5231" spans="1:5" x14ac:dyDescent="0.2">
      <c r="A5231" s="1" t="s">
        <v>1276</v>
      </c>
      <c r="B5231" s="1" t="s">
        <v>234</v>
      </c>
      <c r="C5231" s="5">
        <f>DATE(2024, 10, 23) + TIME(15, 52, 10)</f>
        <v>45588.661226851851</v>
      </c>
      <c r="D5231" s="1" t="s">
        <v>3</v>
      </c>
      <c r="E5231" s="1" t="s">
        <v>73</v>
      </c>
    </row>
    <row r="5232" spans="1:5" x14ac:dyDescent="0.2">
      <c r="A5232" s="1" t="s">
        <v>1276</v>
      </c>
      <c r="B5232" s="1" t="s">
        <v>1147</v>
      </c>
      <c r="C5232" s="5">
        <f>DATE(2024, 10, 23) + TIME(15, 11, 34)</f>
        <v>45588.633032407408</v>
      </c>
      <c r="D5232" s="1" t="s">
        <v>1054</v>
      </c>
      <c r="E5232" s="1" t="s">
        <v>1148</v>
      </c>
    </row>
    <row r="5233" spans="1:5" x14ac:dyDescent="0.2">
      <c r="A5233" s="1" t="s">
        <v>1276</v>
      </c>
      <c r="B5233" s="1" t="s">
        <v>864</v>
      </c>
      <c r="C5233" s="5">
        <f>DATE(2024, 10, 23) + TIME(14, 53, 27)</f>
        <v>45588.620451388888</v>
      </c>
      <c r="D5233" s="1" t="s">
        <v>148</v>
      </c>
      <c r="E5233" s="1" t="s">
        <v>621</v>
      </c>
    </row>
    <row r="5234" spans="1:5" x14ac:dyDescent="0.2">
      <c r="A5234" s="1" t="s">
        <v>1276</v>
      </c>
      <c r="B5234" s="1" t="s">
        <v>271</v>
      </c>
      <c r="C5234" s="5">
        <f>DATE(2024, 10, 23) + TIME(14, 53, 27)</f>
        <v>45588.620451388888</v>
      </c>
      <c r="D5234" s="1" t="s">
        <v>148</v>
      </c>
      <c r="E5234" s="1" t="s">
        <v>621</v>
      </c>
    </row>
    <row r="5235" spans="1:5" x14ac:dyDescent="0.2">
      <c r="A5235" s="1" t="s">
        <v>1276</v>
      </c>
      <c r="B5235" s="1" t="s">
        <v>328</v>
      </c>
      <c r="C5235" s="5">
        <f>DATE(2024, 10, 23) + TIME(14, 53, 27)</f>
        <v>45588.620451388888</v>
      </c>
      <c r="D5235" s="1" t="s">
        <v>148</v>
      </c>
      <c r="E5235" s="1" t="s">
        <v>621</v>
      </c>
    </row>
    <row r="5236" spans="1:5" x14ac:dyDescent="0.2">
      <c r="A5236" s="1" t="s">
        <v>1276</v>
      </c>
      <c r="B5236" s="1" t="s">
        <v>139</v>
      </c>
      <c r="C5236" s="5">
        <f>DATE(2024, 10, 23) + TIME(14, 10, 37)</f>
        <v>45588.59070601852</v>
      </c>
      <c r="D5236" s="1" t="s">
        <v>750</v>
      </c>
      <c r="E5236" s="1" t="s">
        <v>702</v>
      </c>
    </row>
    <row r="5237" spans="1:5" x14ac:dyDescent="0.2">
      <c r="A5237" s="1" t="s">
        <v>1276</v>
      </c>
      <c r="B5237" s="1" t="s">
        <v>322</v>
      </c>
      <c r="C5237" s="5">
        <f>DATE(2024, 10, 23) + TIME(13, 42, 58)</f>
        <v>45588.571504629632</v>
      </c>
      <c r="D5237" s="1" t="s">
        <v>467</v>
      </c>
      <c r="E5237" s="1" t="s">
        <v>845</v>
      </c>
    </row>
    <row r="5238" spans="1:5" x14ac:dyDescent="0.2">
      <c r="A5238" s="1" t="s">
        <v>1276</v>
      </c>
      <c r="B5238" s="1" t="s">
        <v>1043</v>
      </c>
      <c r="C5238" s="5">
        <f>DATE(2024, 10, 23) + TIME(12, 59, 29)</f>
        <v>45588.541307870371</v>
      </c>
      <c r="D5238" s="1" t="s">
        <v>216</v>
      </c>
      <c r="E5238" s="1" t="s">
        <v>321</v>
      </c>
    </row>
    <row r="5239" spans="1:5" x14ac:dyDescent="0.2">
      <c r="A5239" s="1" t="s">
        <v>1276</v>
      </c>
      <c r="B5239" s="1" t="s">
        <v>4</v>
      </c>
      <c r="C5239" s="5">
        <f>DATE(2024, 10, 23) + TIME(12, 44, 54)</f>
        <v>45588.531180555554</v>
      </c>
      <c r="D5239" s="1" t="s">
        <v>64</v>
      </c>
      <c r="E5239" s="1" t="s">
        <v>337</v>
      </c>
    </row>
    <row r="5240" spans="1:5" x14ac:dyDescent="0.2">
      <c r="A5240" s="1" t="s">
        <v>1276</v>
      </c>
      <c r="B5240" s="1" t="s">
        <v>1124</v>
      </c>
      <c r="C5240" s="5">
        <f>DATE(2024, 10, 23) + TIME(12, 15, 17)</f>
        <v>45588.510613425926</v>
      </c>
      <c r="D5240" s="1" t="s">
        <v>750</v>
      </c>
      <c r="E5240" s="1" t="s">
        <v>158</v>
      </c>
    </row>
    <row r="5241" spans="1:5" x14ac:dyDescent="0.2">
      <c r="A5241" s="1" t="s">
        <v>1276</v>
      </c>
      <c r="B5241" s="1" t="s">
        <v>271</v>
      </c>
      <c r="C5241" s="5">
        <f>DATE(2024, 10, 23) + TIME(12, 15, 17)</f>
        <v>45588.510613425926</v>
      </c>
      <c r="D5241" s="1" t="s">
        <v>750</v>
      </c>
      <c r="E5241" s="1" t="s">
        <v>158</v>
      </c>
    </row>
    <row r="5242" spans="1:5" x14ac:dyDescent="0.2">
      <c r="A5242" s="1" t="s">
        <v>1276</v>
      </c>
      <c r="B5242" s="1" t="s">
        <v>234</v>
      </c>
      <c r="C5242" s="5">
        <f>DATE(2024, 10, 23) + TIME(11, 38, 43)</f>
        <v>45588.485219907408</v>
      </c>
      <c r="D5242" s="1" t="s">
        <v>750</v>
      </c>
      <c r="E5242" s="1" t="s">
        <v>1049</v>
      </c>
    </row>
    <row r="5243" spans="1:5" x14ac:dyDescent="0.2">
      <c r="A5243" s="1" t="s">
        <v>1276</v>
      </c>
      <c r="B5243" s="1" t="s">
        <v>817</v>
      </c>
      <c r="C5243" s="5">
        <f>DATE(2024, 10, 23) + TIME(11, 38, 43)</f>
        <v>45588.485219907408</v>
      </c>
      <c r="D5243" s="1" t="s">
        <v>750</v>
      </c>
      <c r="E5243" s="1" t="s">
        <v>1049</v>
      </c>
    </row>
    <row r="5244" spans="1:5" x14ac:dyDescent="0.2">
      <c r="A5244" s="1" t="s">
        <v>1276</v>
      </c>
      <c r="B5244" s="1" t="s">
        <v>163</v>
      </c>
      <c r="C5244" s="5">
        <f>DATE(2024, 10, 23) + TIME(11, 9, 0)</f>
        <v>45588.464583333334</v>
      </c>
      <c r="D5244" s="1" t="s">
        <v>450</v>
      </c>
      <c r="E5244" s="1" t="s">
        <v>1140</v>
      </c>
    </row>
    <row r="5245" spans="1:5" x14ac:dyDescent="0.2">
      <c r="A5245" s="1" t="s">
        <v>1276</v>
      </c>
      <c r="B5245" s="1" t="s">
        <v>1138</v>
      </c>
      <c r="C5245" s="5">
        <f>DATE(2024, 10, 23) + TIME(10, 50, 59)</f>
        <v>45588.45207175926</v>
      </c>
      <c r="D5245" s="1" t="s">
        <v>65</v>
      </c>
      <c r="E5245" s="1" t="s">
        <v>404</v>
      </c>
    </row>
    <row r="5246" spans="1:5" x14ac:dyDescent="0.2">
      <c r="A5246" s="1" t="s">
        <v>1276</v>
      </c>
      <c r="B5246" s="1" t="s">
        <v>944</v>
      </c>
      <c r="C5246" s="5">
        <f>DATE(2024, 10, 22) + TIME(14, 12, 0)</f>
        <v>45587.591666666667</v>
      </c>
      <c r="D5246" s="1" t="s">
        <v>3</v>
      </c>
      <c r="E5246" s="1" t="s">
        <v>571</v>
      </c>
    </row>
    <row r="5247" spans="1:5" x14ac:dyDescent="0.2">
      <c r="A5247" s="1" t="s">
        <v>1276</v>
      </c>
      <c r="B5247" s="1" t="s">
        <v>413</v>
      </c>
      <c r="C5247" s="5">
        <f>DATE(2024, 10, 22) + TIME(13, 51, 15)</f>
        <v>45587.577256944445</v>
      </c>
      <c r="D5247" s="1" t="s">
        <v>566</v>
      </c>
      <c r="E5247" s="1" t="s">
        <v>1042</v>
      </c>
    </row>
    <row r="5248" spans="1:5" x14ac:dyDescent="0.2">
      <c r="A5248" s="1" t="s">
        <v>1276</v>
      </c>
      <c r="B5248" s="1" t="s">
        <v>1043</v>
      </c>
      <c r="C5248" s="5">
        <f>DATE(2024, 10, 22) + TIME(13, 43, 34)</f>
        <v>45587.571921296294</v>
      </c>
      <c r="D5248" s="1" t="s">
        <v>396</v>
      </c>
      <c r="E5248" s="1" t="s">
        <v>276</v>
      </c>
    </row>
    <row r="5249" spans="1:5" x14ac:dyDescent="0.2">
      <c r="A5249" s="1" t="s">
        <v>1276</v>
      </c>
      <c r="B5249" s="1" t="s">
        <v>413</v>
      </c>
      <c r="C5249" s="5">
        <f>DATE(2024, 10, 22) + TIME(12, 29, 58)</f>
        <v>45587.520810185182</v>
      </c>
      <c r="D5249" s="1" t="s">
        <v>566</v>
      </c>
      <c r="E5249" s="1" t="s">
        <v>1042</v>
      </c>
    </row>
    <row r="5250" spans="1:5" x14ac:dyDescent="0.2">
      <c r="A5250" s="1" t="s">
        <v>1276</v>
      </c>
      <c r="B5250" s="1" t="s">
        <v>234</v>
      </c>
      <c r="C5250" s="5">
        <f>DATE(2024, 10, 22) + TIME(12, 29, 58)</f>
        <v>45587.520810185182</v>
      </c>
      <c r="D5250" s="1" t="s">
        <v>566</v>
      </c>
      <c r="E5250" s="1" t="s">
        <v>1042</v>
      </c>
    </row>
    <row r="5251" spans="1:5" x14ac:dyDescent="0.2">
      <c r="A5251" s="1" t="s">
        <v>1276</v>
      </c>
      <c r="B5251" s="1" t="s">
        <v>411</v>
      </c>
      <c r="C5251" s="5">
        <f>DATE(2024, 10, 22) + TIME(10, 51, 13)</f>
        <v>45587.452233796299</v>
      </c>
      <c r="D5251" s="1" t="s">
        <v>396</v>
      </c>
      <c r="E5251" s="1" t="s">
        <v>76</v>
      </c>
    </row>
    <row r="5252" spans="1:5" x14ac:dyDescent="0.2">
      <c r="A5252" s="1" t="s">
        <v>1276</v>
      </c>
      <c r="B5252" s="1" t="s">
        <v>931</v>
      </c>
      <c r="C5252" s="5">
        <f>DATE(2024, 10, 22) + TIME(9, 29, 29)</f>
        <v>45587.395474537036</v>
      </c>
      <c r="D5252" s="1" t="s">
        <v>65</v>
      </c>
      <c r="E5252" s="1" t="s">
        <v>152</v>
      </c>
    </row>
    <row r="5253" spans="1:5" x14ac:dyDescent="0.2">
      <c r="A5253" s="1" t="s">
        <v>1276</v>
      </c>
      <c r="B5253" s="1" t="s">
        <v>234</v>
      </c>
      <c r="C5253" s="5">
        <f>DATE(2024, 10, 21) + TIME(16, 7, 29)</f>
        <v>45586.671863425923</v>
      </c>
      <c r="D5253" s="1" t="s">
        <v>5</v>
      </c>
      <c r="E5253" s="1" t="s">
        <v>599</v>
      </c>
    </row>
    <row r="5254" spans="1:5" x14ac:dyDescent="0.2">
      <c r="A5254" s="1" t="s">
        <v>1276</v>
      </c>
      <c r="B5254" s="1" t="s">
        <v>1149</v>
      </c>
      <c r="C5254" s="5">
        <f>DATE(2024, 10, 21) + TIME(16, 6, 56)</f>
        <v>45586.671481481484</v>
      </c>
      <c r="D5254" s="1" t="s">
        <v>750</v>
      </c>
      <c r="E5254" s="1" t="s">
        <v>659</v>
      </c>
    </row>
    <row r="5255" spans="1:5" x14ac:dyDescent="0.2">
      <c r="A5255" s="1" t="s">
        <v>1276</v>
      </c>
      <c r="B5255" s="1" t="s">
        <v>427</v>
      </c>
      <c r="C5255" s="5">
        <f>DATE(2024, 10, 21) + TIME(15, 40, 8)</f>
        <v>45586.652870370373</v>
      </c>
      <c r="D5255" s="1" t="s">
        <v>450</v>
      </c>
      <c r="E5255" s="1" t="s">
        <v>573</v>
      </c>
    </row>
    <row r="5256" spans="1:5" x14ac:dyDescent="0.2">
      <c r="A5256" s="1" t="s">
        <v>1276</v>
      </c>
      <c r="B5256" s="1" t="s">
        <v>305</v>
      </c>
      <c r="C5256" s="5">
        <f>DATE(2024, 10, 21) + TIME(15, 29, 37)</f>
        <v>45586.645567129628</v>
      </c>
      <c r="D5256" s="1" t="s">
        <v>566</v>
      </c>
      <c r="E5256" s="1" t="s">
        <v>938</v>
      </c>
    </row>
    <row r="5257" spans="1:5" x14ac:dyDescent="0.2">
      <c r="A5257" s="1" t="s">
        <v>1276</v>
      </c>
      <c r="B5257" s="1" t="s">
        <v>682</v>
      </c>
      <c r="C5257" s="5">
        <f>DATE(2024, 10, 21) + TIME(13, 34, 16)</f>
        <v>45586.565462962964</v>
      </c>
      <c r="D5257" s="1" t="s">
        <v>750</v>
      </c>
      <c r="E5257" s="1" t="s">
        <v>808</v>
      </c>
    </row>
    <row r="5258" spans="1:5" x14ac:dyDescent="0.2">
      <c r="A5258" s="1" t="s">
        <v>1276</v>
      </c>
      <c r="B5258" s="1" t="s">
        <v>818</v>
      </c>
      <c r="C5258" s="5">
        <f>DATE(2024, 10, 21) + TIME(13, 34, 15)</f>
        <v>45586.565451388888</v>
      </c>
      <c r="D5258" s="1" t="s">
        <v>750</v>
      </c>
      <c r="E5258" s="1" t="s">
        <v>808</v>
      </c>
    </row>
    <row r="5259" spans="1:5" x14ac:dyDescent="0.2">
      <c r="A5259" s="1" t="s">
        <v>1276</v>
      </c>
      <c r="B5259" s="1" t="s">
        <v>1151</v>
      </c>
      <c r="C5259" s="5">
        <f>DATE(2024, 10, 21) + TIME(12, 9, 40)</f>
        <v>45586.506712962961</v>
      </c>
      <c r="D5259" s="1" t="s">
        <v>566</v>
      </c>
      <c r="E5259" s="1" t="s">
        <v>922</v>
      </c>
    </row>
    <row r="5260" spans="1:5" x14ac:dyDescent="0.2">
      <c r="A5260" s="1" t="s">
        <v>1276</v>
      </c>
      <c r="B5260" s="1" t="s">
        <v>178</v>
      </c>
      <c r="C5260" s="5">
        <f>DATE(2024, 10, 21) + TIME(12, 8, 9)</f>
        <v>45586.505659722221</v>
      </c>
      <c r="D5260" s="1" t="s">
        <v>871</v>
      </c>
      <c r="E5260" s="1" t="s">
        <v>414</v>
      </c>
    </row>
    <row r="5261" spans="1:5" x14ac:dyDescent="0.2">
      <c r="A5261" s="1" t="s">
        <v>1276</v>
      </c>
      <c r="B5261" s="1" t="s">
        <v>271</v>
      </c>
      <c r="C5261" s="5">
        <f>DATE(2024, 10, 21) + TIME(11, 1, 50)</f>
        <v>45586.459606481483</v>
      </c>
      <c r="D5261" s="1" t="s">
        <v>3</v>
      </c>
      <c r="E5261" s="1" t="s">
        <v>696</v>
      </c>
    </row>
    <row r="5262" spans="1:5" x14ac:dyDescent="0.2">
      <c r="A5262" s="1" t="s">
        <v>1276</v>
      </c>
      <c r="B5262" s="1" t="s">
        <v>905</v>
      </c>
      <c r="C5262" s="5">
        <f>DATE(2024, 10, 21) + TIME(10, 54, 3)</f>
        <v>45586.454201388886</v>
      </c>
      <c r="D5262" s="1" t="s">
        <v>5</v>
      </c>
      <c r="E5262" s="1" t="s">
        <v>641</v>
      </c>
    </row>
    <row r="5263" spans="1:5" x14ac:dyDescent="0.2">
      <c r="A5263" s="1" t="s">
        <v>1276</v>
      </c>
      <c r="B5263" s="1" t="s">
        <v>1021</v>
      </c>
      <c r="C5263" s="5">
        <f>DATE(2024, 10, 21) + TIME(8, 45, 20)</f>
        <v>45586.364814814813</v>
      </c>
      <c r="D5263" s="1" t="s">
        <v>640</v>
      </c>
      <c r="E5263" s="1" t="s">
        <v>700</v>
      </c>
    </row>
    <row r="5264" spans="1:5" x14ac:dyDescent="0.2">
      <c r="A5264" s="1" t="s">
        <v>1276</v>
      </c>
      <c r="B5264" s="1" t="s">
        <v>411</v>
      </c>
      <c r="C5264" s="5">
        <f>DATE(2024, 10, 21) + TIME(8, 45, 20)</f>
        <v>45586.364814814813</v>
      </c>
      <c r="D5264" s="1" t="s">
        <v>640</v>
      </c>
      <c r="E5264" s="1" t="s">
        <v>700</v>
      </c>
    </row>
    <row r="5265" spans="1:5" x14ac:dyDescent="0.2">
      <c r="A5265" s="1" t="s">
        <v>1276</v>
      </c>
      <c r="B5265" s="1" t="s">
        <v>864</v>
      </c>
      <c r="C5265" s="5">
        <f>DATE(2024, 10, 17) + TIME(16, 24, 6)</f>
        <v>45582.68340277778</v>
      </c>
      <c r="D5265" s="1" t="s">
        <v>754</v>
      </c>
      <c r="E5265" s="1" t="s">
        <v>441</v>
      </c>
    </row>
    <row r="5266" spans="1:5" x14ac:dyDescent="0.2">
      <c r="A5266" s="1" t="s">
        <v>1276</v>
      </c>
      <c r="B5266" s="1" t="s">
        <v>737</v>
      </c>
      <c r="C5266" s="5">
        <f>DATE(2024, 10, 17) + TIME(15, 43, 45)</f>
        <v>45582.655381944445</v>
      </c>
      <c r="D5266" s="1" t="s">
        <v>320</v>
      </c>
      <c r="E5266" s="1" t="s">
        <v>565</v>
      </c>
    </row>
    <row r="5267" spans="1:5" x14ac:dyDescent="0.2">
      <c r="A5267" s="1" t="s">
        <v>1276</v>
      </c>
      <c r="B5267" s="1" t="s">
        <v>231</v>
      </c>
      <c r="C5267" s="5">
        <f>DATE(2024, 10, 17) + TIME(15, 7, 19)</f>
        <v>45582.63008101852</v>
      </c>
      <c r="D5267" s="1" t="s">
        <v>638</v>
      </c>
      <c r="E5267" s="1" t="s">
        <v>397</v>
      </c>
    </row>
    <row r="5268" spans="1:5" x14ac:dyDescent="0.2">
      <c r="A5268" s="1" t="s">
        <v>1276</v>
      </c>
      <c r="B5268" s="1" t="s">
        <v>737</v>
      </c>
      <c r="C5268" s="5">
        <f>DATE(2024, 10, 17) + TIME(14, 55, 50)</f>
        <v>45582.622106481482</v>
      </c>
      <c r="D5268" s="1" t="s">
        <v>467</v>
      </c>
      <c r="E5268" s="1" t="s">
        <v>922</v>
      </c>
    </row>
    <row r="5269" spans="1:5" x14ac:dyDescent="0.2">
      <c r="A5269" s="1" t="s">
        <v>1276</v>
      </c>
      <c r="B5269" s="1" t="s">
        <v>48</v>
      </c>
      <c r="C5269" s="5">
        <f>DATE(2024, 10, 17) + TIME(13, 56, 42)</f>
        <v>45582.581041666665</v>
      </c>
      <c r="D5269" s="1" t="s">
        <v>3</v>
      </c>
      <c r="E5269" s="1" t="s">
        <v>211</v>
      </c>
    </row>
    <row r="5270" spans="1:5" x14ac:dyDescent="0.2">
      <c r="A5270" s="1" t="s">
        <v>1276</v>
      </c>
      <c r="B5270" s="1" t="s">
        <v>765</v>
      </c>
      <c r="C5270" s="5">
        <f>DATE(2024, 10, 17) + TIME(13, 48, 35)</f>
        <v>45582.57540509259</v>
      </c>
      <c r="D5270" s="1" t="s">
        <v>3</v>
      </c>
      <c r="E5270" s="1" t="s">
        <v>211</v>
      </c>
    </row>
    <row r="5271" spans="1:5" x14ac:dyDescent="0.2">
      <c r="A5271" s="1" t="s">
        <v>1276</v>
      </c>
      <c r="B5271" s="1" t="s">
        <v>29</v>
      </c>
      <c r="C5271" s="5">
        <f>DATE(2024, 10, 17) + TIME(13, 40, 49)</f>
        <v>45582.570011574076</v>
      </c>
      <c r="D5271" s="1" t="s">
        <v>144</v>
      </c>
      <c r="E5271" s="1" t="s">
        <v>728</v>
      </c>
    </row>
    <row r="5272" spans="1:5" x14ac:dyDescent="0.2">
      <c r="A5272" s="1" t="s">
        <v>1276</v>
      </c>
      <c r="B5272" s="1" t="s">
        <v>790</v>
      </c>
      <c r="C5272" s="5">
        <f>DATE(2024, 10, 17) + TIME(13, 24, 5)</f>
        <v>45582.558391203704</v>
      </c>
      <c r="D5272" s="1" t="s">
        <v>320</v>
      </c>
      <c r="E5272" s="1" t="s">
        <v>2</v>
      </c>
    </row>
    <row r="5273" spans="1:5" x14ac:dyDescent="0.2">
      <c r="A5273" s="1" t="s">
        <v>1276</v>
      </c>
      <c r="B5273" s="1" t="s">
        <v>305</v>
      </c>
      <c r="C5273" s="5">
        <f>DATE(2024, 10, 17) + TIME(13, 12, 16)</f>
        <v>45582.550185185188</v>
      </c>
      <c r="D5273" s="1" t="s">
        <v>269</v>
      </c>
      <c r="E5273" s="1" t="s">
        <v>511</v>
      </c>
    </row>
    <row r="5274" spans="1:5" x14ac:dyDescent="0.2">
      <c r="A5274" s="1" t="s">
        <v>1276</v>
      </c>
      <c r="B5274" s="1" t="s">
        <v>69</v>
      </c>
      <c r="C5274" s="5">
        <f>DATE(2024, 10, 17) + TIME(13, 7, 7)</f>
        <v>45582.5466087963</v>
      </c>
      <c r="D5274" s="1" t="s">
        <v>1054</v>
      </c>
      <c r="E5274" s="1" t="s">
        <v>809</v>
      </c>
    </row>
    <row r="5275" spans="1:5" x14ac:dyDescent="0.2">
      <c r="A5275" s="1" t="s">
        <v>1276</v>
      </c>
      <c r="B5275" s="1" t="s">
        <v>959</v>
      </c>
      <c r="C5275" s="5">
        <f>DATE(2024, 10, 16) + TIME(16, 28, 28)</f>
        <v>45581.686435185184</v>
      </c>
      <c r="D5275" s="1" t="s">
        <v>64</v>
      </c>
      <c r="E5275" s="1" t="s">
        <v>1008</v>
      </c>
    </row>
    <row r="5276" spans="1:5" x14ac:dyDescent="0.2">
      <c r="A5276" s="1" t="s">
        <v>1276</v>
      </c>
      <c r="B5276" s="1" t="s">
        <v>786</v>
      </c>
      <c r="C5276" s="5">
        <f>DATE(2024, 10, 16) + TIME(16, 0, 10)</f>
        <v>45581.66678240741</v>
      </c>
      <c r="D5276" s="1" t="s">
        <v>467</v>
      </c>
      <c r="E5276" s="1" t="s">
        <v>324</v>
      </c>
    </row>
    <row r="5277" spans="1:5" x14ac:dyDescent="0.2">
      <c r="A5277" s="1" t="s">
        <v>1276</v>
      </c>
      <c r="B5277" s="1" t="s">
        <v>328</v>
      </c>
      <c r="C5277" s="5">
        <f>DATE(2024, 10, 16) + TIME(15, 58, 12)</f>
        <v>45581.665416666663</v>
      </c>
      <c r="D5277" s="1" t="s">
        <v>459</v>
      </c>
      <c r="E5277" s="1" t="s">
        <v>97</v>
      </c>
    </row>
    <row r="5278" spans="1:5" x14ac:dyDescent="0.2">
      <c r="A5278" s="1" t="s">
        <v>1276</v>
      </c>
      <c r="B5278" s="1" t="s">
        <v>328</v>
      </c>
      <c r="C5278" s="5">
        <f>DATE(2024, 10, 16) + TIME(15, 56, 3)</f>
        <v>45581.663923611108</v>
      </c>
      <c r="D5278" s="1" t="s">
        <v>459</v>
      </c>
      <c r="E5278" s="1" t="s">
        <v>843</v>
      </c>
    </row>
    <row r="5279" spans="1:5" x14ac:dyDescent="0.2">
      <c r="A5279" s="1" t="s">
        <v>1276</v>
      </c>
      <c r="B5279" s="1" t="s">
        <v>1152</v>
      </c>
      <c r="C5279" s="5">
        <f>DATE(2024, 10, 16) + TIME(15, 43, 19)</f>
        <v>45581.655081018522</v>
      </c>
      <c r="D5279" s="1" t="s">
        <v>566</v>
      </c>
      <c r="E5279" s="1" t="s">
        <v>888</v>
      </c>
    </row>
    <row r="5280" spans="1:5" x14ac:dyDescent="0.2">
      <c r="A5280" s="1" t="s">
        <v>1276</v>
      </c>
      <c r="B5280" s="1" t="s">
        <v>655</v>
      </c>
      <c r="C5280" s="5">
        <f>DATE(2024, 10, 16) + TIME(15, 43, 19)</f>
        <v>45581.655081018522</v>
      </c>
      <c r="D5280" s="1" t="s">
        <v>566</v>
      </c>
      <c r="E5280" s="1" t="s">
        <v>888</v>
      </c>
    </row>
    <row r="5281" spans="1:5" x14ac:dyDescent="0.2">
      <c r="A5281" s="1" t="s">
        <v>1276</v>
      </c>
      <c r="B5281" s="1" t="s">
        <v>1115</v>
      </c>
      <c r="C5281" s="5">
        <f>DATE(2024, 10, 16) + TIME(15, 43, 18)</f>
        <v>45581.655069444445</v>
      </c>
      <c r="D5281" s="1" t="s">
        <v>566</v>
      </c>
      <c r="E5281" s="1" t="s">
        <v>888</v>
      </c>
    </row>
    <row r="5282" spans="1:5" x14ac:dyDescent="0.2">
      <c r="A5282" s="1" t="s">
        <v>1276</v>
      </c>
      <c r="B5282" s="1" t="s">
        <v>759</v>
      </c>
      <c r="C5282" s="5">
        <f>DATE(2024, 10, 16) + TIME(15, 43, 18)</f>
        <v>45581.655069444445</v>
      </c>
      <c r="D5282" s="1" t="s">
        <v>566</v>
      </c>
      <c r="E5282" s="1" t="s">
        <v>888</v>
      </c>
    </row>
    <row r="5283" spans="1:5" x14ac:dyDescent="0.2">
      <c r="A5283" s="1" t="s">
        <v>1276</v>
      </c>
      <c r="B5283" s="1" t="s">
        <v>235</v>
      </c>
      <c r="C5283" s="5">
        <f>DATE(2024, 10, 16) + TIME(15, 43, 18)</f>
        <v>45581.655069444445</v>
      </c>
      <c r="D5283" s="1" t="s">
        <v>566</v>
      </c>
      <c r="E5283" s="1" t="s">
        <v>888</v>
      </c>
    </row>
    <row r="5284" spans="1:5" x14ac:dyDescent="0.2">
      <c r="A5284" s="1" t="s">
        <v>1276</v>
      </c>
      <c r="B5284" s="1" t="s">
        <v>178</v>
      </c>
      <c r="C5284" s="5">
        <f>DATE(2024, 10, 16) + TIME(15, 43, 18)</f>
        <v>45581.655069444445</v>
      </c>
      <c r="D5284" s="1" t="s">
        <v>566</v>
      </c>
      <c r="E5284" s="1" t="s">
        <v>888</v>
      </c>
    </row>
    <row r="5285" spans="1:5" x14ac:dyDescent="0.2">
      <c r="A5285" s="1" t="s">
        <v>1276</v>
      </c>
      <c r="B5285" s="1" t="s">
        <v>411</v>
      </c>
      <c r="C5285" s="5">
        <f>DATE(2024, 10, 16) + TIME(15, 43, 18)</f>
        <v>45581.655069444445</v>
      </c>
      <c r="D5285" s="1" t="s">
        <v>566</v>
      </c>
      <c r="E5285" s="1" t="s">
        <v>888</v>
      </c>
    </row>
    <row r="5286" spans="1:5" x14ac:dyDescent="0.2">
      <c r="A5286" s="1" t="s">
        <v>1276</v>
      </c>
      <c r="B5286" s="1" t="s">
        <v>737</v>
      </c>
      <c r="C5286" s="5">
        <f>DATE(2024, 10, 16) + TIME(15, 41, 2)</f>
        <v>45581.653495370374</v>
      </c>
      <c r="D5286" s="1" t="s">
        <v>467</v>
      </c>
      <c r="E5286" s="1" t="s">
        <v>324</v>
      </c>
    </row>
    <row r="5287" spans="1:5" x14ac:dyDescent="0.2">
      <c r="A5287" s="1" t="s">
        <v>1276</v>
      </c>
      <c r="B5287" s="1" t="s">
        <v>737</v>
      </c>
      <c r="C5287" s="5">
        <f>DATE(2024, 10, 16) + TIME(15, 21, 42)</f>
        <v>45581.640069444446</v>
      </c>
      <c r="D5287" s="1" t="s">
        <v>320</v>
      </c>
      <c r="E5287" s="1" t="s">
        <v>565</v>
      </c>
    </row>
    <row r="5288" spans="1:5" x14ac:dyDescent="0.2">
      <c r="A5288" s="1" t="s">
        <v>1276</v>
      </c>
      <c r="B5288" s="1" t="s">
        <v>664</v>
      </c>
      <c r="C5288" s="5">
        <f>DATE(2024, 10, 16) + TIME(14, 7, 32)</f>
        <v>45581.588564814818</v>
      </c>
      <c r="D5288" s="1" t="s">
        <v>638</v>
      </c>
      <c r="E5288" s="1" t="s">
        <v>258</v>
      </c>
    </row>
    <row r="5289" spans="1:5" x14ac:dyDescent="0.2">
      <c r="A5289" s="1" t="s">
        <v>1276</v>
      </c>
      <c r="B5289" s="1" t="s">
        <v>919</v>
      </c>
      <c r="C5289" s="5">
        <f>DATE(2024, 10, 16) + TIME(13, 43, 14)</f>
        <v>45581.571689814817</v>
      </c>
      <c r="D5289" s="1" t="s">
        <v>638</v>
      </c>
      <c r="E5289" s="1" t="s">
        <v>119</v>
      </c>
    </row>
    <row r="5290" spans="1:5" x14ac:dyDescent="0.2">
      <c r="A5290" s="1" t="s">
        <v>1276</v>
      </c>
      <c r="B5290" s="1" t="s">
        <v>96</v>
      </c>
      <c r="C5290" s="5">
        <f>DATE(2024, 10, 16) + TIME(12, 58, 10)</f>
        <v>45581.540393518517</v>
      </c>
      <c r="D5290" s="1" t="s">
        <v>320</v>
      </c>
      <c r="E5290" s="1" t="s">
        <v>845</v>
      </c>
    </row>
    <row r="5291" spans="1:5" x14ac:dyDescent="0.2">
      <c r="A5291" s="1" t="s">
        <v>1276</v>
      </c>
      <c r="B5291" s="1" t="s">
        <v>322</v>
      </c>
      <c r="C5291" s="5">
        <f>DATE(2024, 10, 15) + TIME(16, 23, 38)</f>
        <v>45580.683078703703</v>
      </c>
      <c r="D5291" s="1" t="s">
        <v>576</v>
      </c>
      <c r="E5291" s="1" t="s">
        <v>880</v>
      </c>
    </row>
    <row r="5292" spans="1:5" x14ac:dyDescent="0.2">
      <c r="A5292" s="1" t="s">
        <v>1276</v>
      </c>
      <c r="B5292" s="1" t="s">
        <v>864</v>
      </c>
      <c r="C5292" s="5">
        <f>DATE(2024, 10, 15) + TIME(15, 58, 12)</f>
        <v>45580.665416666663</v>
      </c>
      <c r="D5292" s="1" t="s">
        <v>750</v>
      </c>
      <c r="E5292" s="1" t="s">
        <v>621</v>
      </c>
    </row>
    <row r="5293" spans="1:5" x14ac:dyDescent="0.2">
      <c r="A5293" s="1" t="s">
        <v>1276</v>
      </c>
      <c r="B5293" s="1" t="s">
        <v>271</v>
      </c>
      <c r="C5293" s="5">
        <f>DATE(2024, 10, 15) + TIME(15, 58, 12)</f>
        <v>45580.665416666663</v>
      </c>
      <c r="D5293" s="1" t="s">
        <v>750</v>
      </c>
      <c r="E5293" s="1" t="s">
        <v>621</v>
      </c>
    </row>
    <row r="5294" spans="1:5" x14ac:dyDescent="0.2">
      <c r="A5294" s="1" t="s">
        <v>1276</v>
      </c>
      <c r="B5294" s="1" t="s">
        <v>235</v>
      </c>
      <c r="C5294" s="5">
        <f>DATE(2024, 10, 15) + TIME(15, 42, 0)</f>
        <v>45580.654166666667</v>
      </c>
      <c r="D5294" s="1" t="s">
        <v>320</v>
      </c>
      <c r="E5294" s="1" t="s">
        <v>406</v>
      </c>
    </row>
    <row r="5295" spans="1:5" x14ac:dyDescent="0.2">
      <c r="A5295" s="1" t="s">
        <v>1276</v>
      </c>
      <c r="B5295" s="1" t="s">
        <v>24</v>
      </c>
      <c r="C5295" s="5">
        <f>DATE(2024, 10, 15) + TIME(15, 40, 46)</f>
        <v>45580.653310185182</v>
      </c>
      <c r="D5295" s="1" t="s">
        <v>320</v>
      </c>
      <c r="E5295" s="1" t="s">
        <v>342</v>
      </c>
    </row>
    <row r="5296" spans="1:5" x14ac:dyDescent="0.2">
      <c r="A5296" s="1" t="s">
        <v>1276</v>
      </c>
      <c r="B5296" s="1" t="s">
        <v>42</v>
      </c>
      <c r="C5296" s="5">
        <f>DATE(2024, 10, 15) + TIME(15, 23, 4)</f>
        <v>45580.641018518516</v>
      </c>
      <c r="D5296" s="1" t="s">
        <v>341</v>
      </c>
      <c r="E5296" s="1" t="s">
        <v>143</v>
      </c>
    </row>
    <row r="5297" spans="1:5" x14ac:dyDescent="0.2">
      <c r="A5297" s="1" t="s">
        <v>1276</v>
      </c>
      <c r="B5297" s="1" t="s">
        <v>96</v>
      </c>
      <c r="C5297" s="5">
        <f>DATE(2024, 10, 15) + TIME(15, 23, 4)</f>
        <v>45580.641018518516</v>
      </c>
      <c r="D5297" s="1" t="s">
        <v>341</v>
      </c>
      <c r="E5297" s="1" t="s">
        <v>143</v>
      </c>
    </row>
    <row r="5298" spans="1:5" x14ac:dyDescent="0.2">
      <c r="A5298" s="1" t="s">
        <v>1276</v>
      </c>
      <c r="B5298" s="1" t="s">
        <v>231</v>
      </c>
      <c r="C5298" s="5">
        <f>DATE(2024, 10, 15) + TIME(13, 44, 2)</f>
        <v>45580.572245370371</v>
      </c>
      <c r="D5298" s="1" t="s">
        <v>65</v>
      </c>
      <c r="E5298" s="1" t="s">
        <v>400</v>
      </c>
    </row>
    <row r="5299" spans="1:5" x14ac:dyDescent="0.2">
      <c r="A5299" s="1" t="s">
        <v>1276</v>
      </c>
      <c r="B5299" s="1" t="s">
        <v>322</v>
      </c>
      <c r="C5299" s="5">
        <f>DATE(2024, 10, 15) + TIME(12, 22, 15)</f>
        <v>45580.515451388892</v>
      </c>
      <c r="D5299" s="1" t="s">
        <v>3</v>
      </c>
      <c r="E5299" s="1" t="s">
        <v>925</v>
      </c>
    </row>
    <row r="5300" spans="1:5" x14ac:dyDescent="0.2">
      <c r="A5300" s="1" t="s">
        <v>1276</v>
      </c>
      <c r="B5300" s="1" t="s">
        <v>203</v>
      </c>
      <c r="C5300" s="5">
        <f>DATE(2024, 10, 14) + TIME(15, 19, 47)</f>
        <v>45579.638738425929</v>
      </c>
      <c r="D5300" s="1" t="s">
        <v>320</v>
      </c>
      <c r="E5300" s="1" t="s">
        <v>406</v>
      </c>
    </row>
    <row r="5301" spans="1:5" x14ac:dyDescent="0.2">
      <c r="A5301" s="1" t="s">
        <v>1276</v>
      </c>
      <c r="B5301" s="1" t="s">
        <v>1115</v>
      </c>
      <c r="C5301" s="5">
        <f>DATE(2024, 10, 14) + TIME(15, 19, 46)</f>
        <v>45579.638726851852</v>
      </c>
      <c r="D5301" s="1" t="s">
        <v>320</v>
      </c>
      <c r="E5301" s="1" t="s">
        <v>406</v>
      </c>
    </row>
    <row r="5302" spans="1:5" x14ac:dyDescent="0.2">
      <c r="A5302" s="1" t="s">
        <v>1276</v>
      </c>
      <c r="B5302" s="1" t="s">
        <v>1155</v>
      </c>
      <c r="C5302" s="5">
        <f>DATE(2024, 10, 14) + TIME(15, 19, 46)</f>
        <v>45579.638726851852</v>
      </c>
      <c r="D5302" s="1" t="s">
        <v>320</v>
      </c>
      <c r="E5302" s="1" t="s">
        <v>406</v>
      </c>
    </row>
    <row r="5303" spans="1:5" x14ac:dyDescent="0.2">
      <c r="A5303" s="1" t="s">
        <v>1276</v>
      </c>
      <c r="B5303" s="1" t="s">
        <v>272</v>
      </c>
      <c r="C5303" s="5">
        <f>DATE(2024, 10, 11) + TIME(11, 9, 23)</f>
        <v>45576.464849537035</v>
      </c>
      <c r="D5303" s="1" t="s">
        <v>148</v>
      </c>
      <c r="E5303" s="1" t="s">
        <v>361</v>
      </c>
    </row>
    <row r="5304" spans="1:5" x14ac:dyDescent="0.2">
      <c r="A5304" s="1" t="s">
        <v>1276</v>
      </c>
      <c r="B5304" s="1" t="s">
        <v>69</v>
      </c>
      <c r="C5304" s="5">
        <f>DATE(2024, 10, 10) + TIME(15, 32, 35)</f>
        <v>45575.647627314815</v>
      </c>
      <c r="D5304" s="1" t="s">
        <v>320</v>
      </c>
      <c r="E5304" s="1" t="s">
        <v>845</v>
      </c>
    </row>
    <row r="5305" spans="1:5" x14ac:dyDescent="0.2">
      <c r="A5305" s="1" t="s">
        <v>1276</v>
      </c>
      <c r="B5305" s="1" t="s">
        <v>22</v>
      </c>
      <c r="C5305" s="5">
        <f>DATE(2024, 10, 10) + TIME(15, 10, 1)</f>
        <v>45575.631956018522</v>
      </c>
      <c r="D5305" s="1" t="s">
        <v>1054</v>
      </c>
      <c r="E5305" s="1" t="s">
        <v>1156</v>
      </c>
    </row>
    <row r="5306" spans="1:5" x14ac:dyDescent="0.2">
      <c r="A5306" s="1" t="s">
        <v>1276</v>
      </c>
      <c r="B5306" s="1" t="s">
        <v>759</v>
      </c>
      <c r="C5306" s="5">
        <f>DATE(2024, 10, 10) + TIME(14, 14, 35)</f>
        <v>45575.593460648146</v>
      </c>
      <c r="D5306" s="1" t="s">
        <v>1054</v>
      </c>
      <c r="E5306" s="1" t="s">
        <v>935</v>
      </c>
    </row>
    <row r="5307" spans="1:5" x14ac:dyDescent="0.2">
      <c r="A5307" s="1" t="s">
        <v>1276</v>
      </c>
      <c r="B5307" s="1" t="s">
        <v>1115</v>
      </c>
      <c r="C5307" s="5">
        <f>DATE(2024, 10, 10) + TIME(13, 45, 24)</f>
        <v>45575.573194444441</v>
      </c>
      <c r="D5307" s="1" t="s">
        <v>320</v>
      </c>
      <c r="E5307" s="1" t="s">
        <v>2</v>
      </c>
    </row>
    <row r="5308" spans="1:5" x14ac:dyDescent="0.2">
      <c r="A5308" s="1" t="s">
        <v>1276</v>
      </c>
      <c r="B5308" s="1" t="s">
        <v>1155</v>
      </c>
      <c r="C5308" s="5">
        <f>DATE(2024, 10, 10) + TIME(13, 45, 24)</f>
        <v>45575.573194444441</v>
      </c>
      <c r="D5308" s="1" t="s">
        <v>320</v>
      </c>
      <c r="E5308" s="1" t="s">
        <v>2</v>
      </c>
    </row>
    <row r="5309" spans="1:5" x14ac:dyDescent="0.2">
      <c r="A5309" s="1" t="s">
        <v>1276</v>
      </c>
      <c r="B5309" s="1" t="s">
        <v>278</v>
      </c>
      <c r="C5309" s="5">
        <f>DATE(2024, 10, 10) + TIME(13, 42, 27)</f>
        <v>45575.571145833332</v>
      </c>
      <c r="D5309" s="1" t="s">
        <v>144</v>
      </c>
      <c r="E5309" s="1" t="s">
        <v>946</v>
      </c>
    </row>
    <row r="5310" spans="1:5" x14ac:dyDescent="0.2">
      <c r="A5310" s="1" t="s">
        <v>1276</v>
      </c>
      <c r="B5310" s="1" t="s">
        <v>417</v>
      </c>
      <c r="C5310" s="5">
        <f>DATE(2024, 10, 10) + TIME(13, 6, 22)</f>
        <v>45575.546087962961</v>
      </c>
      <c r="D5310" s="1" t="s">
        <v>640</v>
      </c>
      <c r="E5310" s="1" t="s">
        <v>70</v>
      </c>
    </row>
    <row r="5311" spans="1:5" x14ac:dyDescent="0.2">
      <c r="A5311" s="1" t="s">
        <v>1276</v>
      </c>
      <c r="B5311" s="1" t="s">
        <v>1158</v>
      </c>
      <c r="C5311" s="5">
        <f>DATE(2024, 10, 10) + TIME(11, 19, 32)</f>
        <v>45575.471898148149</v>
      </c>
      <c r="D5311" s="1" t="s">
        <v>754</v>
      </c>
      <c r="E5311" s="1" t="s">
        <v>330</v>
      </c>
    </row>
    <row r="5312" spans="1:5" x14ac:dyDescent="0.2">
      <c r="A5312" s="1" t="s">
        <v>1276</v>
      </c>
      <c r="B5312" s="1" t="s">
        <v>109</v>
      </c>
      <c r="C5312" s="5">
        <f>DATE(2024, 10, 10) + TIME(10, 49, 23)</f>
        <v>45575.450960648152</v>
      </c>
      <c r="D5312" s="1" t="s">
        <v>576</v>
      </c>
      <c r="E5312" s="1" t="s">
        <v>840</v>
      </c>
    </row>
    <row r="5313" spans="1:5" x14ac:dyDescent="0.2">
      <c r="A5313" s="1" t="s">
        <v>1276</v>
      </c>
      <c r="B5313" s="1" t="s">
        <v>1155</v>
      </c>
      <c r="C5313" s="5">
        <f>DATE(2024, 10, 10) + TIME(10, 49, 23)</f>
        <v>45575.450960648152</v>
      </c>
      <c r="D5313" s="1" t="s">
        <v>576</v>
      </c>
      <c r="E5313" s="1" t="s">
        <v>840</v>
      </c>
    </row>
    <row r="5314" spans="1:5" x14ac:dyDescent="0.2">
      <c r="A5314" s="1" t="s">
        <v>1276</v>
      </c>
      <c r="B5314" s="1" t="s">
        <v>1159</v>
      </c>
      <c r="C5314" s="5">
        <f>DATE(2024, 10, 10) + TIME(10, 49, 23)</f>
        <v>45575.450960648152</v>
      </c>
      <c r="D5314" s="1" t="s">
        <v>576</v>
      </c>
      <c r="E5314" s="1" t="s">
        <v>840</v>
      </c>
    </row>
    <row r="5315" spans="1:5" x14ac:dyDescent="0.2">
      <c r="A5315" s="1" t="s">
        <v>1276</v>
      </c>
      <c r="B5315" s="1" t="s">
        <v>163</v>
      </c>
      <c r="C5315" s="5">
        <f>DATE(2024, 10, 10) + TIME(8, 26, 17)</f>
        <v>45575.351585648146</v>
      </c>
      <c r="D5315" s="1" t="s">
        <v>320</v>
      </c>
      <c r="E5315" s="1" t="s">
        <v>683</v>
      </c>
    </row>
    <row r="5316" spans="1:5" x14ac:dyDescent="0.2">
      <c r="A5316" s="1" t="s">
        <v>1276</v>
      </c>
      <c r="B5316" s="1" t="s">
        <v>15</v>
      </c>
      <c r="C5316" s="5">
        <f>DATE(2024, 10, 9) + TIME(14, 56, 4)</f>
        <v>45574.62226851852</v>
      </c>
      <c r="D5316" s="1" t="s">
        <v>3</v>
      </c>
      <c r="E5316" s="1" t="s">
        <v>73</v>
      </c>
    </row>
    <row r="5317" spans="1:5" x14ac:dyDescent="0.2">
      <c r="A5317" s="1" t="s">
        <v>1276</v>
      </c>
      <c r="B5317" s="1" t="s">
        <v>305</v>
      </c>
      <c r="C5317" s="5">
        <f>DATE(2024, 10, 9) + TIME(14, 54, 40)</f>
        <v>45574.621296296296</v>
      </c>
      <c r="D5317" s="1" t="s">
        <v>64</v>
      </c>
      <c r="E5317" s="1" t="s">
        <v>1008</v>
      </c>
    </row>
    <row r="5318" spans="1:5" x14ac:dyDescent="0.2">
      <c r="A5318" s="1" t="s">
        <v>1276</v>
      </c>
      <c r="B5318" s="1" t="s">
        <v>587</v>
      </c>
      <c r="C5318" s="5">
        <f>DATE(2024, 10, 9) + TIME(14, 3, 21)</f>
        <v>45574.585659722223</v>
      </c>
      <c r="D5318" s="1" t="s">
        <v>126</v>
      </c>
      <c r="E5318" s="1" t="s">
        <v>249</v>
      </c>
    </row>
    <row r="5319" spans="1:5" x14ac:dyDescent="0.2">
      <c r="A5319" s="1" t="s">
        <v>1276</v>
      </c>
      <c r="B5319" s="1" t="s">
        <v>493</v>
      </c>
      <c r="C5319" s="5">
        <f>DATE(2024, 10, 9) + TIME(13, 13, 31)</f>
        <v>45574.551053240742</v>
      </c>
      <c r="D5319" s="1" t="s">
        <v>216</v>
      </c>
      <c r="E5319" s="1" t="s">
        <v>321</v>
      </c>
    </row>
    <row r="5320" spans="1:5" x14ac:dyDescent="0.2">
      <c r="A5320" s="1" t="s">
        <v>1276</v>
      </c>
      <c r="B5320" s="1" t="s">
        <v>663</v>
      </c>
      <c r="C5320" s="5">
        <f>DATE(2024, 10, 9) + TIME(11, 49, 0)</f>
        <v>45574.492361111108</v>
      </c>
      <c r="D5320" s="1" t="s">
        <v>459</v>
      </c>
      <c r="E5320" s="1" t="s">
        <v>536</v>
      </c>
    </row>
    <row r="5321" spans="1:5" x14ac:dyDescent="0.2">
      <c r="A5321" s="1" t="s">
        <v>1276</v>
      </c>
      <c r="B5321" s="1" t="s">
        <v>1115</v>
      </c>
      <c r="C5321" s="5">
        <f>DATE(2024, 10, 9) + TIME(11, 25, 10)</f>
        <v>45574.475810185184</v>
      </c>
      <c r="D5321" s="1" t="s">
        <v>64</v>
      </c>
      <c r="E5321" s="1" t="s">
        <v>873</v>
      </c>
    </row>
    <row r="5322" spans="1:5" x14ac:dyDescent="0.2">
      <c r="A5322" s="1" t="s">
        <v>1276</v>
      </c>
      <c r="B5322" s="1" t="s">
        <v>272</v>
      </c>
      <c r="C5322" s="5">
        <f>DATE(2024, 10, 9) + TIME(9, 52, 28)</f>
        <v>45574.411435185182</v>
      </c>
      <c r="D5322" s="1" t="s">
        <v>64</v>
      </c>
      <c r="E5322" s="1" t="s">
        <v>337</v>
      </c>
    </row>
    <row r="5323" spans="1:5" x14ac:dyDescent="0.2">
      <c r="A5323" s="1" t="s">
        <v>1276</v>
      </c>
      <c r="B5323" s="1" t="s">
        <v>60</v>
      </c>
      <c r="C5323" s="5">
        <f>DATE(2024, 10, 9) + TIME(9, 52, 28)</f>
        <v>45574.411435185182</v>
      </c>
      <c r="D5323" s="1" t="s">
        <v>64</v>
      </c>
      <c r="E5323" s="1" t="s">
        <v>337</v>
      </c>
    </row>
    <row r="5324" spans="1:5" x14ac:dyDescent="0.2">
      <c r="A5324" s="1" t="s">
        <v>1276</v>
      </c>
      <c r="B5324" s="1" t="s">
        <v>323</v>
      </c>
      <c r="C5324" s="5">
        <f>DATE(2024, 10, 9) + TIME(9, 12, 5)</f>
        <v>45574.383391203701</v>
      </c>
      <c r="D5324" s="1" t="s">
        <v>869</v>
      </c>
      <c r="E5324" s="1" t="s">
        <v>639</v>
      </c>
    </row>
    <row r="5325" spans="1:5" x14ac:dyDescent="0.2">
      <c r="A5325" s="1" t="s">
        <v>1276</v>
      </c>
      <c r="B5325" s="1" t="s">
        <v>817</v>
      </c>
      <c r="C5325" s="5">
        <f>DATE(2024, 10, 9) + TIME(9, 12, 4)</f>
        <v>45574.383379629631</v>
      </c>
      <c r="D5325" s="1" t="s">
        <v>869</v>
      </c>
      <c r="E5325" s="1" t="s">
        <v>639</v>
      </c>
    </row>
    <row r="5326" spans="1:5" x14ac:dyDescent="0.2">
      <c r="A5326" s="1" t="s">
        <v>1276</v>
      </c>
      <c r="B5326" s="1" t="s">
        <v>939</v>
      </c>
      <c r="C5326" s="5">
        <f>DATE(2024, 10, 9) + TIME(9, 4, 11)</f>
        <v>45574.377905092595</v>
      </c>
      <c r="D5326" s="1" t="s">
        <v>754</v>
      </c>
      <c r="E5326" s="1" t="s">
        <v>760</v>
      </c>
    </row>
    <row r="5327" spans="1:5" x14ac:dyDescent="0.2">
      <c r="A5327" s="1" t="s">
        <v>1276</v>
      </c>
      <c r="B5327" s="1" t="s">
        <v>1161</v>
      </c>
      <c r="C5327" s="5">
        <f>DATE(2024, 10, 9) + TIME(8, 36, 28)</f>
        <v>45574.358657407407</v>
      </c>
      <c r="D5327" s="1" t="s">
        <v>216</v>
      </c>
      <c r="E5327" s="1" t="s">
        <v>519</v>
      </c>
    </row>
    <row r="5328" spans="1:5" x14ac:dyDescent="0.2">
      <c r="A5328" s="1" t="s">
        <v>1276</v>
      </c>
      <c r="B5328" s="1" t="s">
        <v>1115</v>
      </c>
      <c r="C5328" s="5">
        <f>DATE(2024, 10, 8) + TIME(15, 41, 7)</f>
        <v>45573.653553240743</v>
      </c>
      <c r="D5328" s="1" t="s">
        <v>320</v>
      </c>
      <c r="E5328" s="1" t="s">
        <v>239</v>
      </c>
    </row>
    <row r="5329" spans="1:5" x14ac:dyDescent="0.2">
      <c r="A5329" s="1" t="s">
        <v>1276</v>
      </c>
      <c r="B5329" s="1" t="s">
        <v>354</v>
      </c>
      <c r="C5329" s="5">
        <f>DATE(2024, 10, 8) + TIME(9, 28, 22)</f>
        <v>45573.394699074073</v>
      </c>
      <c r="D5329" s="1" t="s">
        <v>869</v>
      </c>
      <c r="E5329" s="1" t="s">
        <v>830</v>
      </c>
    </row>
    <row r="5330" spans="1:5" x14ac:dyDescent="0.2">
      <c r="A5330" s="1" t="s">
        <v>1276</v>
      </c>
      <c r="B5330" s="1" t="s">
        <v>493</v>
      </c>
      <c r="C5330" s="5">
        <f>DATE(2024, 10, 7) + TIME(16, 28, 31)</f>
        <v>45572.686469907407</v>
      </c>
      <c r="D5330" s="1" t="s">
        <v>5</v>
      </c>
      <c r="E5330" s="1" t="s">
        <v>641</v>
      </c>
    </row>
    <row r="5331" spans="1:5" x14ac:dyDescent="0.2">
      <c r="A5331" s="1" t="s">
        <v>1276</v>
      </c>
      <c r="B5331" s="1" t="s">
        <v>278</v>
      </c>
      <c r="C5331" s="5">
        <f>DATE(2024, 10, 7) + TIME(15, 42, 7)</f>
        <v>45572.654247685183</v>
      </c>
      <c r="D5331" s="1" t="s">
        <v>144</v>
      </c>
      <c r="E5331" s="1" t="s">
        <v>946</v>
      </c>
    </row>
    <row r="5332" spans="1:5" x14ac:dyDescent="0.2">
      <c r="A5332" s="1" t="s">
        <v>1276</v>
      </c>
      <c r="B5332" s="1" t="s">
        <v>22</v>
      </c>
      <c r="C5332" s="5">
        <f>DATE(2024, 10, 7) + TIME(15, 42, 6)</f>
        <v>45572.654236111113</v>
      </c>
      <c r="D5332" s="1" t="s">
        <v>144</v>
      </c>
      <c r="E5332" s="1" t="s">
        <v>946</v>
      </c>
    </row>
    <row r="5333" spans="1:5" x14ac:dyDescent="0.2">
      <c r="A5333" s="1" t="s">
        <v>1276</v>
      </c>
      <c r="B5333" s="1" t="s">
        <v>63</v>
      </c>
      <c r="C5333" s="5">
        <f>DATE(2024, 10, 7) + TIME(15, 42, 6)</f>
        <v>45572.654236111113</v>
      </c>
      <c r="D5333" s="1" t="s">
        <v>144</v>
      </c>
      <c r="E5333" s="1" t="s">
        <v>946</v>
      </c>
    </row>
    <row r="5334" spans="1:5" x14ac:dyDescent="0.2">
      <c r="A5334" s="1" t="s">
        <v>1276</v>
      </c>
      <c r="B5334" s="1" t="s">
        <v>505</v>
      </c>
      <c r="C5334" s="5">
        <f>DATE(2024, 10, 7) + TIME(15, 34, 8)</f>
        <v>45572.6487037037</v>
      </c>
      <c r="D5334" s="1" t="s">
        <v>871</v>
      </c>
      <c r="E5334" s="1" t="s">
        <v>414</v>
      </c>
    </row>
    <row r="5335" spans="1:5" x14ac:dyDescent="0.2">
      <c r="A5335" s="1" t="s">
        <v>1276</v>
      </c>
      <c r="B5335" s="1" t="s">
        <v>305</v>
      </c>
      <c r="C5335" s="5">
        <f>DATE(2024, 10, 7) + TIME(15, 29, 15)</f>
        <v>45572.645312499997</v>
      </c>
      <c r="D5335" s="1" t="s">
        <v>64</v>
      </c>
      <c r="E5335" s="1" t="s">
        <v>308</v>
      </c>
    </row>
    <row r="5336" spans="1:5" x14ac:dyDescent="0.2">
      <c r="A5336" s="1" t="s">
        <v>1276</v>
      </c>
      <c r="B5336" s="1" t="s">
        <v>69</v>
      </c>
      <c r="C5336" s="5">
        <f>DATE(2024, 10, 7) + TIME(15, 29, 14)</f>
        <v>45572.645300925928</v>
      </c>
      <c r="D5336" s="1" t="s">
        <v>64</v>
      </c>
      <c r="E5336" s="1" t="s">
        <v>308</v>
      </c>
    </row>
    <row r="5337" spans="1:5" x14ac:dyDescent="0.2">
      <c r="A5337" s="1" t="s">
        <v>1276</v>
      </c>
      <c r="B5337" s="1" t="s">
        <v>664</v>
      </c>
      <c r="C5337" s="5">
        <f>DATE(2024, 10, 7) + TIME(14, 22, 5)</f>
        <v>45572.598668981482</v>
      </c>
      <c r="D5337" s="1" t="s">
        <v>640</v>
      </c>
      <c r="E5337" s="1" t="s">
        <v>195</v>
      </c>
    </row>
    <row r="5338" spans="1:5" x14ac:dyDescent="0.2">
      <c r="A5338" s="1" t="s">
        <v>1276</v>
      </c>
      <c r="B5338" s="1" t="s">
        <v>1162</v>
      </c>
      <c r="C5338" s="5">
        <f>DATE(2024, 10, 7) + TIME(14, 19, 50)</f>
        <v>45572.59710648148</v>
      </c>
      <c r="D5338" s="1" t="s">
        <v>459</v>
      </c>
      <c r="E5338" s="1" t="s">
        <v>836</v>
      </c>
    </row>
    <row r="5339" spans="1:5" x14ac:dyDescent="0.2">
      <c r="A5339" s="1" t="s">
        <v>1276</v>
      </c>
      <c r="B5339" s="1" t="s">
        <v>228</v>
      </c>
      <c r="C5339" s="5">
        <f>DATE(2024, 10, 7) + TIME(13, 44, 56)</f>
        <v>45572.572870370372</v>
      </c>
      <c r="D5339" s="1" t="s">
        <v>640</v>
      </c>
      <c r="E5339" s="1" t="s">
        <v>520</v>
      </c>
    </row>
    <row r="5340" spans="1:5" x14ac:dyDescent="0.2">
      <c r="A5340" s="1" t="s">
        <v>1276</v>
      </c>
      <c r="B5340" s="1" t="s">
        <v>69</v>
      </c>
      <c r="C5340" s="5">
        <f>DATE(2024, 10, 7) + TIME(12, 40, 50)</f>
        <v>45572.528356481482</v>
      </c>
      <c r="D5340" s="1" t="s">
        <v>356</v>
      </c>
      <c r="E5340" s="1" t="s">
        <v>273</v>
      </c>
    </row>
    <row r="5341" spans="1:5" x14ac:dyDescent="0.2">
      <c r="A5341" s="1" t="s">
        <v>1276</v>
      </c>
      <c r="B5341" s="1" t="s">
        <v>4</v>
      </c>
      <c r="C5341" s="5">
        <f>DATE(2024, 10, 7) + TIME(12, 33, 17)</f>
        <v>45572.523113425923</v>
      </c>
      <c r="D5341" s="1" t="s">
        <v>450</v>
      </c>
      <c r="E5341" s="1" t="s">
        <v>292</v>
      </c>
    </row>
    <row r="5342" spans="1:5" x14ac:dyDescent="0.2">
      <c r="A5342" s="1" t="s">
        <v>1276</v>
      </c>
      <c r="B5342" s="1" t="s">
        <v>793</v>
      </c>
      <c r="C5342" s="5">
        <f>DATE(2024, 10, 7) + TIME(11, 54, 4)</f>
        <v>45572.495879629627</v>
      </c>
      <c r="D5342" s="1" t="s">
        <v>754</v>
      </c>
      <c r="E5342" s="1" t="s">
        <v>330</v>
      </c>
    </row>
    <row r="5343" spans="1:5" x14ac:dyDescent="0.2">
      <c r="A5343" s="1" t="s">
        <v>1276</v>
      </c>
      <c r="B5343" s="1" t="s">
        <v>864</v>
      </c>
      <c r="C5343" s="5">
        <f>DATE(2024, 10, 7) + TIME(11, 44, 38)</f>
        <v>45572.489328703705</v>
      </c>
      <c r="D5343" s="1" t="s">
        <v>640</v>
      </c>
      <c r="E5343" s="1" t="s">
        <v>667</v>
      </c>
    </row>
    <row r="5344" spans="1:5" x14ac:dyDescent="0.2">
      <c r="A5344" s="1" t="s">
        <v>1276</v>
      </c>
      <c r="B5344" s="1" t="s">
        <v>682</v>
      </c>
      <c r="C5344" s="5">
        <f>DATE(2024, 10, 3) + TIME(14, 24, 30)</f>
        <v>45568.600347222222</v>
      </c>
      <c r="D5344" s="1" t="s">
        <v>1054</v>
      </c>
      <c r="E5344" s="1" t="s">
        <v>1156</v>
      </c>
    </row>
    <row r="5345" spans="1:5" x14ac:dyDescent="0.2">
      <c r="A5345" s="1" t="s">
        <v>1276</v>
      </c>
      <c r="B5345" s="1" t="s">
        <v>664</v>
      </c>
      <c r="C5345" s="5">
        <f>DATE(2024, 10, 3) + TIME(13, 48, 16)</f>
        <v>45568.575185185182</v>
      </c>
      <c r="D5345" s="1" t="s">
        <v>638</v>
      </c>
      <c r="E5345" s="1" t="s">
        <v>362</v>
      </c>
    </row>
    <row r="5346" spans="1:5" x14ac:dyDescent="0.2">
      <c r="A5346" s="1" t="s">
        <v>1276</v>
      </c>
      <c r="B5346" s="1" t="s">
        <v>1163</v>
      </c>
      <c r="C5346" s="5">
        <f>DATE(2024, 10, 3) + TIME(13, 7, 17)</f>
        <v>45568.546724537038</v>
      </c>
      <c r="D5346" s="1" t="s">
        <v>506</v>
      </c>
      <c r="E5346" s="1" t="s">
        <v>808</v>
      </c>
    </row>
    <row r="5347" spans="1:5" x14ac:dyDescent="0.2">
      <c r="A5347" s="1" t="s">
        <v>1276</v>
      </c>
      <c r="B5347" s="1" t="s">
        <v>1164</v>
      </c>
      <c r="C5347" s="5">
        <f>DATE(2024, 10, 3) + TIME(13, 5, 21)</f>
        <v>45568.545381944445</v>
      </c>
      <c r="D5347" s="1" t="s">
        <v>506</v>
      </c>
      <c r="E5347" s="1" t="s">
        <v>875</v>
      </c>
    </row>
    <row r="5348" spans="1:5" x14ac:dyDescent="0.2">
      <c r="A5348" s="1" t="s">
        <v>1276</v>
      </c>
      <c r="B5348" s="1" t="s">
        <v>109</v>
      </c>
      <c r="C5348" s="5">
        <f>DATE(2024, 10, 3) + TIME(13, 4, 12)</f>
        <v>45568.544583333336</v>
      </c>
      <c r="D5348" s="1" t="s">
        <v>506</v>
      </c>
      <c r="E5348" s="1" t="s">
        <v>867</v>
      </c>
    </row>
    <row r="5349" spans="1:5" x14ac:dyDescent="0.2">
      <c r="A5349" s="1" t="s">
        <v>1276</v>
      </c>
      <c r="B5349" s="1" t="s">
        <v>959</v>
      </c>
      <c r="C5349" s="5">
        <f>DATE(2024, 10, 3) + TIME(13, 4, 12)</f>
        <v>45568.544583333336</v>
      </c>
      <c r="D5349" s="1" t="s">
        <v>506</v>
      </c>
      <c r="E5349" s="1" t="s">
        <v>867</v>
      </c>
    </row>
    <row r="5350" spans="1:5" x14ac:dyDescent="0.2">
      <c r="A5350" s="1" t="s">
        <v>1276</v>
      </c>
      <c r="B5350" s="1" t="s">
        <v>944</v>
      </c>
      <c r="C5350" s="5">
        <f>DATE(2024, 10, 3) + TIME(13, 4, 12)</f>
        <v>45568.544583333336</v>
      </c>
      <c r="D5350" s="1" t="s">
        <v>506</v>
      </c>
      <c r="E5350" s="1" t="s">
        <v>867</v>
      </c>
    </row>
    <row r="5351" spans="1:5" x14ac:dyDescent="0.2">
      <c r="A5351" s="1" t="s">
        <v>1276</v>
      </c>
      <c r="B5351" s="1" t="s">
        <v>197</v>
      </c>
      <c r="C5351" s="5">
        <f>DATE(2024, 10, 3) + TIME(12, 49, 58)</f>
        <v>45568.534699074073</v>
      </c>
      <c r="D5351" s="1" t="s">
        <v>566</v>
      </c>
      <c r="E5351" s="1" t="s">
        <v>324</v>
      </c>
    </row>
    <row r="5352" spans="1:5" x14ac:dyDescent="0.2">
      <c r="A5352" s="1" t="s">
        <v>1276</v>
      </c>
      <c r="B5352" s="1" t="s">
        <v>1165</v>
      </c>
      <c r="C5352" s="5">
        <f>DATE(2024, 10, 3) + TIME(12, 49, 58)</f>
        <v>45568.534699074073</v>
      </c>
      <c r="D5352" s="1" t="s">
        <v>566</v>
      </c>
      <c r="E5352" s="1" t="s">
        <v>324</v>
      </c>
    </row>
    <row r="5353" spans="1:5" x14ac:dyDescent="0.2">
      <c r="A5353" s="1" t="s">
        <v>1276</v>
      </c>
      <c r="B5353" s="1" t="s">
        <v>1167</v>
      </c>
      <c r="C5353" s="5">
        <f>DATE(2024, 10, 3) + TIME(11, 51, 31)</f>
        <v>45568.494108796294</v>
      </c>
      <c r="D5353" s="1" t="s">
        <v>640</v>
      </c>
      <c r="E5353" s="1" t="s">
        <v>70</v>
      </c>
    </row>
    <row r="5354" spans="1:5" x14ac:dyDescent="0.2">
      <c r="A5354" s="1" t="s">
        <v>1276</v>
      </c>
      <c r="B5354" s="1" t="s">
        <v>580</v>
      </c>
      <c r="C5354" s="5">
        <f>DATE(2024, 10, 3) + TIME(11, 17, 15)</f>
        <v>45568.470312500001</v>
      </c>
      <c r="D5354" s="1" t="s">
        <v>640</v>
      </c>
      <c r="E5354" s="1" t="s">
        <v>32</v>
      </c>
    </row>
    <row r="5355" spans="1:5" x14ac:dyDescent="0.2">
      <c r="A5355" s="1" t="s">
        <v>1276</v>
      </c>
      <c r="B5355" s="1" t="s">
        <v>493</v>
      </c>
      <c r="C5355" s="5">
        <f>DATE(2024, 10, 3) + TIME(10, 51, 35)</f>
        <v>45568.452488425923</v>
      </c>
      <c r="D5355" s="1" t="s">
        <v>3</v>
      </c>
      <c r="E5355" s="1" t="s">
        <v>211</v>
      </c>
    </row>
    <row r="5356" spans="1:5" x14ac:dyDescent="0.2">
      <c r="A5356" s="1" t="s">
        <v>1276</v>
      </c>
      <c r="B5356" s="1" t="s">
        <v>29</v>
      </c>
      <c r="C5356" s="5">
        <f>DATE(2024, 10, 3) + TIME(4, 32, 8)</f>
        <v>45568.188981481479</v>
      </c>
      <c r="D5356" s="1" t="s">
        <v>3</v>
      </c>
      <c r="E5356" s="1" t="s">
        <v>936</v>
      </c>
    </row>
    <row r="5357" spans="1:5" x14ac:dyDescent="0.2">
      <c r="A5357" s="1" t="s">
        <v>1276</v>
      </c>
      <c r="B5357" s="1" t="s">
        <v>664</v>
      </c>
      <c r="C5357" s="5">
        <f>DATE(2024, 10, 2) + TIME(14, 47, 5)</f>
        <v>45567.616030092591</v>
      </c>
      <c r="D5357" s="1" t="s">
        <v>566</v>
      </c>
      <c r="E5357" s="1" t="s">
        <v>893</v>
      </c>
    </row>
    <row r="5358" spans="1:5" x14ac:dyDescent="0.2">
      <c r="A5358" s="1" t="s">
        <v>1276</v>
      </c>
      <c r="B5358" s="1" t="s">
        <v>489</v>
      </c>
      <c r="C5358" s="5">
        <f>DATE(2024, 10, 2) + TIME(14, 37, 17)</f>
        <v>45567.609224537038</v>
      </c>
      <c r="D5358" s="1" t="s">
        <v>566</v>
      </c>
      <c r="E5358" s="1" t="s">
        <v>888</v>
      </c>
    </row>
    <row r="5359" spans="1:5" x14ac:dyDescent="0.2">
      <c r="A5359" s="1" t="s">
        <v>1276</v>
      </c>
      <c r="B5359" s="1" t="s">
        <v>737</v>
      </c>
      <c r="C5359" s="5">
        <f>DATE(2024, 10, 2) + TIME(14, 37, 16)</f>
        <v>45567.609212962961</v>
      </c>
      <c r="D5359" s="1" t="s">
        <v>566</v>
      </c>
      <c r="E5359" s="1" t="s">
        <v>888</v>
      </c>
    </row>
    <row r="5360" spans="1:5" x14ac:dyDescent="0.2">
      <c r="A5360" s="1" t="s">
        <v>1276</v>
      </c>
      <c r="B5360" s="1" t="s">
        <v>69</v>
      </c>
      <c r="C5360" s="5">
        <f>DATE(2024, 10, 2) + TIME(11, 28, 46)</f>
        <v>45567.478310185186</v>
      </c>
      <c r="D5360" s="1" t="s">
        <v>64</v>
      </c>
      <c r="E5360" s="1" t="s">
        <v>873</v>
      </c>
    </row>
    <row r="5361" spans="1:5" x14ac:dyDescent="0.2">
      <c r="A5361" s="1" t="s">
        <v>1276</v>
      </c>
      <c r="B5361" s="1" t="s">
        <v>322</v>
      </c>
      <c r="C5361" s="5">
        <f>DATE(2024, 10, 2) + TIME(11, 6, 46)</f>
        <v>45567.46303240741</v>
      </c>
      <c r="D5361" s="1" t="s">
        <v>65</v>
      </c>
      <c r="E5361" s="1" t="s">
        <v>918</v>
      </c>
    </row>
    <row r="5362" spans="1:5" x14ac:dyDescent="0.2">
      <c r="A5362" s="1" t="s">
        <v>1276</v>
      </c>
      <c r="B5362" s="1" t="s">
        <v>1162</v>
      </c>
      <c r="C5362" s="5">
        <f>DATE(2024, 10, 1) + TIME(13, 12, 55)</f>
        <v>45566.550636574073</v>
      </c>
      <c r="D5362" s="1" t="s">
        <v>871</v>
      </c>
      <c r="E5362" s="1" t="s">
        <v>149</v>
      </c>
    </row>
    <row r="5363" spans="1:5" x14ac:dyDescent="0.2">
      <c r="A5363" s="1" t="s">
        <v>1276</v>
      </c>
      <c r="B5363" s="1" t="s">
        <v>354</v>
      </c>
      <c r="C5363" s="5">
        <f>DATE(2024, 10, 1) + TIME(13, 10, 21)</f>
        <v>45566.548854166664</v>
      </c>
      <c r="D5363" s="1" t="s">
        <v>3</v>
      </c>
      <c r="E5363" s="1" t="s">
        <v>571</v>
      </c>
    </row>
    <row r="5364" spans="1:5" ht="16" x14ac:dyDescent="0.2">
      <c r="A5364" s="1" t="s">
        <v>1276</v>
      </c>
      <c r="B5364" s="1" t="s">
        <v>959</v>
      </c>
      <c r="C5364" s="5">
        <f>DATE(2024, 10, 1) + TIME(12, 57, 22)</f>
        <v>45566.539837962962</v>
      </c>
      <c r="D5364" s="1" t="s">
        <v>754</v>
      </c>
      <c r="E5364" s="2" t="s">
        <v>87</v>
      </c>
    </row>
    <row r="5365" spans="1:5" ht="16" x14ac:dyDescent="0.2">
      <c r="A5365" s="1" t="s">
        <v>1276</v>
      </c>
      <c r="B5365" s="1" t="s">
        <v>790</v>
      </c>
      <c r="C5365" s="5">
        <f>DATE(2024, 10, 1) + TIME(12, 57, 22)</f>
        <v>45566.539837962962</v>
      </c>
      <c r="D5365" s="1" t="s">
        <v>754</v>
      </c>
      <c r="E5365" s="2" t="s">
        <v>87</v>
      </c>
    </row>
    <row r="5366" spans="1:5" x14ac:dyDescent="0.2">
      <c r="A5366" s="1" t="s">
        <v>1276</v>
      </c>
      <c r="B5366" s="1" t="s">
        <v>664</v>
      </c>
      <c r="C5366" s="5">
        <f>DATE(2024, 10, 1) + TIME(9, 22, 48)</f>
        <v>45566.390833333331</v>
      </c>
      <c r="D5366" s="1" t="s">
        <v>871</v>
      </c>
      <c r="E5366" s="1" t="s">
        <v>1111</v>
      </c>
    </row>
    <row r="5367" spans="1:5" x14ac:dyDescent="0.2">
      <c r="A5367" s="1" t="s">
        <v>1276</v>
      </c>
      <c r="B5367" s="1" t="s">
        <v>354</v>
      </c>
      <c r="C5367" s="5">
        <f>DATE(2024, 10, 1) + TIME(9, 12, 55)</f>
        <v>45566.383969907409</v>
      </c>
      <c r="D5367" s="1" t="s">
        <v>869</v>
      </c>
      <c r="E5367" s="1" t="s">
        <v>830</v>
      </c>
    </row>
    <row r="5368" spans="1:5" x14ac:dyDescent="0.2">
      <c r="A5368" s="1" t="s">
        <v>1276</v>
      </c>
      <c r="B5368" s="1" t="s">
        <v>409</v>
      </c>
      <c r="C5368" s="5">
        <f>DATE(2024, 10, 1) + TIME(8, 38, 44)</f>
        <v>45566.360231481478</v>
      </c>
      <c r="D5368" s="1" t="s">
        <v>65</v>
      </c>
      <c r="E5368" s="1" t="s">
        <v>152</v>
      </c>
    </row>
    <row r="5369" spans="1:5" x14ac:dyDescent="0.2">
      <c r="A5369" s="1" t="s">
        <v>1276</v>
      </c>
      <c r="B5369" s="1" t="s">
        <v>4</v>
      </c>
      <c r="C5369" s="5">
        <f>DATE(2024, 9, 30) + TIME(15, 29, 46)</f>
        <v>45565.645671296297</v>
      </c>
      <c r="D5369" s="1" t="s">
        <v>341</v>
      </c>
      <c r="E5369" s="1" t="s">
        <v>652</v>
      </c>
    </row>
    <row r="5370" spans="1:5" x14ac:dyDescent="0.2">
      <c r="A5370" s="1" t="s">
        <v>1276</v>
      </c>
      <c r="B5370" s="1" t="s">
        <v>664</v>
      </c>
      <c r="C5370" s="5">
        <f>DATE(2024, 9, 30) + TIME(15, 29, 10)</f>
        <v>45565.645254629628</v>
      </c>
      <c r="D5370" s="1" t="s">
        <v>341</v>
      </c>
      <c r="E5370" s="1" t="s">
        <v>1171</v>
      </c>
    </row>
    <row r="5371" spans="1:5" x14ac:dyDescent="0.2">
      <c r="A5371" s="1" t="s">
        <v>1276</v>
      </c>
      <c r="B5371" s="1" t="s">
        <v>790</v>
      </c>
      <c r="C5371" s="5">
        <f>DATE(2024, 9, 30) + TIME(15, 28, 39)</f>
        <v>45565.644895833335</v>
      </c>
      <c r="D5371" s="1" t="s">
        <v>754</v>
      </c>
      <c r="E5371" s="1" t="s">
        <v>330</v>
      </c>
    </row>
    <row r="5372" spans="1:5" x14ac:dyDescent="0.2">
      <c r="A5372" s="1" t="s">
        <v>1276</v>
      </c>
      <c r="B5372" s="1" t="s">
        <v>944</v>
      </c>
      <c r="C5372" s="5">
        <f>DATE(2024, 9, 30) + TIME(13, 55, 38)</f>
        <v>45565.580300925925</v>
      </c>
      <c r="D5372" s="1" t="s">
        <v>459</v>
      </c>
      <c r="E5372" s="1" t="s">
        <v>836</v>
      </c>
    </row>
    <row r="5373" spans="1:5" x14ac:dyDescent="0.2">
      <c r="A5373" s="1" t="s">
        <v>1276</v>
      </c>
      <c r="B5373" s="1" t="s">
        <v>866</v>
      </c>
      <c r="C5373" s="5">
        <f>DATE(2024, 9, 30) + TIME(13, 36, 20)</f>
        <v>45565.56689814815</v>
      </c>
      <c r="D5373" s="1" t="s">
        <v>1054</v>
      </c>
      <c r="E5373" s="1" t="s">
        <v>351</v>
      </c>
    </row>
    <row r="5374" spans="1:5" x14ac:dyDescent="0.2">
      <c r="A5374" s="1" t="s">
        <v>1276</v>
      </c>
      <c r="B5374" s="1" t="s">
        <v>952</v>
      </c>
      <c r="C5374" s="5">
        <f>DATE(2024, 9, 30) + TIME(13, 7, 33)</f>
        <v>45565.546909722223</v>
      </c>
      <c r="D5374" s="1" t="s">
        <v>754</v>
      </c>
      <c r="E5374" s="1" t="s">
        <v>441</v>
      </c>
    </row>
    <row r="5375" spans="1:5" x14ac:dyDescent="0.2">
      <c r="A5375" s="1" t="s">
        <v>1276</v>
      </c>
      <c r="B5375" s="1" t="s">
        <v>944</v>
      </c>
      <c r="C5375" s="5">
        <f>DATE(2024, 9, 30) + TIME(13, 7, 33)</f>
        <v>45565.546909722223</v>
      </c>
      <c r="D5375" s="1" t="s">
        <v>754</v>
      </c>
      <c r="E5375" s="1" t="s">
        <v>441</v>
      </c>
    </row>
    <row r="5376" spans="1:5" x14ac:dyDescent="0.2">
      <c r="A5376" s="1" t="s">
        <v>1276</v>
      </c>
      <c r="B5376" s="1" t="s">
        <v>617</v>
      </c>
      <c r="C5376" s="5">
        <f>DATE(2024, 9, 30) + TIME(12, 44, 52)</f>
        <v>45565.531157407408</v>
      </c>
      <c r="D5376" s="1" t="s">
        <v>754</v>
      </c>
      <c r="E5376" s="1" t="s">
        <v>75</v>
      </c>
    </row>
    <row r="5377" spans="1:5" x14ac:dyDescent="0.2">
      <c r="A5377" s="1" t="s">
        <v>1276</v>
      </c>
      <c r="B5377" s="1" t="s">
        <v>664</v>
      </c>
      <c r="C5377" s="5">
        <f>DATE(2024, 9, 30) + TIME(11, 38, 36)</f>
        <v>45565.485138888886</v>
      </c>
      <c r="D5377" s="1" t="s">
        <v>871</v>
      </c>
      <c r="E5377" s="1" t="s">
        <v>701</v>
      </c>
    </row>
    <row r="5378" spans="1:5" x14ac:dyDescent="0.2">
      <c r="A5378" s="1" t="s">
        <v>1276</v>
      </c>
      <c r="B5378" s="1" t="s">
        <v>177</v>
      </c>
      <c r="C5378" s="5">
        <f>DATE(2024, 9, 30) + TIME(11, 27, 45)</f>
        <v>45565.47760416667</v>
      </c>
      <c r="D5378" s="1" t="s">
        <v>269</v>
      </c>
      <c r="E5378" s="1" t="s">
        <v>537</v>
      </c>
    </row>
    <row r="5379" spans="1:5" x14ac:dyDescent="0.2">
      <c r="A5379" s="1" t="s">
        <v>1276</v>
      </c>
      <c r="B5379" s="1" t="s">
        <v>177</v>
      </c>
      <c r="C5379" s="5">
        <f>DATE(2024, 9, 30) + TIME(10, 44, 56)</f>
        <v>45565.447870370372</v>
      </c>
      <c r="D5379" s="1" t="s">
        <v>566</v>
      </c>
      <c r="E5379" s="1" t="s">
        <v>938</v>
      </c>
    </row>
    <row r="5380" spans="1:5" x14ac:dyDescent="0.2">
      <c r="A5380" s="1" t="s">
        <v>1276</v>
      </c>
      <c r="B5380" s="1" t="s">
        <v>664</v>
      </c>
      <c r="C5380" s="5">
        <f>DATE(2024, 9, 30) + TIME(9, 10, 4)</f>
        <v>45565.381990740738</v>
      </c>
      <c r="D5380" s="1" t="s">
        <v>563</v>
      </c>
      <c r="E5380" s="1" t="s">
        <v>1173</v>
      </c>
    </row>
    <row r="5381" spans="1:5" x14ac:dyDescent="0.2">
      <c r="A5381" s="1" t="s">
        <v>1276</v>
      </c>
      <c r="B5381" s="1" t="s">
        <v>786</v>
      </c>
      <c r="C5381" s="5">
        <f>DATE(2024, 9, 26) + TIME(16, 5, 29)</f>
        <v>45561.670474537037</v>
      </c>
      <c r="D5381" s="1" t="s">
        <v>5</v>
      </c>
      <c r="E5381" s="1" t="s">
        <v>641</v>
      </c>
    </row>
    <row r="5382" spans="1:5" x14ac:dyDescent="0.2">
      <c r="A5382" s="1" t="s">
        <v>1276</v>
      </c>
      <c r="B5382" s="1" t="s">
        <v>1174</v>
      </c>
      <c r="C5382" s="5">
        <f>DATE(2024, 9, 26) + TIME(15, 49, 41)</f>
        <v>45561.659502314818</v>
      </c>
      <c r="D5382" s="1" t="s">
        <v>566</v>
      </c>
      <c r="E5382" s="1" t="s">
        <v>324</v>
      </c>
    </row>
    <row r="5383" spans="1:5" x14ac:dyDescent="0.2">
      <c r="A5383" s="1" t="s">
        <v>1276</v>
      </c>
      <c r="B5383" s="1" t="s">
        <v>898</v>
      </c>
      <c r="C5383" s="5">
        <f>DATE(2024, 9, 26) + TIME(15, 49, 41)</f>
        <v>45561.659502314818</v>
      </c>
      <c r="D5383" s="1" t="s">
        <v>566</v>
      </c>
      <c r="E5383" s="1" t="s">
        <v>324</v>
      </c>
    </row>
    <row r="5384" spans="1:5" x14ac:dyDescent="0.2">
      <c r="A5384" s="1" t="s">
        <v>1276</v>
      </c>
      <c r="B5384" s="1" t="s">
        <v>354</v>
      </c>
      <c r="C5384" s="5">
        <f>DATE(2024, 9, 26) + TIME(15, 49, 41)</f>
        <v>45561.659502314818</v>
      </c>
      <c r="D5384" s="1" t="s">
        <v>566</v>
      </c>
      <c r="E5384" s="1" t="s">
        <v>324</v>
      </c>
    </row>
    <row r="5385" spans="1:5" x14ac:dyDescent="0.2">
      <c r="A5385" s="1" t="s">
        <v>1276</v>
      </c>
      <c r="B5385" s="1" t="s">
        <v>109</v>
      </c>
      <c r="C5385" s="5">
        <f>DATE(2024, 9, 26) + TIME(14, 42, 11)</f>
        <v>45561.612627314818</v>
      </c>
      <c r="D5385" s="1" t="s">
        <v>1054</v>
      </c>
      <c r="E5385" s="1" t="s">
        <v>1156</v>
      </c>
    </row>
    <row r="5386" spans="1:5" x14ac:dyDescent="0.2">
      <c r="A5386" s="1" t="s">
        <v>1276</v>
      </c>
      <c r="B5386" s="1" t="s">
        <v>161</v>
      </c>
      <c r="C5386" s="5">
        <f>DATE(2024, 9, 26) + TIME(14, 42, 10)</f>
        <v>45561.612615740742</v>
      </c>
      <c r="D5386" s="1" t="s">
        <v>1054</v>
      </c>
      <c r="E5386" s="1" t="s">
        <v>1156</v>
      </c>
    </row>
    <row r="5387" spans="1:5" x14ac:dyDescent="0.2">
      <c r="A5387" s="1" t="s">
        <v>1276</v>
      </c>
      <c r="B5387" s="1" t="s">
        <v>786</v>
      </c>
      <c r="C5387" s="5">
        <f>DATE(2024, 9, 26) + TIME(14, 3, 4)</f>
        <v>45561.585462962961</v>
      </c>
      <c r="D5387" s="1" t="s">
        <v>566</v>
      </c>
      <c r="E5387" s="1" t="s">
        <v>922</v>
      </c>
    </row>
    <row r="5388" spans="1:5" x14ac:dyDescent="0.2">
      <c r="A5388" s="1" t="s">
        <v>1276</v>
      </c>
      <c r="B5388" s="1" t="s">
        <v>664</v>
      </c>
      <c r="C5388" s="5">
        <f>DATE(2024, 9, 26) + TIME(11, 32, 7)</f>
        <v>45561.480636574073</v>
      </c>
      <c r="D5388" s="1" t="s">
        <v>255</v>
      </c>
      <c r="E5388" s="1" t="s">
        <v>1176</v>
      </c>
    </row>
    <row r="5389" spans="1:5" x14ac:dyDescent="0.2">
      <c r="A5389" s="1" t="s">
        <v>1276</v>
      </c>
      <c r="B5389" s="1" t="s">
        <v>14</v>
      </c>
      <c r="C5389" s="5">
        <f>DATE(2024, 9, 26) + TIME(11, 25, 31)</f>
        <v>45561.476053240738</v>
      </c>
      <c r="D5389" s="1" t="s">
        <v>754</v>
      </c>
      <c r="E5389" s="1" t="s">
        <v>330</v>
      </c>
    </row>
    <row r="5390" spans="1:5" x14ac:dyDescent="0.2">
      <c r="A5390" s="1" t="s">
        <v>1276</v>
      </c>
      <c r="B5390" s="1" t="s">
        <v>959</v>
      </c>
      <c r="C5390" s="5">
        <f>DATE(2024, 9, 26) + TIME(11, 17, 51)</f>
        <v>45561.470729166664</v>
      </c>
      <c r="D5390" s="1" t="s">
        <v>255</v>
      </c>
      <c r="E5390" s="1" t="s">
        <v>466</v>
      </c>
    </row>
    <row r="5391" spans="1:5" x14ac:dyDescent="0.2">
      <c r="A5391" s="1" t="s">
        <v>1276</v>
      </c>
      <c r="B5391" s="1" t="s">
        <v>1043</v>
      </c>
      <c r="C5391" s="5">
        <f>DATE(2024, 9, 26) + TIME(11, 13, 36)</f>
        <v>45561.467777777776</v>
      </c>
      <c r="D5391" s="1" t="s">
        <v>640</v>
      </c>
      <c r="E5391" s="1" t="s">
        <v>70</v>
      </c>
    </row>
    <row r="5392" spans="1:5" x14ac:dyDescent="0.2">
      <c r="A5392" s="1" t="s">
        <v>1276</v>
      </c>
      <c r="B5392" s="1" t="s">
        <v>60</v>
      </c>
      <c r="C5392" s="5">
        <f>DATE(2024, 9, 26) + TIME(10, 55, 6)</f>
        <v>45561.454930555556</v>
      </c>
      <c r="D5392" s="1" t="s">
        <v>754</v>
      </c>
      <c r="E5392" s="1" t="s">
        <v>135</v>
      </c>
    </row>
    <row r="5393" spans="1:5" x14ac:dyDescent="0.2">
      <c r="A5393" s="1" t="s">
        <v>1276</v>
      </c>
      <c r="B5393" s="1" t="s">
        <v>250</v>
      </c>
      <c r="C5393" s="5">
        <f>DATE(2024, 9, 25) + TIME(14, 59, 54)</f>
        <v>45560.624930555554</v>
      </c>
      <c r="D5393" s="1" t="s">
        <v>1054</v>
      </c>
      <c r="E5393" s="1" t="s">
        <v>935</v>
      </c>
    </row>
    <row r="5394" spans="1:5" x14ac:dyDescent="0.2">
      <c r="A5394" s="1" t="s">
        <v>1276</v>
      </c>
      <c r="B5394" s="1" t="s">
        <v>944</v>
      </c>
      <c r="C5394" s="5">
        <f>DATE(2024, 9, 25) + TIME(13, 49, 21)</f>
        <v>45560.575937499998</v>
      </c>
      <c r="D5394" s="1" t="s">
        <v>320</v>
      </c>
      <c r="E5394" s="1" t="s">
        <v>2</v>
      </c>
    </row>
    <row r="5395" spans="1:5" x14ac:dyDescent="0.2">
      <c r="A5395" s="1" t="s">
        <v>1276</v>
      </c>
      <c r="B5395" s="1" t="s">
        <v>493</v>
      </c>
      <c r="C5395" s="5">
        <f>DATE(2024, 9, 25) + TIME(13, 32, 4)</f>
        <v>45560.563935185186</v>
      </c>
      <c r="D5395" s="1" t="s">
        <v>396</v>
      </c>
      <c r="E5395" s="1" t="s">
        <v>1076</v>
      </c>
    </row>
    <row r="5396" spans="1:5" x14ac:dyDescent="0.2">
      <c r="A5396" s="1" t="s">
        <v>1276</v>
      </c>
      <c r="B5396" s="1" t="s">
        <v>1177</v>
      </c>
      <c r="C5396" s="5">
        <f>DATE(2024, 9, 25) + TIME(12, 58, 28)</f>
        <v>45560.540601851855</v>
      </c>
      <c r="D5396" s="1" t="s">
        <v>320</v>
      </c>
      <c r="E5396" s="1" t="s">
        <v>2</v>
      </c>
    </row>
    <row r="5397" spans="1:5" x14ac:dyDescent="0.2">
      <c r="A5397" s="1" t="s">
        <v>1276</v>
      </c>
      <c r="B5397" s="1" t="s">
        <v>1152</v>
      </c>
      <c r="C5397" s="5">
        <f>DATE(2024, 9, 25) + TIME(12, 58, 28)</f>
        <v>45560.540601851855</v>
      </c>
      <c r="D5397" s="1" t="s">
        <v>320</v>
      </c>
      <c r="E5397" s="1" t="s">
        <v>2</v>
      </c>
    </row>
    <row r="5398" spans="1:5" x14ac:dyDescent="0.2">
      <c r="A5398" s="1" t="s">
        <v>1276</v>
      </c>
      <c r="B5398" s="1" t="s">
        <v>730</v>
      </c>
      <c r="C5398" s="5">
        <f>DATE(2024, 9, 25) + TIME(12, 58, 27)</f>
        <v>45560.540590277778</v>
      </c>
      <c r="D5398" s="1" t="s">
        <v>320</v>
      </c>
      <c r="E5398" s="1" t="s">
        <v>2</v>
      </c>
    </row>
    <row r="5399" spans="1:5" x14ac:dyDescent="0.2">
      <c r="A5399" s="1" t="s">
        <v>1276</v>
      </c>
      <c r="B5399" s="1" t="s">
        <v>864</v>
      </c>
      <c r="C5399" s="5">
        <f>DATE(2024, 9, 25) + TIME(12, 56, 7)</f>
        <v>45560.538969907408</v>
      </c>
      <c r="D5399" s="1" t="s">
        <v>269</v>
      </c>
      <c r="E5399" s="1" t="s">
        <v>781</v>
      </c>
    </row>
    <row r="5400" spans="1:5" x14ac:dyDescent="0.2">
      <c r="A5400" s="1" t="s">
        <v>1276</v>
      </c>
      <c r="B5400" s="1" t="s">
        <v>1162</v>
      </c>
      <c r="C5400" s="5">
        <f>DATE(2024, 9, 25) + TIME(12, 30, 18)</f>
        <v>45560.521041666667</v>
      </c>
      <c r="D5400" s="1" t="s">
        <v>750</v>
      </c>
      <c r="E5400" s="1" t="s">
        <v>321</v>
      </c>
    </row>
    <row r="5401" spans="1:5" x14ac:dyDescent="0.2">
      <c r="A5401" s="1" t="s">
        <v>1276</v>
      </c>
      <c r="B5401" s="1" t="s">
        <v>944</v>
      </c>
      <c r="C5401" s="5">
        <f>DATE(2024, 9, 25) + TIME(12, 30, 17)</f>
        <v>45560.52103009259</v>
      </c>
      <c r="D5401" s="1" t="s">
        <v>750</v>
      </c>
      <c r="E5401" s="1" t="s">
        <v>321</v>
      </c>
    </row>
    <row r="5402" spans="1:5" x14ac:dyDescent="0.2">
      <c r="A5402" s="1" t="s">
        <v>1276</v>
      </c>
      <c r="B5402" s="1" t="s">
        <v>663</v>
      </c>
      <c r="C5402" s="5">
        <f>DATE(2024, 9, 25) + TIME(12, 23, 56)</f>
        <v>45560.51662037037</v>
      </c>
      <c r="D5402" s="1" t="s">
        <v>754</v>
      </c>
      <c r="E5402" s="1" t="s">
        <v>363</v>
      </c>
    </row>
    <row r="5403" spans="1:5" x14ac:dyDescent="0.2">
      <c r="A5403" s="1" t="s">
        <v>1276</v>
      </c>
      <c r="B5403" s="1" t="s">
        <v>14</v>
      </c>
      <c r="C5403" s="5">
        <f>DATE(2024, 9, 25) + TIME(11, 30, 10)</f>
        <v>45560.47928240741</v>
      </c>
      <c r="D5403" s="1" t="s">
        <v>64</v>
      </c>
      <c r="E5403" s="1" t="s">
        <v>873</v>
      </c>
    </row>
    <row r="5404" spans="1:5" x14ac:dyDescent="0.2">
      <c r="A5404" s="1" t="s">
        <v>1276</v>
      </c>
      <c r="B5404" s="1" t="s">
        <v>664</v>
      </c>
      <c r="C5404" s="5">
        <f>DATE(2024, 9, 24) + TIME(14, 59, 39)</f>
        <v>45559.624756944446</v>
      </c>
      <c r="D5404" s="1" t="s">
        <v>148</v>
      </c>
      <c r="E5404" s="1" t="s">
        <v>877</v>
      </c>
    </row>
    <row r="5405" spans="1:5" x14ac:dyDescent="0.2">
      <c r="A5405" s="1" t="s">
        <v>1276</v>
      </c>
      <c r="B5405" s="1" t="s">
        <v>1162</v>
      </c>
      <c r="C5405" s="5">
        <f>DATE(2024, 9, 24) + TIME(13, 42, 19)</f>
        <v>45559.571053240739</v>
      </c>
      <c r="D5405" s="1" t="s">
        <v>126</v>
      </c>
      <c r="E5405" s="1" t="s">
        <v>121</v>
      </c>
    </row>
    <row r="5406" spans="1:5" x14ac:dyDescent="0.2">
      <c r="A5406" s="1" t="s">
        <v>1276</v>
      </c>
      <c r="B5406" s="1" t="s">
        <v>409</v>
      </c>
      <c r="C5406" s="5">
        <f>DATE(2024, 9, 24) + TIME(12, 1, 47)</f>
        <v>45559.501238425924</v>
      </c>
      <c r="D5406" s="1" t="s">
        <v>65</v>
      </c>
      <c r="E5406" s="1" t="s">
        <v>432</v>
      </c>
    </row>
    <row r="5407" spans="1:5" x14ac:dyDescent="0.2">
      <c r="A5407" s="1" t="s">
        <v>1276</v>
      </c>
      <c r="B5407" s="1" t="s">
        <v>322</v>
      </c>
      <c r="C5407" s="5">
        <f>DATE(2024, 9, 24) + TIME(11, 33, 27)</f>
        <v>45559.481562499997</v>
      </c>
      <c r="D5407" s="1" t="s">
        <v>459</v>
      </c>
      <c r="E5407" s="1" t="s">
        <v>799</v>
      </c>
    </row>
    <row r="5408" spans="1:5" x14ac:dyDescent="0.2">
      <c r="A5408" s="1" t="s">
        <v>1276</v>
      </c>
      <c r="B5408" s="1" t="s">
        <v>354</v>
      </c>
      <c r="C5408" s="5">
        <f>DATE(2024, 9, 24) + TIME(10, 4, 24)</f>
        <v>45559.419722222221</v>
      </c>
      <c r="D5408" s="1" t="s">
        <v>869</v>
      </c>
      <c r="E5408" s="1" t="s">
        <v>830</v>
      </c>
    </row>
    <row r="5409" spans="1:5" x14ac:dyDescent="0.2">
      <c r="A5409" s="1" t="s">
        <v>1276</v>
      </c>
      <c r="B5409" s="1" t="s">
        <v>944</v>
      </c>
      <c r="C5409" s="5">
        <f>DATE(2024, 9, 23) + TIME(16, 21, 41)</f>
        <v>45558.68172453704</v>
      </c>
      <c r="D5409" s="1" t="s">
        <v>3</v>
      </c>
      <c r="E5409" s="1" t="s">
        <v>1129</v>
      </c>
    </row>
    <row r="5410" spans="1:5" x14ac:dyDescent="0.2">
      <c r="A5410" s="1" t="s">
        <v>1276</v>
      </c>
      <c r="B5410" s="1" t="s">
        <v>15</v>
      </c>
      <c r="C5410" s="5">
        <f>DATE(2024, 9, 23) + TIME(16, 15, 54)</f>
        <v>45558.677708333336</v>
      </c>
      <c r="D5410" s="1" t="s">
        <v>5</v>
      </c>
      <c r="E5410" s="1" t="s">
        <v>599</v>
      </c>
    </row>
    <row r="5411" spans="1:5" x14ac:dyDescent="0.2">
      <c r="A5411" s="1" t="s">
        <v>1276</v>
      </c>
      <c r="B5411" s="1" t="s">
        <v>617</v>
      </c>
      <c r="C5411" s="5">
        <f>DATE(2024, 9, 23) + TIME(15, 53, 17)</f>
        <v>45558.662002314813</v>
      </c>
      <c r="D5411" s="1" t="s">
        <v>1054</v>
      </c>
      <c r="E5411" s="1" t="s">
        <v>210</v>
      </c>
    </row>
    <row r="5412" spans="1:5" x14ac:dyDescent="0.2">
      <c r="A5412" s="1" t="s">
        <v>1276</v>
      </c>
      <c r="B5412" s="1" t="s">
        <v>577</v>
      </c>
      <c r="C5412" s="5">
        <f>DATE(2024, 9, 23) + TIME(15, 53, 17)</f>
        <v>45558.662002314813</v>
      </c>
      <c r="D5412" s="1" t="s">
        <v>1054</v>
      </c>
      <c r="E5412" s="1" t="s">
        <v>210</v>
      </c>
    </row>
    <row r="5413" spans="1:5" x14ac:dyDescent="0.2">
      <c r="A5413" s="1" t="s">
        <v>1276</v>
      </c>
      <c r="B5413" s="1" t="s">
        <v>354</v>
      </c>
      <c r="C5413" s="5">
        <f>DATE(2024, 9, 23) + TIME(15, 53, 17)</f>
        <v>45558.662002314813</v>
      </c>
      <c r="D5413" s="1" t="s">
        <v>1054</v>
      </c>
      <c r="E5413" s="1" t="s">
        <v>210</v>
      </c>
    </row>
    <row r="5414" spans="1:5" x14ac:dyDescent="0.2">
      <c r="A5414" s="1" t="s">
        <v>1276</v>
      </c>
      <c r="B5414" s="1" t="s">
        <v>664</v>
      </c>
      <c r="C5414" s="5">
        <f>DATE(2024, 9, 23) + TIME(14, 35, 29)</f>
        <v>45558.607974537037</v>
      </c>
      <c r="D5414" s="1" t="s">
        <v>64</v>
      </c>
      <c r="E5414" s="1" t="s">
        <v>630</v>
      </c>
    </row>
    <row r="5415" spans="1:5" x14ac:dyDescent="0.2">
      <c r="A5415" s="1" t="s">
        <v>1276</v>
      </c>
      <c r="B5415" s="1" t="s">
        <v>737</v>
      </c>
      <c r="C5415" s="5">
        <f>DATE(2024, 9, 23) + TIME(14, 28, 6)</f>
        <v>45558.602847222224</v>
      </c>
      <c r="D5415" s="1" t="s">
        <v>64</v>
      </c>
      <c r="E5415" s="1" t="s">
        <v>308</v>
      </c>
    </row>
    <row r="5416" spans="1:5" x14ac:dyDescent="0.2">
      <c r="A5416" s="1" t="s">
        <v>1276</v>
      </c>
      <c r="B5416" s="1" t="s">
        <v>254</v>
      </c>
      <c r="C5416" s="5">
        <f>DATE(2024, 9, 23) + TIME(11, 22, 18)</f>
        <v>45558.473819444444</v>
      </c>
      <c r="D5416" s="1" t="s">
        <v>3</v>
      </c>
      <c r="E5416" s="1" t="s">
        <v>934</v>
      </c>
    </row>
    <row r="5417" spans="1:5" x14ac:dyDescent="0.2">
      <c r="A5417" s="1" t="s">
        <v>1276</v>
      </c>
      <c r="B5417" s="1" t="s">
        <v>305</v>
      </c>
      <c r="C5417" s="5">
        <f>DATE(2024, 9, 19) + TIME(16, 18, 16)</f>
        <v>45554.679351851853</v>
      </c>
      <c r="D5417" s="1" t="s">
        <v>320</v>
      </c>
      <c r="E5417" s="1" t="s">
        <v>1179</v>
      </c>
    </row>
    <row r="5418" spans="1:5" x14ac:dyDescent="0.2">
      <c r="A5418" s="1" t="s">
        <v>1276</v>
      </c>
      <c r="B5418" s="1" t="s">
        <v>1043</v>
      </c>
      <c r="C5418" s="5">
        <f>DATE(2024, 9, 19) + TIME(16, 12, 30)</f>
        <v>45554.675347222219</v>
      </c>
      <c r="D5418" s="1" t="s">
        <v>640</v>
      </c>
      <c r="E5418" s="1" t="s">
        <v>70</v>
      </c>
    </row>
    <row r="5419" spans="1:5" x14ac:dyDescent="0.2">
      <c r="A5419" s="1" t="s">
        <v>1276</v>
      </c>
      <c r="B5419" s="1" t="s">
        <v>927</v>
      </c>
      <c r="C5419" s="5">
        <f>DATE(2024, 9, 19) + TIME(14, 57, 51)</f>
        <v>45554.623506944445</v>
      </c>
      <c r="D5419" s="1" t="s">
        <v>320</v>
      </c>
      <c r="E5419" s="1" t="s">
        <v>1179</v>
      </c>
    </row>
    <row r="5420" spans="1:5" x14ac:dyDescent="0.2">
      <c r="A5420" s="1" t="s">
        <v>1276</v>
      </c>
      <c r="B5420" s="1" t="s">
        <v>664</v>
      </c>
      <c r="C5420" s="5">
        <f>DATE(2024, 9, 19) + TIME(14, 57, 51)</f>
        <v>45554.623506944445</v>
      </c>
      <c r="D5420" s="1" t="s">
        <v>320</v>
      </c>
      <c r="E5420" s="1" t="s">
        <v>1179</v>
      </c>
    </row>
    <row r="5421" spans="1:5" x14ac:dyDescent="0.2">
      <c r="A5421" s="1" t="s">
        <v>1276</v>
      </c>
      <c r="B5421" s="1" t="s">
        <v>163</v>
      </c>
      <c r="C5421" s="5">
        <f>DATE(2024, 9, 19) + TIME(14, 57, 51)</f>
        <v>45554.623506944445</v>
      </c>
      <c r="D5421" s="1" t="s">
        <v>320</v>
      </c>
      <c r="E5421" s="1" t="s">
        <v>1179</v>
      </c>
    </row>
    <row r="5422" spans="1:5" x14ac:dyDescent="0.2">
      <c r="A5422" s="1" t="s">
        <v>1276</v>
      </c>
      <c r="B5422" s="1" t="s">
        <v>959</v>
      </c>
      <c r="C5422" s="5">
        <f>DATE(2024, 9, 19) + TIME(14, 29, 54)</f>
        <v>45554.604097222225</v>
      </c>
      <c r="D5422" s="1" t="s">
        <v>566</v>
      </c>
      <c r="E5422" s="1" t="s">
        <v>324</v>
      </c>
    </row>
    <row r="5423" spans="1:5" x14ac:dyDescent="0.2">
      <c r="A5423" s="1" t="s">
        <v>1276</v>
      </c>
      <c r="B5423" s="1" t="s">
        <v>191</v>
      </c>
      <c r="C5423" s="5">
        <f>DATE(2024, 9, 19) + TIME(14, 29, 53)</f>
        <v>45554.604085648149</v>
      </c>
      <c r="D5423" s="1" t="s">
        <v>566</v>
      </c>
      <c r="E5423" s="1" t="s">
        <v>324</v>
      </c>
    </row>
    <row r="5424" spans="1:5" x14ac:dyDescent="0.2">
      <c r="A5424" s="1" t="s">
        <v>1276</v>
      </c>
      <c r="B5424" s="1" t="s">
        <v>22</v>
      </c>
      <c r="C5424" s="5">
        <f>DATE(2024, 9, 19) + TIME(13, 46, 31)</f>
        <v>45554.573969907404</v>
      </c>
      <c r="D5424" s="1" t="s">
        <v>506</v>
      </c>
      <c r="E5424" s="1" t="s">
        <v>808</v>
      </c>
    </row>
    <row r="5425" spans="1:5" x14ac:dyDescent="0.2">
      <c r="A5425" s="1" t="s">
        <v>1276</v>
      </c>
      <c r="B5425" s="1" t="s">
        <v>1180</v>
      </c>
      <c r="C5425" s="5">
        <f>DATE(2024, 9, 19) + TIME(13, 36, 38)</f>
        <v>45554.567106481481</v>
      </c>
      <c r="D5425" s="1" t="s">
        <v>1054</v>
      </c>
      <c r="E5425" s="1" t="s">
        <v>1156</v>
      </c>
    </row>
    <row r="5426" spans="1:5" x14ac:dyDescent="0.2">
      <c r="A5426" s="1" t="s">
        <v>1276</v>
      </c>
      <c r="B5426" s="1" t="s">
        <v>790</v>
      </c>
      <c r="C5426" s="5">
        <f>DATE(2024, 9, 19) + TIME(13, 8, 13)</f>
        <v>45554.547372685185</v>
      </c>
      <c r="D5426" s="1" t="s">
        <v>391</v>
      </c>
      <c r="E5426" s="1" t="s">
        <v>829</v>
      </c>
    </row>
    <row r="5427" spans="1:5" x14ac:dyDescent="0.2">
      <c r="A5427" s="1" t="s">
        <v>1276</v>
      </c>
      <c r="B5427" s="1" t="s">
        <v>682</v>
      </c>
      <c r="C5427" s="5">
        <f>DATE(2024, 9, 19) + TIME(12, 55, 22)</f>
        <v>45554.538449074076</v>
      </c>
      <c r="D5427" s="1" t="s">
        <v>754</v>
      </c>
      <c r="E5427" s="1" t="s">
        <v>870</v>
      </c>
    </row>
    <row r="5428" spans="1:5" x14ac:dyDescent="0.2">
      <c r="A5428" s="1" t="s">
        <v>1276</v>
      </c>
      <c r="B5428" s="1" t="s">
        <v>664</v>
      </c>
      <c r="C5428" s="5">
        <f>DATE(2024, 9, 19) + TIME(12, 33, 15)</f>
        <v>45554.523090277777</v>
      </c>
      <c r="D5428" s="1" t="s">
        <v>396</v>
      </c>
      <c r="E5428" s="1" t="s">
        <v>764</v>
      </c>
    </row>
    <row r="5429" spans="1:5" x14ac:dyDescent="0.2">
      <c r="A5429" s="1" t="s">
        <v>1276</v>
      </c>
      <c r="B5429" s="1" t="s">
        <v>664</v>
      </c>
      <c r="C5429" s="5">
        <f>DATE(2024, 9, 19) + TIME(12, 4, 32)</f>
        <v>45554.503148148149</v>
      </c>
      <c r="D5429" s="1" t="s">
        <v>1054</v>
      </c>
      <c r="E5429" s="1" t="s">
        <v>809</v>
      </c>
    </row>
    <row r="5430" spans="1:5" x14ac:dyDescent="0.2">
      <c r="A5430" s="1" t="s">
        <v>1276</v>
      </c>
      <c r="B5430" s="1" t="s">
        <v>263</v>
      </c>
      <c r="C5430" s="5">
        <f>DATE(2024, 9, 19) + TIME(11, 33, 6)</f>
        <v>45554.481319444443</v>
      </c>
      <c r="D5430" s="1" t="s">
        <v>640</v>
      </c>
      <c r="E5430" s="1" t="s">
        <v>1029</v>
      </c>
    </row>
    <row r="5431" spans="1:5" x14ac:dyDescent="0.2">
      <c r="A5431" s="1" t="s">
        <v>1276</v>
      </c>
      <c r="B5431" s="1" t="s">
        <v>4</v>
      </c>
      <c r="C5431" s="5">
        <f>DATE(2024, 9, 19) + TIME(10, 27, 38)</f>
        <v>45554.435856481483</v>
      </c>
      <c r="D5431" s="1" t="s">
        <v>754</v>
      </c>
      <c r="E5431" s="1" t="s">
        <v>941</v>
      </c>
    </row>
    <row r="5432" spans="1:5" x14ac:dyDescent="0.2">
      <c r="A5432" s="1" t="s">
        <v>1276</v>
      </c>
      <c r="B5432" s="1" t="s">
        <v>1162</v>
      </c>
      <c r="C5432" s="5">
        <f>DATE(2024, 9, 19) + TIME(10, 13, 24)</f>
        <v>45554.42597222222</v>
      </c>
      <c r="D5432" s="1" t="s">
        <v>148</v>
      </c>
      <c r="E5432" s="1" t="s">
        <v>529</v>
      </c>
    </row>
    <row r="5433" spans="1:5" x14ac:dyDescent="0.2">
      <c r="A5433" s="1" t="s">
        <v>1276</v>
      </c>
      <c r="B5433" s="1" t="s">
        <v>1183</v>
      </c>
      <c r="C5433" s="5">
        <f>DATE(2024, 9, 19) + TIME(10, 12, 41)</f>
        <v>45554.425474537034</v>
      </c>
      <c r="D5433" s="1" t="s">
        <v>148</v>
      </c>
      <c r="E5433" s="1" t="s">
        <v>93</v>
      </c>
    </row>
    <row r="5434" spans="1:5" x14ac:dyDescent="0.2">
      <c r="A5434" s="1" t="s">
        <v>1276</v>
      </c>
      <c r="B5434" s="1" t="s">
        <v>1164</v>
      </c>
      <c r="C5434" s="5">
        <f>DATE(2024, 9, 19) + TIME(8, 3, 16)</f>
        <v>45554.335601851853</v>
      </c>
      <c r="D5434" s="1" t="s">
        <v>3</v>
      </c>
      <c r="E5434" s="1" t="s">
        <v>248</v>
      </c>
    </row>
    <row r="5435" spans="1:5" x14ac:dyDescent="0.2">
      <c r="A5435" s="1" t="s">
        <v>1276</v>
      </c>
      <c r="B5435" s="1" t="s">
        <v>664</v>
      </c>
      <c r="C5435" s="5">
        <f>DATE(2024, 9, 18) + TIME(14, 49, 30)</f>
        <v>45553.617708333331</v>
      </c>
      <c r="D5435" s="1" t="s">
        <v>64</v>
      </c>
      <c r="E5435" s="1" t="s">
        <v>337</v>
      </c>
    </row>
    <row r="5436" spans="1:5" x14ac:dyDescent="0.2">
      <c r="A5436" s="1" t="s">
        <v>1276</v>
      </c>
      <c r="B5436" s="1" t="s">
        <v>354</v>
      </c>
      <c r="C5436" s="5">
        <f>DATE(2024, 9, 18) + TIME(14, 45, 45)</f>
        <v>45553.615104166667</v>
      </c>
      <c r="D5436" s="1" t="s">
        <v>566</v>
      </c>
      <c r="E5436" s="1" t="s">
        <v>888</v>
      </c>
    </row>
    <row r="5437" spans="1:5" x14ac:dyDescent="0.2">
      <c r="A5437" s="1" t="s">
        <v>1276</v>
      </c>
      <c r="B5437" s="1" t="s">
        <v>664</v>
      </c>
      <c r="C5437" s="5">
        <f>DATE(2024, 9, 18) + TIME(14, 44, 39)</f>
        <v>45553.614340277774</v>
      </c>
      <c r="D5437" s="1" t="s">
        <v>750</v>
      </c>
      <c r="E5437" s="1" t="s">
        <v>847</v>
      </c>
    </row>
    <row r="5438" spans="1:5" x14ac:dyDescent="0.2">
      <c r="A5438" s="1" t="s">
        <v>1276</v>
      </c>
      <c r="B5438" s="1" t="s">
        <v>790</v>
      </c>
      <c r="C5438" s="5">
        <f>DATE(2024, 9, 18) + TIME(13, 34, 29)</f>
        <v>45553.565613425926</v>
      </c>
      <c r="D5438" s="1" t="s">
        <v>750</v>
      </c>
      <c r="E5438" s="1" t="s">
        <v>158</v>
      </c>
    </row>
    <row r="5439" spans="1:5" x14ac:dyDescent="0.2">
      <c r="A5439" s="1" t="s">
        <v>1276</v>
      </c>
      <c r="B5439" s="1" t="s">
        <v>63</v>
      </c>
      <c r="C5439" s="5">
        <f>DATE(2024, 9, 18) + TIME(13, 34, 29)</f>
        <v>45553.565613425926</v>
      </c>
      <c r="D5439" s="1" t="s">
        <v>750</v>
      </c>
      <c r="E5439" s="1" t="s">
        <v>158</v>
      </c>
    </row>
    <row r="5440" spans="1:5" x14ac:dyDescent="0.2">
      <c r="A5440" s="1" t="s">
        <v>1276</v>
      </c>
      <c r="B5440" s="1" t="s">
        <v>109</v>
      </c>
      <c r="C5440" s="5">
        <f>DATE(2024, 9, 18) + TIME(13, 12, 50)</f>
        <v>45553.550578703704</v>
      </c>
      <c r="D5440" s="1" t="s">
        <v>638</v>
      </c>
      <c r="E5440" s="1" t="s">
        <v>119</v>
      </c>
    </row>
    <row r="5441" spans="1:5" x14ac:dyDescent="0.2">
      <c r="A5441" s="1" t="s">
        <v>1276</v>
      </c>
      <c r="B5441" s="1" t="s">
        <v>937</v>
      </c>
      <c r="C5441" s="5">
        <f>DATE(2024, 9, 18) + TIME(13, 12, 50)</f>
        <v>45553.550578703704</v>
      </c>
      <c r="D5441" s="1" t="s">
        <v>638</v>
      </c>
      <c r="E5441" s="1" t="s">
        <v>119</v>
      </c>
    </row>
    <row r="5442" spans="1:5" x14ac:dyDescent="0.2">
      <c r="A5442" s="1" t="s">
        <v>1276</v>
      </c>
      <c r="B5442" s="1" t="s">
        <v>664</v>
      </c>
      <c r="C5442" s="5">
        <f>DATE(2024, 9, 18) + TIME(12, 54, 26)</f>
        <v>45553.537800925929</v>
      </c>
      <c r="D5442" s="1" t="s">
        <v>563</v>
      </c>
      <c r="E5442" s="1" t="s">
        <v>217</v>
      </c>
    </row>
    <row r="5443" spans="1:5" x14ac:dyDescent="0.2">
      <c r="A5443" s="1" t="s">
        <v>1276</v>
      </c>
      <c r="B5443" s="1" t="s">
        <v>483</v>
      </c>
      <c r="C5443" s="5">
        <f>DATE(2024, 9, 18) + TIME(12, 1, 5)</f>
        <v>45553.500752314816</v>
      </c>
      <c r="D5443" s="1" t="s">
        <v>64</v>
      </c>
      <c r="E5443" s="1" t="s">
        <v>873</v>
      </c>
    </row>
    <row r="5444" spans="1:5" x14ac:dyDescent="0.2">
      <c r="A5444" s="1" t="s">
        <v>1276</v>
      </c>
      <c r="B5444" s="1" t="s">
        <v>952</v>
      </c>
      <c r="C5444" s="5">
        <f>DATE(2024, 9, 18) + TIME(12, 1, 4)</f>
        <v>45553.500740740739</v>
      </c>
      <c r="D5444" s="1" t="s">
        <v>64</v>
      </c>
      <c r="E5444" s="1" t="s">
        <v>873</v>
      </c>
    </row>
    <row r="5445" spans="1:5" x14ac:dyDescent="0.2">
      <c r="A5445" s="1" t="s">
        <v>1276</v>
      </c>
      <c r="B5445" s="1" t="s">
        <v>730</v>
      </c>
      <c r="C5445" s="5">
        <f>DATE(2024, 9, 18) + TIME(11, 54, 36)</f>
        <v>45553.496249999997</v>
      </c>
      <c r="D5445" s="1" t="s">
        <v>459</v>
      </c>
      <c r="E5445" s="1" t="s">
        <v>843</v>
      </c>
    </row>
    <row r="5446" spans="1:5" x14ac:dyDescent="0.2">
      <c r="A5446" s="1" t="s">
        <v>1276</v>
      </c>
      <c r="B5446" s="1" t="s">
        <v>817</v>
      </c>
      <c r="C5446" s="5">
        <f>DATE(2024, 9, 18) + TIME(8, 47, 29)</f>
        <v>45553.366307870368</v>
      </c>
      <c r="D5446" s="1" t="s">
        <v>754</v>
      </c>
      <c r="E5446" s="1" t="s">
        <v>760</v>
      </c>
    </row>
    <row r="5447" spans="1:5" x14ac:dyDescent="0.2">
      <c r="A5447" s="1" t="s">
        <v>1276</v>
      </c>
      <c r="B5447" s="1" t="s">
        <v>4</v>
      </c>
      <c r="C5447" s="5">
        <f>DATE(2024, 9, 17) + TIME(13, 32, 9)</f>
        <v>45552.563993055555</v>
      </c>
      <c r="D5447" s="1" t="s">
        <v>450</v>
      </c>
      <c r="E5447" s="1" t="s">
        <v>453</v>
      </c>
    </row>
    <row r="5448" spans="1:5" x14ac:dyDescent="0.2">
      <c r="A5448" s="1" t="s">
        <v>1276</v>
      </c>
      <c r="B5448" s="1" t="s">
        <v>322</v>
      </c>
      <c r="C5448" s="5">
        <f>DATE(2024, 9, 17) + TIME(13, 21, 51)</f>
        <v>45552.556840277779</v>
      </c>
      <c r="D5448" s="1" t="s">
        <v>64</v>
      </c>
      <c r="E5448" s="1" t="s">
        <v>279</v>
      </c>
    </row>
    <row r="5449" spans="1:5" x14ac:dyDescent="0.2">
      <c r="A5449" s="1" t="s">
        <v>1276</v>
      </c>
      <c r="B5449" s="1" t="s">
        <v>271</v>
      </c>
      <c r="C5449" s="5">
        <f>DATE(2024, 9, 17) + TIME(12, 30, 20)</f>
        <v>45552.521064814813</v>
      </c>
      <c r="D5449" s="1" t="s">
        <v>450</v>
      </c>
      <c r="E5449" s="1" t="s">
        <v>292</v>
      </c>
    </row>
    <row r="5450" spans="1:5" x14ac:dyDescent="0.2">
      <c r="A5450" s="1" t="s">
        <v>1276</v>
      </c>
      <c r="B5450" s="1" t="s">
        <v>163</v>
      </c>
      <c r="C5450" s="5">
        <f>DATE(2024, 9, 17) + TIME(12, 26, 8)</f>
        <v>45552.518148148149</v>
      </c>
      <c r="D5450" s="1" t="s">
        <v>450</v>
      </c>
      <c r="E5450" s="1" t="s">
        <v>292</v>
      </c>
    </row>
    <row r="5451" spans="1:5" x14ac:dyDescent="0.2">
      <c r="A5451" s="1" t="s">
        <v>1276</v>
      </c>
      <c r="B5451" s="1" t="s">
        <v>664</v>
      </c>
      <c r="C5451" s="5">
        <f>DATE(2024, 9, 17) + TIME(9, 59, 6)</f>
        <v>45552.416041666664</v>
      </c>
      <c r="D5451" s="1" t="s">
        <v>871</v>
      </c>
      <c r="E5451" s="1" t="s">
        <v>107</v>
      </c>
    </row>
    <row r="5452" spans="1:5" x14ac:dyDescent="0.2">
      <c r="A5452" s="1" t="s">
        <v>1276</v>
      </c>
      <c r="B5452" s="1" t="s">
        <v>664</v>
      </c>
      <c r="C5452" s="5">
        <f>DATE(2024, 9, 17) + TIME(9, 34, 26)</f>
        <v>45552.398912037039</v>
      </c>
      <c r="D5452" s="1" t="s">
        <v>148</v>
      </c>
      <c r="E5452" s="1" t="s">
        <v>1185</v>
      </c>
    </row>
    <row r="5453" spans="1:5" x14ac:dyDescent="0.2">
      <c r="A5453" s="1" t="s">
        <v>1276</v>
      </c>
      <c r="B5453" s="1" t="s">
        <v>663</v>
      </c>
      <c r="C5453" s="5">
        <f>DATE(2024, 9, 16) + TIME(16, 15, 17)</f>
        <v>45551.67728009259</v>
      </c>
      <c r="D5453" s="1" t="s">
        <v>5</v>
      </c>
      <c r="E5453" s="1" t="s">
        <v>1011</v>
      </c>
    </row>
    <row r="5454" spans="1:5" x14ac:dyDescent="0.2">
      <c r="A5454" s="1" t="s">
        <v>1276</v>
      </c>
      <c r="B5454" s="1" t="s">
        <v>22</v>
      </c>
      <c r="C5454" s="5">
        <f>DATE(2024, 9, 16) + TIME(16, 11, 2)</f>
        <v>45551.674328703702</v>
      </c>
      <c r="D5454" s="1" t="s">
        <v>506</v>
      </c>
      <c r="E5454" s="1" t="s">
        <v>808</v>
      </c>
    </row>
    <row r="5455" spans="1:5" x14ac:dyDescent="0.2">
      <c r="A5455" s="1" t="s">
        <v>1276</v>
      </c>
      <c r="B5455" s="1" t="s">
        <v>322</v>
      </c>
      <c r="C5455" s="5">
        <f>DATE(2024, 9, 16) + TIME(15, 58, 57)</f>
        <v>45551.665937500002</v>
      </c>
      <c r="D5455" s="1" t="s">
        <v>65</v>
      </c>
      <c r="E5455" s="1" t="s">
        <v>400</v>
      </c>
    </row>
    <row r="5456" spans="1:5" x14ac:dyDescent="0.2">
      <c r="A5456" s="1" t="s">
        <v>1276</v>
      </c>
      <c r="B5456" s="1" t="s">
        <v>790</v>
      </c>
      <c r="C5456" s="5">
        <f>DATE(2024, 9, 16) + TIME(14, 51, 46)</f>
        <v>45551.61928240741</v>
      </c>
      <c r="D5456" s="1" t="s">
        <v>5</v>
      </c>
      <c r="E5456" s="1" t="s">
        <v>599</v>
      </c>
    </row>
    <row r="5457" spans="1:5" x14ac:dyDescent="0.2">
      <c r="A5457" s="1" t="s">
        <v>1276</v>
      </c>
      <c r="B5457" s="1" t="s">
        <v>42</v>
      </c>
      <c r="C5457" s="5">
        <f>DATE(2024, 9, 16) + TIME(14, 29, 13)</f>
        <v>45551.603622685187</v>
      </c>
      <c r="D5457" s="1" t="s">
        <v>754</v>
      </c>
      <c r="E5457" s="1" t="s">
        <v>330</v>
      </c>
    </row>
    <row r="5458" spans="1:5" x14ac:dyDescent="0.2">
      <c r="A5458" s="1" t="s">
        <v>1276</v>
      </c>
      <c r="B5458" s="1" t="s">
        <v>468</v>
      </c>
      <c r="C5458" s="5">
        <f>DATE(2024, 9, 16) + TIME(14, 2, 13)</f>
        <v>45551.584872685184</v>
      </c>
      <c r="D5458" s="1" t="s">
        <v>459</v>
      </c>
      <c r="E5458" s="1" t="s">
        <v>836</v>
      </c>
    </row>
    <row r="5459" spans="1:5" x14ac:dyDescent="0.2">
      <c r="A5459" s="1" t="s">
        <v>1276</v>
      </c>
      <c r="B5459" s="1" t="s">
        <v>60</v>
      </c>
      <c r="C5459" s="5">
        <f>DATE(2024, 9, 16) + TIME(13, 23, 38)</f>
        <v>45551.558078703703</v>
      </c>
      <c r="D5459" s="1" t="s">
        <v>255</v>
      </c>
      <c r="E5459" s="1" t="s">
        <v>510</v>
      </c>
    </row>
    <row r="5460" spans="1:5" x14ac:dyDescent="0.2">
      <c r="A5460" s="1" t="s">
        <v>1276</v>
      </c>
      <c r="B5460" s="1" t="s">
        <v>163</v>
      </c>
      <c r="C5460" s="5">
        <f>DATE(2024, 9, 16) + TIME(12, 43, 16)</f>
        <v>45551.530046296299</v>
      </c>
      <c r="D5460" s="1" t="s">
        <v>144</v>
      </c>
      <c r="E5460" s="1" t="s">
        <v>660</v>
      </c>
    </row>
    <row r="5461" spans="1:5" x14ac:dyDescent="0.2">
      <c r="A5461" s="1" t="s">
        <v>1276</v>
      </c>
      <c r="B5461" s="1" t="s">
        <v>664</v>
      </c>
      <c r="C5461" s="5">
        <f>DATE(2024, 9, 16) + TIME(12, 43, 16)</f>
        <v>45551.530046296299</v>
      </c>
      <c r="D5461" s="1" t="s">
        <v>144</v>
      </c>
      <c r="E5461" s="1" t="s">
        <v>660</v>
      </c>
    </row>
    <row r="5462" spans="1:5" x14ac:dyDescent="0.2">
      <c r="A5462" s="1" t="s">
        <v>1276</v>
      </c>
      <c r="B5462" s="1" t="s">
        <v>1186</v>
      </c>
      <c r="C5462" s="5">
        <f>DATE(2024, 9, 16) + TIME(11, 39, 16)</f>
        <v>45551.485601851855</v>
      </c>
      <c r="D5462" s="1" t="s">
        <v>269</v>
      </c>
      <c r="E5462" s="1" t="s">
        <v>299</v>
      </c>
    </row>
    <row r="5463" spans="1:5" x14ac:dyDescent="0.2">
      <c r="A5463" s="1" t="s">
        <v>1276</v>
      </c>
      <c r="B5463" s="1" t="s">
        <v>848</v>
      </c>
      <c r="C5463" s="5">
        <f>DATE(2024, 9, 13) + TIME(8, 47, 57)</f>
        <v>45548.366631944446</v>
      </c>
      <c r="D5463" s="1" t="s">
        <v>65</v>
      </c>
      <c r="E5463" s="1" t="s">
        <v>152</v>
      </c>
    </row>
    <row r="5464" spans="1:5" x14ac:dyDescent="0.2">
      <c r="A5464" s="1" t="s">
        <v>1276</v>
      </c>
      <c r="B5464" s="1" t="s">
        <v>493</v>
      </c>
      <c r="C5464" s="5">
        <f>DATE(2024, 9, 11) + TIME(14, 54, 23)</f>
        <v>45546.621099537035</v>
      </c>
      <c r="D5464" s="1" t="s">
        <v>506</v>
      </c>
      <c r="E5464" s="1" t="s">
        <v>867</v>
      </c>
    </row>
    <row r="5465" spans="1:5" x14ac:dyDescent="0.2">
      <c r="A5465" s="1" t="s">
        <v>1276</v>
      </c>
      <c r="B5465" s="1" t="s">
        <v>617</v>
      </c>
      <c r="C5465" s="5">
        <f>DATE(2024, 9, 11) + TIME(14, 36, 33)</f>
        <v>45546.608715277776</v>
      </c>
      <c r="D5465" s="1" t="s">
        <v>506</v>
      </c>
      <c r="E5465" s="1" t="s">
        <v>867</v>
      </c>
    </row>
    <row r="5466" spans="1:5" x14ac:dyDescent="0.2">
      <c r="A5466" s="1" t="s">
        <v>1276</v>
      </c>
      <c r="B5466" s="1" t="s">
        <v>334</v>
      </c>
      <c r="C5466" s="5">
        <f>DATE(2024, 9, 11) + TIME(14, 27, 25)</f>
        <v>45546.602372685185</v>
      </c>
      <c r="D5466" s="1" t="s">
        <v>566</v>
      </c>
      <c r="E5466" s="1" t="s">
        <v>888</v>
      </c>
    </row>
    <row r="5467" spans="1:5" x14ac:dyDescent="0.2">
      <c r="A5467" s="1" t="s">
        <v>1276</v>
      </c>
      <c r="B5467" s="1" t="s">
        <v>1187</v>
      </c>
      <c r="C5467" s="5">
        <f>DATE(2024, 9, 11) + TIME(14, 27, 25)</f>
        <v>45546.602372685185</v>
      </c>
      <c r="D5467" s="1" t="s">
        <v>566</v>
      </c>
      <c r="E5467" s="1" t="s">
        <v>888</v>
      </c>
    </row>
    <row r="5468" spans="1:5" x14ac:dyDescent="0.2">
      <c r="A5468" s="1" t="s">
        <v>1276</v>
      </c>
      <c r="B5468" s="1" t="s">
        <v>322</v>
      </c>
      <c r="C5468" s="5">
        <f>DATE(2024, 9, 11) + TIME(14, 27, 25)</f>
        <v>45546.602372685185</v>
      </c>
      <c r="D5468" s="1" t="s">
        <v>566</v>
      </c>
      <c r="E5468" s="1" t="s">
        <v>888</v>
      </c>
    </row>
    <row r="5469" spans="1:5" x14ac:dyDescent="0.2">
      <c r="A5469" s="1" t="s">
        <v>1276</v>
      </c>
      <c r="B5469" s="1" t="s">
        <v>468</v>
      </c>
      <c r="C5469" s="5">
        <f>DATE(2024, 9, 11) + TIME(14, 27, 25)</f>
        <v>45546.602372685185</v>
      </c>
      <c r="D5469" s="1" t="s">
        <v>566</v>
      </c>
      <c r="E5469" s="1" t="s">
        <v>888</v>
      </c>
    </row>
    <row r="5470" spans="1:5" x14ac:dyDescent="0.2">
      <c r="A5470" s="1" t="s">
        <v>1276</v>
      </c>
      <c r="B5470" s="1" t="s">
        <v>493</v>
      </c>
      <c r="C5470" s="5">
        <f>DATE(2024, 9, 11) + TIME(13, 44, 26)</f>
        <v>45546.572523148148</v>
      </c>
      <c r="D5470" s="1" t="s">
        <v>396</v>
      </c>
      <c r="E5470" s="1" t="s">
        <v>36</v>
      </c>
    </row>
    <row r="5471" spans="1:5" x14ac:dyDescent="0.2">
      <c r="A5471" s="1" t="s">
        <v>1276</v>
      </c>
      <c r="B5471" s="1" t="s">
        <v>737</v>
      </c>
      <c r="C5471" s="5">
        <f>DATE(2024, 9, 11) + TIME(13, 1, 58)</f>
        <v>45546.543032407404</v>
      </c>
      <c r="D5471" s="1" t="s">
        <v>269</v>
      </c>
      <c r="E5471" s="1" t="s">
        <v>299</v>
      </c>
    </row>
    <row r="5472" spans="1:5" x14ac:dyDescent="0.2">
      <c r="A5472" s="1" t="s">
        <v>1276</v>
      </c>
      <c r="B5472" s="1" t="s">
        <v>664</v>
      </c>
      <c r="C5472" s="5">
        <f>DATE(2024, 9, 11) + TIME(12, 26, 37)</f>
        <v>45546.518483796295</v>
      </c>
      <c r="D5472" s="1" t="s">
        <v>341</v>
      </c>
      <c r="E5472" s="1" t="s">
        <v>1031</v>
      </c>
    </row>
    <row r="5473" spans="1:5" x14ac:dyDescent="0.2">
      <c r="A5473" s="1" t="s">
        <v>1276</v>
      </c>
      <c r="B5473" s="1" t="s">
        <v>664</v>
      </c>
      <c r="C5473" s="5">
        <f>DATE(2024, 9, 11) + TIME(11, 52, 55)</f>
        <v>45546.495081018518</v>
      </c>
      <c r="D5473" s="1" t="s">
        <v>320</v>
      </c>
      <c r="E5473" s="1" t="s">
        <v>698</v>
      </c>
    </row>
    <row r="5474" spans="1:5" x14ac:dyDescent="0.2">
      <c r="A5474" s="1" t="s">
        <v>1276</v>
      </c>
      <c r="B5474" s="1" t="s">
        <v>493</v>
      </c>
      <c r="C5474" s="5">
        <f>DATE(2024, 9, 11) + TIME(11, 23, 36)</f>
        <v>45546.474722222221</v>
      </c>
      <c r="D5474" s="1" t="s">
        <v>754</v>
      </c>
      <c r="E5474" s="1" t="s">
        <v>135</v>
      </c>
    </row>
    <row r="5475" spans="1:5" x14ac:dyDescent="0.2">
      <c r="A5475" s="1" t="s">
        <v>1276</v>
      </c>
      <c r="B5475" s="1" t="s">
        <v>862</v>
      </c>
      <c r="C5475" s="5">
        <f>DATE(2024, 9, 11) + TIME(11, 23, 36)</f>
        <v>45546.474722222221</v>
      </c>
      <c r="D5475" s="1" t="s">
        <v>754</v>
      </c>
      <c r="E5475" s="1" t="s">
        <v>135</v>
      </c>
    </row>
    <row r="5476" spans="1:5" x14ac:dyDescent="0.2">
      <c r="A5476" s="1" t="s">
        <v>1276</v>
      </c>
      <c r="B5476" s="1" t="s">
        <v>163</v>
      </c>
      <c r="C5476" s="5">
        <f>DATE(2024, 9, 11) + TIME(11, 0, 55)</f>
        <v>45546.458969907406</v>
      </c>
      <c r="D5476" s="1" t="s">
        <v>459</v>
      </c>
      <c r="E5476" s="1" t="s">
        <v>428</v>
      </c>
    </row>
    <row r="5477" spans="1:5" x14ac:dyDescent="0.2">
      <c r="A5477" s="1" t="s">
        <v>1276</v>
      </c>
      <c r="B5477" s="1" t="s">
        <v>786</v>
      </c>
      <c r="C5477" s="5">
        <f>DATE(2024, 9, 11) + TIME(7, 3, 40)</f>
        <v>45546.294212962966</v>
      </c>
      <c r="D5477" s="1" t="s">
        <v>216</v>
      </c>
      <c r="E5477" s="1" t="s">
        <v>101</v>
      </c>
    </row>
    <row r="5478" spans="1:5" x14ac:dyDescent="0.2">
      <c r="A5478" s="1" t="s">
        <v>1276</v>
      </c>
      <c r="B5478" s="1" t="s">
        <v>959</v>
      </c>
      <c r="C5478" s="5">
        <f>DATE(2024, 9, 11) + TIME(7, 3, 40)</f>
        <v>45546.294212962966</v>
      </c>
      <c r="D5478" s="1" t="s">
        <v>216</v>
      </c>
      <c r="E5478" s="1" t="s">
        <v>101</v>
      </c>
    </row>
    <row r="5479" spans="1:5" x14ac:dyDescent="0.2">
      <c r="A5479" s="1" t="s">
        <v>1276</v>
      </c>
      <c r="B5479" s="1" t="s">
        <v>617</v>
      </c>
      <c r="C5479" s="5">
        <f>DATE(2024, 9, 10) + TIME(14, 40, 19)</f>
        <v>45545.611331018517</v>
      </c>
      <c r="D5479" s="1" t="s">
        <v>754</v>
      </c>
      <c r="E5479" s="1" t="s">
        <v>363</v>
      </c>
    </row>
    <row r="5480" spans="1:5" x14ac:dyDescent="0.2">
      <c r="A5480" s="1" t="s">
        <v>1276</v>
      </c>
      <c r="B5480" s="1" t="s">
        <v>163</v>
      </c>
      <c r="C5480" s="5">
        <f>DATE(2024, 9, 10) + TIME(14, 24, 0)</f>
        <v>45545.599999999999</v>
      </c>
      <c r="D5480" s="1" t="s">
        <v>638</v>
      </c>
      <c r="E5480" s="1" t="s">
        <v>535</v>
      </c>
    </row>
    <row r="5481" spans="1:5" x14ac:dyDescent="0.2">
      <c r="A5481" s="1" t="s">
        <v>1276</v>
      </c>
      <c r="B5481" s="1" t="s">
        <v>730</v>
      </c>
      <c r="C5481" s="5">
        <f>DATE(2024, 9, 10) + TIME(14, 8, 43)</f>
        <v>45545.589386574073</v>
      </c>
      <c r="D5481" s="1" t="s">
        <v>459</v>
      </c>
      <c r="E5481" s="1" t="s">
        <v>843</v>
      </c>
    </row>
    <row r="5482" spans="1:5" x14ac:dyDescent="0.2">
      <c r="A5482" s="1" t="s">
        <v>1276</v>
      </c>
      <c r="B5482" s="1" t="s">
        <v>163</v>
      </c>
      <c r="C5482" s="5">
        <f>DATE(2024, 9, 10) + TIME(14, 7, 35)</f>
        <v>45545.588599537034</v>
      </c>
      <c r="D5482" s="1" t="s">
        <v>341</v>
      </c>
      <c r="E5482" s="1" t="s">
        <v>292</v>
      </c>
    </row>
    <row r="5483" spans="1:5" x14ac:dyDescent="0.2">
      <c r="A5483" s="1" t="s">
        <v>1276</v>
      </c>
      <c r="B5483" s="1" t="s">
        <v>774</v>
      </c>
      <c r="C5483" s="5">
        <f>DATE(2024, 9, 10) + TIME(13, 32, 21)</f>
        <v>45545.564131944448</v>
      </c>
      <c r="D5483" s="1" t="s">
        <v>64</v>
      </c>
      <c r="E5483" s="1" t="s">
        <v>11</v>
      </c>
    </row>
    <row r="5484" spans="1:5" x14ac:dyDescent="0.2">
      <c r="A5484" s="1" t="s">
        <v>1276</v>
      </c>
      <c r="B5484" s="1" t="s">
        <v>456</v>
      </c>
      <c r="C5484" s="5">
        <f>DATE(2024, 9, 10) + TIME(13, 32, 20)</f>
        <v>45545.564120370371</v>
      </c>
      <c r="D5484" s="1" t="s">
        <v>64</v>
      </c>
      <c r="E5484" s="1" t="s">
        <v>11</v>
      </c>
    </row>
    <row r="5485" spans="1:5" x14ac:dyDescent="0.2">
      <c r="A5485" s="1" t="s">
        <v>1276</v>
      </c>
      <c r="B5485" s="1" t="s">
        <v>853</v>
      </c>
      <c r="C5485" s="5">
        <f>DATE(2024, 9, 10) + TIME(13, 32, 20)</f>
        <v>45545.564120370371</v>
      </c>
      <c r="D5485" s="1" t="s">
        <v>64</v>
      </c>
      <c r="E5485" s="1" t="s">
        <v>11</v>
      </c>
    </row>
    <row r="5486" spans="1:5" x14ac:dyDescent="0.2">
      <c r="A5486" s="1" t="s">
        <v>1276</v>
      </c>
      <c r="B5486" s="1" t="s">
        <v>664</v>
      </c>
      <c r="C5486" s="5">
        <f>DATE(2024, 9, 10) + TIME(12, 43, 3)</f>
        <v>45545.529895833337</v>
      </c>
      <c r="D5486" s="1" t="s">
        <v>341</v>
      </c>
      <c r="E5486" s="1" t="s">
        <v>78</v>
      </c>
    </row>
    <row r="5487" spans="1:5" x14ac:dyDescent="0.2">
      <c r="A5487" s="1" t="s">
        <v>1276</v>
      </c>
      <c r="B5487" s="1" t="s">
        <v>228</v>
      </c>
      <c r="C5487" s="5">
        <f>DATE(2024, 9, 10) + TIME(11, 55, 40)</f>
        <v>45545.496990740743</v>
      </c>
      <c r="D5487" s="1" t="s">
        <v>64</v>
      </c>
      <c r="E5487" s="1" t="s">
        <v>873</v>
      </c>
    </row>
    <row r="5488" spans="1:5" x14ac:dyDescent="0.2">
      <c r="A5488" s="1" t="s">
        <v>1276</v>
      </c>
      <c r="B5488" s="1" t="s">
        <v>305</v>
      </c>
      <c r="C5488" s="5">
        <f>DATE(2024, 9, 9) + TIME(14, 25, 57)</f>
        <v>45544.601354166669</v>
      </c>
      <c r="D5488" s="1" t="s">
        <v>320</v>
      </c>
      <c r="E5488" s="1" t="s">
        <v>406</v>
      </c>
    </row>
    <row r="5489" spans="1:5" x14ac:dyDescent="0.2">
      <c r="A5489" s="1" t="s">
        <v>1276</v>
      </c>
      <c r="B5489" s="1" t="s">
        <v>15</v>
      </c>
      <c r="C5489" s="5">
        <f>DATE(2024, 9, 9) + TIME(14, 25, 17)</f>
        <v>45544.600891203707</v>
      </c>
      <c r="D5489" s="1" t="s">
        <v>126</v>
      </c>
      <c r="E5489" s="1" t="s">
        <v>121</v>
      </c>
    </row>
    <row r="5490" spans="1:5" x14ac:dyDescent="0.2">
      <c r="A5490" s="1" t="s">
        <v>1276</v>
      </c>
      <c r="B5490" s="1" t="s">
        <v>317</v>
      </c>
      <c r="C5490" s="5">
        <f>DATE(2024, 9, 9) + TIME(14, 23, 57)</f>
        <v>45544.599965277775</v>
      </c>
      <c r="D5490" s="1" t="s">
        <v>126</v>
      </c>
      <c r="E5490" s="1" t="s">
        <v>380</v>
      </c>
    </row>
    <row r="5491" spans="1:5" x14ac:dyDescent="0.2">
      <c r="A5491" s="1" t="s">
        <v>1276</v>
      </c>
      <c r="B5491" s="1" t="s">
        <v>664</v>
      </c>
      <c r="C5491" s="5">
        <f>DATE(2024, 9, 9) + TIME(12, 58, 39)</f>
        <v>45544.540729166663</v>
      </c>
      <c r="D5491" s="1" t="s">
        <v>576</v>
      </c>
      <c r="E5491" s="1" t="s">
        <v>327</v>
      </c>
    </row>
    <row r="5492" spans="1:5" x14ac:dyDescent="0.2">
      <c r="A5492" s="1" t="s">
        <v>1276</v>
      </c>
      <c r="B5492" s="1" t="s">
        <v>664</v>
      </c>
      <c r="C5492" s="5">
        <f>DATE(2024, 9, 9) + TIME(12, 44, 3)</f>
        <v>45544.530590277776</v>
      </c>
      <c r="D5492" s="1" t="s">
        <v>467</v>
      </c>
      <c r="E5492" s="1" t="s">
        <v>924</v>
      </c>
    </row>
    <row r="5493" spans="1:5" x14ac:dyDescent="0.2">
      <c r="A5493" s="1" t="s">
        <v>1276</v>
      </c>
      <c r="B5493" s="1" t="s">
        <v>1189</v>
      </c>
      <c r="C5493" s="5">
        <f>DATE(2024, 9, 9) + TIME(12, 7, 10)</f>
        <v>45544.504976851851</v>
      </c>
      <c r="D5493" s="1" t="s">
        <v>269</v>
      </c>
      <c r="E5493" s="1" t="s">
        <v>299</v>
      </c>
    </row>
    <row r="5494" spans="1:5" x14ac:dyDescent="0.2">
      <c r="A5494" s="1" t="s">
        <v>1276</v>
      </c>
      <c r="B5494" s="1" t="s">
        <v>664</v>
      </c>
      <c r="C5494" s="5">
        <f>DATE(2024, 9, 9) + TIME(10, 54, 40)</f>
        <v>45544.454629629632</v>
      </c>
      <c r="D5494" s="1" t="s">
        <v>900</v>
      </c>
      <c r="E5494" s="1" t="s">
        <v>433</v>
      </c>
    </row>
    <row r="5495" spans="1:5" x14ac:dyDescent="0.2">
      <c r="A5495" s="1" t="s">
        <v>1276</v>
      </c>
      <c r="B5495" s="1" t="s">
        <v>664</v>
      </c>
      <c r="C5495" s="5">
        <f>DATE(2024, 9, 9) + TIME(9, 38, 46)</f>
        <v>45544.401921296296</v>
      </c>
      <c r="D5495" s="1" t="s">
        <v>65</v>
      </c>
      <c r="E5495" s="1" t="s">
        <v>152</v>
      </c>
    </row>
    <row r="5496" spans="1:5" x14ac:dyDescent="0.2">
      <c r="A5496" s="1" t="s">
        <v>1276</v>
      </c>
      <c r="B5496" s="1" t="s">
        <v>60</v>
      </c>
      <c r="C5496" s="5">
        <f>DATE(2024, 9, 9) + TIME(9, 38, 46)</f>
        <v>45544.401921296296</v>
      </c>
      <c r="D5496" s="1" t="s">
        <v>65</v>
      </c>
      <c r="E5496" s="1" t="s">
        <v>152</v>
      </c>
    </row>
    <row r="5497" spans="1:5" x14ac:dyDescent="0.2">
      <c r="A5497" s="1" t="s">
        <v>1276</v>
      </c>
      <c r="B5497" s="1" t="s">
        <v>688</v>
      </c>
      <c r="C5497" s="5">
        <f>DATE(2024, 9, 9) + TIME(9, 15, 18)</f>
        <v>45544.385625000003</v>
      </c>
      <c r="D5497" s="1" t="s">
        <v>640</v>
      </c>
      <c r="E5497" s="1" t="s">
        <v>195</v>
      </c>
    </row>
    <row r="5498" spans="1:5" x14ac:dyDescent="0.2">
      <c r="A5498" s="1" t="s">
        <v>1276</v>
      </c>
      <c r="B5498" s="1" t="s">
        <v>197</v>
      </c>
      <c r="C5498" s="5">
        <f>DATE(2024, 9, 8) + TIME(14, 44, 28)</f>
        <v>45543.614212962966</v>
      </c>
      <c r="D5498" s="1" t="s">
        <v>459</v>
      </c>
      <c r="E5498" s="1" t="s">
        <v>836</v>
      </c>
    </row>
    <row r="5499" spans="1:5" x14ac:dyDescent="0.2">
      <c r="A5499" s="1" t="s">
        <v>1276</v>
      </c>
      <c r="B5499" s="1" t="s">
        <v>898</v>
      </c>
      <c r="C5499" s="5">
        <f>DATE(2024, 9, 5) + TIME(16, 18, 59)</f>
        <v>45540.679849537039</v>
      </c>
      <c r="D5499" s="1" t="s">
        <v>640</v>
      </c>
      <c r="E5499" s="1" t="s">
        <v>32</v>
      </c>
    </row>
    <row r="5500" spans="1:5" x14ac:dyDescent="0.2">
      <c r="A5500" s="1" t="s">
        <v>1276</v>
      </c>
      <c r="B5500" s="1" t="s">
        <v>664</v>
      </c>
      <c r="C5500" s="5">
        <f>DATE(2024, 9, 5) + TIME(16, 6, 9)</f>
        <v>45540.670937499999</v>
      </c>
      <c r="D5500" s="1" t="s">
        <v>640</v>
      </c>
      <c r="E5500" s="1" t="s">
        <v>70</v>
      </c>
    </row>
    <row r="5501" spans="1:5" x14ac:dyDescent="0.2">
      <c r="A5501" s="1" t="s">
        <v>1276</v>
      </c>
      <c r="B5501" s="1" t="s">
        <v>782</v>
      </c>
      <c r="C5501" s="5">
        <f>DATE(2024, 9, 5) + TIME(16, 4, 48)</f>
        <v>45540.67</v>
      </c>
      <c r="D5501" s="1" t="s">
        <v>640</v>
      </c>
      <c r="E5501" s="1" t="s">
        <v>1191</v>
      </c>
    </row>
    <row r="5502" spans="1:5" x14ac:dyDescent="0.2">
      <c r="A5502" s="1" t="s">
        <v>1276</v>
      </c>
      <c r="B5502" s="1" t="s">
        <v>69</v>
      </c>
      <c r="C5502" s="5">
        <f>DATE(2024, 9, 5) + TIME(15, 32, 46)</f>
        <v>45540.64775462963</v>
      </c>
      <c r="D5502" s="1" t="s">
        <v>731</v>
      </c>
      <c r="E5502" s="1" t="s">
        <v>282</v>
      </c>
    </row>
    <row r="5503" spans="1:5" x14ac:dyDescent="0.2">
      <c r="A5503" s="1" t="s">
        <v>1276</v>
      </c>
      <c r="B5503" s="1" t="s">
        <v>1162</v>
      </c>
      <c r="C5503" s="5">
        <f>DATE(2024, 9, 5) + TIME(14, 53, 58)</f>
        <v>45540.620810185188</v>
      </c>
      <c r="D5503" s="1" t="s">
        <v>638</v>
      </c>
      <c r="E5503" s="1" t="s">
        <v>85</v>
      </c>
    </row>
    <row r="5504" spans="1:5" x14ac:dyDescent="0.2">
      <c r="A5504" s="1" t="s">
        <v>1276</v>
      </c>
      <c r="B5504" s="1" t="s">
        <v>322</v>
      </c>
      <c r="C5504" s="5">
        <f>DATE(2024, 9, 5) + TIME(14, 53, 58)</f>
        <v>45540.620810185188</v>
      </c>
      <c r="D5504" s="1" t="s">
        <v>638</v>
      </c>
      <c r="E5504" s="1" t="s">
        <v>85</v>
      </c>
    </row>
    <row r="5505" spans="1:5" x14ac:dyDescent="0.2">
      <c r="A5505" s="1" t="s">
        <v>1276</v>
      </c>
      <c r="B5505" s="1" t="s">
        <v>98</v>
      </c>
      <c r="C5505" s="5">
        <f>DATE(2024, 9, 5) + TIME(14, 52, 11)</f>
        <v>45540.619571759256</v>
      </c>
      <c r="D5505" s="1" t="s">
        <v>1054</v>
      </c>
      <c r="E5505" s="1" t="s">
        <v>1156</v>
      </c>
    </row>
    <row r="5506" spans="1:5" x14ac:dyDescent="0.2">
      <c r="A5506" s="1" t="s">
        <v>1276</v>
      </c>
      <c r="B5506" s="1" t="s">
        <v>1192</v>
      </c>
      <c r="C5506" s="5">
        <f>DATE(2024, 9, 5) + TIME(14, 45, 21)</f>
        <v>45540.61482638889</v>
      </c>
      <c r="D5506" s="1" t="s">
        <v>566</v>
      </c>
      <c r="E5506" s="1" t="s">
        <v>324</v>
      </c>
    </row>
    <row r="5507" spans="1:5" x14ac:dyDescent="0.2">
      <c r="A5507" s="1" t="s">
        <v>1276</v>
      </c>
      <c r="B5507" s="1" t="s">
        <v>664</v>
      </c>
      <c r="C5507" s="5">
        <f>DATE(2024, 9, 5) + TIME(12, 49, 13)</f>
        <v>45540.534178240741</v>
      </c>
      <c r="D5507" s="1" t="s">
        <v>1054</v>
      </c>
      <c r="E5507" s="1" t="s">
        <v>145</v>
      </c>
    </row>
    <row r="5508" spans="1:5" x14ac:dyDescent="0.2">
      <c r="A5508" s="1" t="s">
        <v>1276</v>
      </c>
      <c r="B5508" s="1" t="s">
        <v>42</v>
      </c>
      <c r="C5508" s="5">
        <f>DATE(2024, 9, 5) + TIME(12, 47, 50)</f>
        <v>45540.533217592594</v>
      </c>
      <c r="D5508" s="1" t="s">
        <v>226</v>
      </c>
      <c r="E5508" s="1" t="s">
        <v>330</v>
      </c>
    </row>
    <row r="5509" spans="1:5" x14ac:dyDescent="0.2">
      <c r="A5509" s="1" t="s">
        <v>1276</v>
      </c>
      <c r="B5509" s="1" t="s">
        <v>1193</v>
      </c>
      <c r="C5509" s="5">
        <f>DATE(2024, 9, 5) + TIME(12, 47, 49)</f>
        <v>45540.533206018517</v>
      </c>
      <c r="D5509" s="1" t="s">
        <v>226</v>
      </c>
      <c r="E5509" s="1" t="s">
        <v>330</v>
      </c>
    </row>
    <row r="5510" spans="1:5" x14ac:dyDescent="0.2">
      <c r="A5510" s="1" t="s">
        <v>1276</v>
      </c>
      <c r="B5510" s="1" t="s">
        <v>664</v>
      </c>
      <c r="C5510" s="5">
        <f>DATE(2024, 9, 5) + TIME(11, 20, 43)</f>
        <v>45540.472719907404</v>
      </c>
      <c r="D5510" s="1" t="s">
        <v>459</v>
      </c>
      <c r="E5510" s="1" t="s">
        <v>881</v>
      </c>
    </row>
    <row r="5511" spans="1:5" x14ac:dyDescent="0.2">
      <c r="A5511" s="1" t="s">
        <v>1276</v>
      </c>
      <c r="B5511" s="1" t="s">
        <v>191</v>
      </c>
      <c r="C5511" s="5">
        <f>DATE(2024, 9, 4) + TIME(15, 4, 27)</f>
        <v>45539.62809027778</v>
      </c>
      <c r="D5511" s="1" t="s">
        <v>638</v>
      </c>
      <c r="E5511" s="1" t="s">
        <v>198</v>
      </c>
    </row>
    <row r="5512" spans="1:5" x14ac:dyDescent="0.2">
      <c r="A5512" s="1" t="s">
        <v>1276</v>
      </c>
      <c r="B5512" s="1" t="s">
        <v>959</v>
      </c>
      <c r="C5512" s="5">
        <f>DATE(2024, 9, 4) + TIME(15, 4, 27)</f>
        <v>45539.62809027778</v>
      </c>
      <c r="D5512" s="1" t="s">
        <v>638</v>
      </c>
      <c r="E5512" s="1" t="s">
        <v>198</v>
      </c>
    </row>
    <row r="5513" spans="1:5" x14ac:dyDescent="0.2">
      <c r="A5513" s="1" t="s">
        <v>1276</v>
      </c>
      <c r="B5513" s="1" t="s">
        <v>617</v>
      </c>
      <c r="C5513" s="5">
        <f>DATE(2024, 9, 4) + TIME(14, 53, 52)</f>
        <v>45539.620740740742</v>
      </c>
      <c r="D5513" s="1" t="s">
        <v>566</v>
      </c>
      <c r="E5513" s="1" t="s">
        <v>888</v>
      </c>
    </row>
    <row r="5514" spans="1:5" x14ac:dyDescent="0.2">
      <c r="A5514" s="1" t="s">
        <v>1276</v>
      </c>
      <c r="B5514" s="1" t="s">
        <v>24</v>
      </c>
      <c r="C5514" s="5">
        <f>DATE(2024, 9, 4) + TIME(14, 11, 24)</f>
        <v>45539.591249999998</v>
      </c>
      <c r="D5514" s="1" t="s">
        <v>638</v>
      </c>
      <c r="E5514" s="1" t="s">
        <v>518</v>
      </c>
    </row>
    <row r="5515" spans="1:5" x14ac:dyDescent="0.2">
      <c r="A5515" s="1" t="s">
        <v>1276</v>
      </c>
      <c r="B5515" s="1" t="s">
        <v>254</v>
      </c>
      <c r="C5515" s="5">
        <f>DATE(2024, 9, 4) + TIME(13, 42, 36)</f>
        <v>45539.571250000001</v>
      </c>
      <c r="D5515" s="1" t="s">
        <v>3</v>
      </c>
      <c r="E5515" s="1" t="s">
        <v>684</v>
      </c>
    </row>
    <row r="5516" spans="1:5" x14ac:dyDescent="0.2">
      <c r="A5516" s="1" t="s">
        <v>1276</v>
      </c>
      <c r="B5516" s="1" t="s">
        <v>664</v>
      </c>
      <c r="C5516" s="5">
        <f>DATE(2024, 9, 4) + TIME(12, 29, 5)</f>
        <v>45539.520196759258</v>
      </c>
      <c r="D5516" s="1" t="s">
        <v>459</v>
      </c>
      <c r="E5516" s="1" t="s">
        <v>19</v>
      </c>
    </row>
    <row r="5517" spans="1:5" x14ac:dyDescent="0.2">
      <c r="A5517" s="1" t="s">
        <v>1276</v>
      </c>
      <c r="B5517" s="1" t="s">
        <v>153</v>
      </c>
      <c r="C5517" s="5">
        <f>DATE(2024, 9, 4) + TIME(11, 56, 10)</f>
        <v>45539.497337962966</v>
      </c>
      <c r="D5517" s="1" t="s">
        <v>64</v>
      </c>
      <c r="E5517" s="1" t="s">
        <v>873</v>
      </c>
    </row>
    <row r="5518" spans="1:5" x14ac:dyDescent="0.2">
      <c r="A5518" s="1" t="s">
        <v>1276</v>
      </c>
      <c r="B5518" s="1" t="s">
        <v>682</v>
      </c>
      <c r="C5518" s="5">
        <f>DATE(2024, 9, 4) + TIME(11, 56, 10)</f>
        <v>45539.497337962966</v>
      </c>
      <c r="D5518" s="1" t="s">
        <v>64</v>
      </c>
      <c r="E5518" s="1" t="s">
        <v>873</v>
      </c>
    </row>
    <row r="5519" spans="1:5" x14ac:dyDescent="0.2">
      <c r="A5519" s="1" t="s">
        <v>1276</v>
      </c>
      <c r="B5519" s="1" t="s">
        <v>305</v>
      </c>
      <c r="C5519" s="5">
        <f>DATE(2024, 9, 4) + TIME(10, 37, 38)</f>
        <v>45539.442800925928</v>
      </c>
      <c r="D5519" s="1" t="s">
        <v>269</v>
      </c>
      <c r="E5519" s="1" t="s">
        <v>110</v>
      </c>
    </row>
    <row r="5520" spans="1:5" x14ac:dyDescent="0.2">
      <c r="A5520" s="1" t="s">
        <v>1276</v>
      </c>
      <c r="B5520" s="1" t="s">
        <v>664</v>
      </c>
      <c r="C5520" s="5">
        <f>DATE(2024, 9, 3) + TIME(15, 35, 11)</f>
        <v>45538.64943287037</v>
      </c>
      <c r="D5520" s="1" t="s">
        <v>391</v>
      </c>
      <c r="E5520" s="1" t="s">
        <v>336</v>
      </c>
    </row>
    <row r="5521" spans="1:5" x14ac:dyDescent="0.2">
      <c r="A5521" s="1" t="s">
        <v>1276</v>
      </c>
      <c r="B5521" s="1" t="s">
        <v>905</v>
      </c>
      <c r="C5521" s="5">
        <f>DATE(2024, 9, 3) + TIME(15, 2, 14)</f>
        <v>45538.626550925925</v>
      </c>
      <c r="D5521" s="1" t="s">
        <v>64</v>
      </c>
      <c r="E5521" s="1" t="s">
        <v>889</v>
      </c>
    </row>
    <row r="5522" spans="1:5" x14ac:dyDescent="0.2">
      <c r="A5522" s="1" t="s">
        <v>1276</v>
      </c>
      <c r="B5522" s="1" t="s">
        <v>109</v>
      </c>
      <c r="C5522" s="5">
        <f>DATE(2024, 9, 3) + TIME(14, 16, 33)</f>
        <v>45538.594826388886</v>
      </c>
      <c r="D5522" s="1" t="s">
        <v>3</v>
      </c>
      <c r="E5522" s="1" t="s">
        <v>925</v>
      </c>
    </row>
    <row r="5523" spans="1:5" x14ac:dyDescent="0.2">
      <c r="A5523" s="1" t="s">
        <v>1276</v>
      </c>
      <c r="B5523" s="1" t="s">
        <v>1164</v>
      </c>
      <c r="C5523" s="5">
        <f>DATE(2024, 9, 3) + TIME(14, 16, 33)</f>
        <v>45538.594826388886</v>
      </c>
      <c r="D5523" s="1" t="s">
        <v>3</v>
      </c>
      <c r="E5523" s="1" t="s">
        <v>925</v>
      </c>
    </row>
    <row r="5524" spans="1:5" x14ac:dyDescent="0.2">
      <c r="A5524" s="1" t="s">
        <v>1276</v>
      </c>
      <c r="B5524" s="1" t="s">
        <v>1164</v>
      </c>
      <c r="C5524" s="5">
        <f>DATE(2024, 9, 3) + TIME(13, 50, 40)</f>
        <v>45538.576851851853</v>
      </c>
      <c r="D5524" s="1" t="s">
        <v>64</v>
      </c>
      <c r="E5524" s="1" t="s">
        <v>253</v>
      </c>
    </row>
    <row r="5525" spans="1:5" ht="16" x14ac:dyDescent="0.2">
      <c r="A5525" s="1" t="s">
        <v>1276</v>
      </c>
      <c r="B5525" s="1" t="s">
        <v>617</v>
      </c>
      <c r="C5525" s="5">
        <f>DATE(2024, 9, 3) + TIME(13, 16, 56)</f>
        <v>45538.553425925929</v>
      </c>
      <c r="D5525" s="1" t="s">
        <v>754</v>
      </c>
      <c r="E5525" s="2" t="s">
        <v>87</v>
      </c>
    </row>
    <row r="5526" spans="1:5" x14ac:dyDescent="0.2">
      <c r="A5526" s="1" t="s">
        <v>1276</v>
      </c>
      <c r="B5526" s="1" t="s">
        <v>254</v>
      </c>
      <c r="C5526" s="5">
        <f>DATE(2024, 9, 3) + TIME(12, 48, 57)</f>
        <v>45538.533993055556</v>
      </c>
      <c r="D5526" s="1" t="s">
        <v>459</v>
      </c>
      <c r="E5526" s="1" t="s">
        <v>1050</v>
      </c>
    </row>
    <row r="5527" spans="1:5" x14ac:dyDescent="0.2">
      <c r="A5527" s="1" t="s">
        <v>1276</v>
      </c>
      <c r="B5527" s="1" t="s">
        <v>436</v>
      </c>
      <c r="C5527" s="5">
        <f>DATE(2024, 9, 3) + TIME(12, 39, 4)</f>
        <v>45538.527129629627</v>
      </c>
      <c r="D5527" s="1" t="s">
        <v>459</v>
      </c>
      <c r="E5527" s="1" t="s">
        <v>160</v>
      </c>
    </row>
    <row r="5528" spans="1:5" x14ac:dyDescent="0.2">
      <c r="A5528" s="1" t="s">
        <v>1276</v>
      </c>
      <c r="B5528" s="1" t="s">
        <v>163</v>
      </c>
      <c r="C5528" s="5">
        <f>DATE(2024, 9, 3) + TIME(11, 34, 48)</f>
        <v>45538.482499999998</v>
      </c>
      <c r="D5528" s="1" t="s">
        <v>269</v>
      </c>
      <c r="E5528" s="1" t="s">
        <v>454</v>
      </c>
    </row>
    <row r="5529" spans="1:5" x14ac:dyDescent="0.2">
      <c r="A5529" s="1" t="s">
        <v>1276</v>
      </c>
      <c r="B5529" s="1" t="s">
        <v>664</v>
      </c>
      <c r="C5529" s="5">
        <f>DATE(2024, 9, 3) + TIME(11, 34, 48)</f>
        <v>45538.482499999998</v>
      </c>
      <c r="D5529" s="1" t="s">
        <v>269</v>
      </c>
      <c r="E5529" s="1" t="s">
        <v>454</v>
      </c>
    </row>
    <row r="5530" spans="1:5" x14ac:dyDescent="0.2">
      <c r="A5530" s="1" t="s">
        <v>1276</v>
      </c>
      <c r="B5530" s="1" t="s">
        <v>197</v>
      </c>
      <c r="C5530" s="5">
        <f>DATE(2024, 9, 3) + TIME(10, 59, 4)</f>
        <v>45538.457685185182</v>
      </c>
      <c r="D5530" s="1" t="s">
        <v>459</v>
      </c>
      <c r="E5530" s="1" t="s">
        <v>836</v>
      </c>
    </row>
    <row r="5531" spans="1:5" x14ac:dyDescent="0.2">
      <c r="A5531" s="1" t="s">
        <v>1276</v>
      </c>
      <c r="B5531" s="1" t="s">
        <v>1024</v>
      </c>
      <c r="C5531" s="5">
        <f>DATE(2024, 9, 3) + TIME(9, 18, 29)</f>
        <v>45538.387835648151</v>
      </c>
      <c r="D5531" s="1" t="s">
        <v>216</v>
      </c>
      <c r="E5531" s="1" t="s">
        <v>101</v>
      </c>
    </row>
    <row r="5532" spans="1:5" x14ac:dyDescent="0.2">
      <c r="A5532" s="1" t="s">
        <v>1276</v>
      </c>
      <c r="B5532" s="1" t="s">
        <v>617</v>
      </c>
      <c r="C5532" s="5">
        <f>DATE(2024, 9, 2) + TIME(13, 30, 57)</f>
        <v>45537.563159722224</v>
      </c>
      <c r="D5532" s="1" t="s">
        <v>1054</v>
      </c>
      <c r="E5532" s="1" t="s">
        <v>210</v>
      </c>
    </row>
    <row r="5533" spans="1:5" x14ac:dyDescent="0.2">
      <c r="A5533" s="1" t="s">
        <v>1276</v>
      </c>
      <c r="B5533" s="1" t="s">
        <v>664</v>
      </c>
      <c r="C5533" s="5">
        <f>DATE(2024, 9, 2) + TIME(13, 26, 18)</f>
        <v>45537.559930555559</v>
      </c>
      <c r="D5533" s="1" t="s">
        <v>1054</v>
      </c>
      <c r="E5533" s="1" t="s">
        <v>351</v>
      </c>
    </row>
    <row r="5534" spans="1:5" x14ac:dyDescent="0.2">
      <c r="A5534" s="1" t="s">
        <v>1276</v>
      </c>
      <c r="B5534" s="1" t="s">
        <v>664</v>
      </c>
      <c r="C5534" s="5">
        <f>DATE(2024, 9, 2) + TIME(12, 44, 22)</f>
        <v>45537.530810185184</v>
      </c>
      <c r="D5534" s="1" t="s">
        <v>1054</v>
      </c>
      <c r="E5534" s="1" t="s">
        <v>145</v>
      </c>
    </row>
    <row r="5535" spans="1:5" x14ac:dyDescent="0.2">
      <c r="A5535" s="1" t="s">
        <v>1276</v>
      </c>
      <c r="B5535" s="1" t="s">
        <v>664</v>
      </c>
      <c r="C5535" s="5">
        <f>DATE(2024, 9, 2) + TIME(9, 34, 23)</f>
        <v>45537.398877314816</v>
      </c>
      <c r="D5535" s="1" t="s">
        <v>566</v>
      </c>
      <c r="E5535" s="1" t="s">
        <v>865</v>
      </c>
    </row>
    <row r="5536" spans="1:5" x14ac:dyDescent="0.2">
      <c r="A5536" s="1" t="s">
        <v>1276</v>
      </c>
      <c r="B5536" s="1" t="s">
        <v>1200</v>
      </c>
      <c r="C5536" s="5">
        <f>DATE(2024, 8, 29) + TIME(15, 54, 39)</f>
        <v>45533.662951388891</v>
      </c>
      <c r="D5536" s="1" t="s">
        <v>1054</v>
      </c>
      <c r="E5536" s="1" t="s">
        <v>1156</v>
      </c>
    </row>
    <row r="5537" spans="1:5" x14ac:dyDescent="0.2">
      <c r="A5537" s="1" t="s">
        <v>1276</v>
      </c>
      <c r="B5537" s="1" t="s">
        <v>664</v>
      </c>
      <c r="C5537" s="5">
        <f>DATE(2024, 8, 29) + TIME(15, 53, 45)</f>
        <v>45533.662326388891</v>
      </c>
      <c r="D5537" s="1" t="s">
        <v>1054</v>
      </c>
      <c r="E5537" s="1" t="s">
        <v>935</v>
      </c>
    </row>
    <row r="5538" spans="1:5" x14ac:dyDescent="0.2">
      <c r="A5538" s="1" t="s">
        <v>1276</v>
      </c>
      <c r="B5538" s="1" t="s">
        <v>932</v>
      </c>
      <c r="C5538" s="5">
        <f>DATE(2024, 8, 29) + TIME(15, 43, 2)</f>
        <v>45533.65488425926</v>
      </c>
      <c r="D5538" s="1" t="s">
        <v>754</v>
      </c>
      <c r="E5538" s="1" t="s">
        <v>282</v>
      </c>
    </row>
    <row r="5539" spans="1:5" x14ac:dyDescent="0.2">
      <c r="A5539" s="1" t="s">
        <v>1276</v>
      </c>
      <c r="B5539" s="1" t="s">
        <v>69</v>
      </c>
      <c r="C5539" s="5">
        <f>DATE(2024, 8, 29) + TIME(15, 43, 2)</f>
        <v>45533.65488425926</v>
      </c>
      <c r="D5539" s="1" t="s">
        <v>754</v>
      </c>
      <c r="E5539" s="1" t="s">
        <v>282</v>
      </c>
    </row>
    <row r="5540" spans="1:5" x14ac:dyDescent="0.2">
      <c r="A5540" s="1" t="s">
        <v>1276</v>
      </c>
      <c r="B5540" s="1" t="s">
        <v>163</v>
      </c>
      <c r="C5540" s="5">
        <f>DATE(2024, 8, 29) + TIME(15, 30, 1)</f>
        <v>45533.645844907405</v>
      </c>
      <c r="D5540" s="1" t="s">
        <v>320</v>
      </c>
      <c r="E5540" s="1" t="s">
        <v>845</v>
      </c>
    </row>
    <row r="5541" spans="1:5" x14ac:dyDescent="0.2">
      <c r="A5541" s="1" t="s">
        <v>1276</v>
      </c>
      <c r="B5541" s="1" t="s">
        <v>664</v>
      </c>
      <c r="C5541" s="5">
        <f>DATE(2024, 8, 29) + TIME(15, 26, 27)</f>
        <v>45533.643368055556</v>
      </c>
      <c r="D5541" s="1" t="s">
        <v>566</v>
      </c>
      <c r="E5541" s="1" t="s">
        <v>71</v>
      </c>
    </row>
    <row r="5542" spans="1:5" x14ac:dyDescent="0.2">
      <c r="A5542" s="1" t="s">
        <v>1276</v>
      </c>
      <c r="B5542" s="1" t="s">
        <v>905</v>
      </c>
      <c r="C5542" s="5">
        <f>DATE(2024, 8, 29) + TIME(15, 26, 5)</f>
        <v>45533.643113425926</v>
      </c>
      <c r="D5542" s="1" t="s">
        <v>566</v>
      </c>
      <c r="E5542" s="1" t="s">
        <v>922</v>
      </c>
    </row>
    <row r="5543" spans="1:5" x14ac:dyDescent="0.2">
      <c r="A5543" s="1" t="s">
        <v>1276</v>
      </c>
      <c r="B5543" s="1" t="s">
        <v>305</v>
      </c>
      <c r="C5543" s="5">
        <f>DATE(2024, 8, 29) + TIME(14, 13, 5)</f>
        <v>45533.592418981483</v>
      </c>
      <c r="D5543" s="1" t="s">
        <v>566</v>
      </c>
      <c r="E5543" s="1" t="s">
        <v>324</v>
      </c>
    </row>
    <row r="5544" spans="1:5" x14ac:dyDescent="0.2">
      <c r="A5544" s="1" t="s">
        <v>1276</v>
      </c>
      <c r="B5544" s="1" t="s">
        <v>310</v>
      </c>
      <c r="C5544" s="5">
        <f>DATE(2024, 8, 29) + TIME(14, 13, 4)</f>
        <v>45533.592407407406</v>
      </c>
      <c r="D5544" s="1" t="s">
        <v>566</v>
      </c>
      <c r="E5544" s="1" t="s">
        <v>324</v>
      </c>
    </row>
    <row r="5545" spans="1:5" x14ac:dyDescent="0.2">
      <c r="A5545" s="1" t="s">
        <v>1276</v>
      </c>
      <c r="B5545" s="1" t="s">
        <v>1201</v>
      </c>
      <c r="C5545" s="5">
        <f>DATE(2024, 8, 29) + TIME(14, 13, 4)</f>
        <v>45533.592407407406</v>
      </c>
      <c r="D5545" s="1" t="s">
        <v>566</v>
      </c>
      <c r="E5545" s="1" t="s">
        <v>324</v>
      </c>
    </row>
    <row r="5546" spans="1:5" x14ac:dyDescent="0.2">
      <c r="A5546" s="1" t="s">
        <v>1276</v>
      </c>
      <c r="B5546" s="1" t="s">
        <v>436</v>
      </c>
      <c r="C5546" s="5">
        <f>DATE(2024, 8, 29) + TIME(13, 35, 12)</f>
        <v>45533.566111111111</v>
      </c>
      <c r="D5546" s="1" t="s">
        <v>396</v>
      </c>
      <c r="E5546" s="1" t="s">
        <v>764</v>
      </c>
    </row>
    <row r="5547" spans="1:5" x14ac:dyDescent="0.2">
      <c r="A5547" s="1" t="s">
        <v>1276</v>
      </c>
      <c r="B5547" s="1" t="s">
        <v>1193</v>
      </c>
      <c r="C5547" s="5">
        <f>DATE(2024, 8, 29) + TIME(11, 56, 18)</f>
        <v>45533.497430555559</v>
      </c>
      <c r="D5547" s="1" t="s">
        <v>754</v>
      </c>
      <c r="E5547" s="1" t="s">
        <v>330</v>
      </c>
    </row>
    <row r="5548" spans="1:5" x14ac:dyDescent="0.2">
      <c r="A5548" s="1" t="s">
        <v>1276</v>
      </c>
      <c r="B5548" s="1" t="s">
        <v>1102</v>
      </c>
      <c r="C5548" s="5">
        <f>DATE(2024, 8, 29) + TIME(11, 41, 6)</f>
        <v>45533.486875000002</v>
      </c>
      <c r="D5548" s="1" t="s">
        <v>640</v>
      </c>
      <c r="E5548" s="1" t="s">
        <v>1029</v>
      </c>
    </row>
    <row r="5549" spans="1:5" x14ac:dyDescent="0.2">
      <c r="A5549" s="1" t="s">
        <v>1276</v>
      </c>
      <c r="B5549" s="1" t="s">
        <v>1164</v>
      </c>
      <c r="C5549" s="5">
        <f>DATE(2024, 8, 29) + TIME(11, 41, 6)</f>
        <v>45533.486875000002</v>
      </c>
      <c r="D5549" s="1" t="s">
        <v>640</v>
      </c>
      <c r="E5549" s="1" t="s">
        <v>1029</v>
      </c>
    </row>
    <row r="5550" spans="1:5" x14ac:dyDescent="0.2">
      <c r="A5550" s="1" t="s">
        <v>1276</v>
      </c>
      <c r="B5550" s="1" t="s">
        <v>790</v>
      </c>
      <c r="C5550" s="5">
        <f>DATE(2024, 8, 29) + TIME(11, 29, 12)</f>
        <v>45533.47861111111</v>
      </c>
      <c r="D5550" s="1" t="s">
        <v>320</v>
      </c>
      <c r="E5550" s="1" t="s">
        <v>2</v>
      </c>
    </row>
    <row r="5551" spans="1:5" x14ac:dyDescent="0.2">
      <c r="A5551" s="1" t="s">
        <v>1276</v>
      </c>
      <c r="B5551" s="1" t="s">
        <v>587</v>
      </c>
      <c r="C5551" s="5">
        <f>DATE(2024, 8, 29) + TIME(11, 29, 12)</f>
        <v>45533.47861111111</v>
      </c>
      <c r="D5551" s="1" t="s">
        <v>320</v>
      </c>
      <c r="E5551" s="1" t="s">
        <v>2</v>
      </c>
    </row>
    <row r="5552" spans="1:5" x14ac:dyDescent="0.2">
      <c r="A5552" s="1" t="s">
        <v>1276</v>
      </c>
      <c r="B5552" s="1" t="s">
        <v>436</v>
      </c>
      <c r="C5552" s="5">
        <f>DATE(2024, 8, 29) + TIME(11, 29, 12)</f>
        <v>45533.47861111111</v>
      </c>
      <c r="D5552" s="1" t="s">
        <v>320</v>
      </c>
      <c r="E5552" s="1" t="s">
        <v>2</v>
      </c>
    </row>
    <row r="5553" spans="1:5" x14ac:dyDescent="0.2">
      <c r="A5553" s="1" t="s">
        <v>1276</v>
      </c>
      <c r="B5553" s="1" t="s">
        <v>1202</v>
      </c>
      <c r="C5553" s="5">
        <f>DATE(2024, 8, 29) + TIME(11, 29, 12)</f>
        <v>45533.47861111111</v>
      </c>
      <c r="D5553" s="1" t="s">
        <v>320</v>
      </c>
      <c r="E5553" s="1" t="s">
        <v>2</v>
      </c>
    </row>
    <row r="5554" spans="1:5" x14ac:dyDescent="0.2">
      <c r="A5554" s="1" t="s">
        <v>1276</v>
      </c>
      <c r="B5554" s="1" t="s">
        <v>483</v>
      </c>
      <c r="C5554" s="5">
        <f>DATE(2024, 8, 29) + TIME(11, 29, 11)</f>
        <v>45533.47859953704</v>
      </c>
      <c r="D5554" s="1" t="s">
        <v>320</v>
      </c>
      <c r="E5554" s="1" t="s">
        <v>2</v>
      </c>
    </row>
    <row r="5555" spans="1:5" x14ac:dyDescent="0.2">
      <c r="A5555" s="1" t="s">
        <v>1276</v>
      </c>
      <c r="B5555" s="1" t="s">
        <v>1203</v>
      </c>
      <c r="C5555" s="5">
        <f>DATE(2024, 8, 29) + TIME(11, 29, 11)</f>
        <v>45533.47859953704</v>
      </c>
      <c r="D5555" s="1" t="s">
        <v>320</v>
      </c>
      <c r="E5555" s="1" t="s">
        <v>2</v>
      </c>
    </row>
    <row r="5556" spans="1:5" x14ac:dyDescent="0.2">
      <c r="A5556" s="1" t="s">
        <v>1276</v>
      </c>
      <c r="B5556" s="1" t="s">
        <v>964</v>
      </c>
      <c r="C5556" s="5">
        <f>DATE(2024, 8, 29) + TIME(11, 14, 59)</f>
        <v>45533.468738425923</v>
      </c>
      <c r="D5556" s="1" t="s">
        <v>269</v>
      </c>
      <c r="E5556" s="1" t="s">
        <v>299</v>
      </c>
    </row>
    <row r="5557" spans="1:5" x14ac:dyDescent="0.2">
      <c r="A5557" s="1" t="s">
        <v>1276</v>
      </c>
      <c r="B5557" s="1" t="s">
        <v>407</v>
      </c>
      <c r="C5557" s="5">
        <f>DATE(2024, 8, 28) + TIME(16, 24, 20)</f>
        <v>45532.683564814812</v>
      </c>
      <c r="D5557" s="1" t="s">
        <v>64</v>
      </c>
      <c r="E5557" s="1" t="s">
        <v>1008</v>
      </c>
    </row>
    <row r="5558" spans="1:5" x14ac:dyDescent="0.2">
      <c r="A5558" s="1" t="s">
        <v>1276</v>
      </c>
      <c r="B5558" s="1" t="s">
        <v>272</v>
      </c>
      <c r="C5558" s="5">
        <f>DATE(2024, 8, 28) + TIME(16, 23, 20)</f>
        <v>45532.682870370372</v>
      </c>
      <c r="D5558" s="1" t="s">
        <v>126</v>
      </c>
      <c r="E5558" s="1" t="s">
        <v>74</v>
      </c>
    </row>
    <row r="5559" spans="1:5" x14ac:dyDescent="0.2">
      <c r="A5559" s="1" t="s">
        <v>1276</v>
      </c>
      <c r="B5559" s="1" t="s">
        <v>489</v>
      </c>
      <c r="C5559" s="5">
        <f>DATE(2024, 8, 28) + TIME(15, 50, 1)</f>
        <v>45532.659733796296</v>
      </c>
      <c r="D5559" s="1" t="s">
        <v>459</v>
      </c>
      <c r="E5559" s="1" t="s">
        <v>773</v>
      </c>
    </row>
    <row r="5560" spans="1:5" x14ac:dyDescent="0.2">
      <c r="A5560" s="1" t="s">
        <v>1276</v>
      </c>
      <c r="B5560" s="1" t="s">
        <v>664</v>
      </c>
      <c r="C5560" s="5">
        <f>DATE(2024, 8, 28) + TIME(15, 6, 41)</f>
        <v>45532.629641203705</v>
      </c>
      <c r="D5560" s="1" t="s">
        <v>65</v>
      </c>
      <c r="E5560" s="1" t="s">
        <v>918</v>
      </c>
    </row>
    <row r="5561" spans="1:5" x14ac:dyDescent="0.2">
      <c r="A5561" s="1" t="s">
        <v>1276</v>
      </c>
      <c r="B5561" s="1" t="s">
        <v>305</v>
      </c>
      <c r="C5561" s="5">
        <f>DATE(2024, 8, 28) + TIME(15, 1, 10)</f>
        <v>45532.625810185185</v>
      </c>
      <c r="D5561" s="1" t="s">
        <v>64</v>
      </c>
      <c r="E5561" s="1" t="s">
        <v>403</v>
      </c>
    </row>
    <row r="5562" spans="1:5" x14ac:dyDescent="0.2">
      <c r="A5562" s="1" t="s">
        <v>1276</v>
      </c>
      <c r="B5562" s="1" t="s">
        <v>177</v>
      </c>
      <c r="C5562" s="5">
        <f>DATE(2024, 8, 28) + TIME(14, 33, 17)</f>
        <v>45532.606446759259</v>
      </c>
      <c r="D5562" s="1" t="s">
        <v>566</v>
      </c>
      <c r="E5562" s="1" t="s">
        <v>888</v>
      </c>
    </row>
    <row r="5563" spans="1:5" x14ac:dyDescent="0.2">
      <c r="A5563" s="1" t="s">
        <v>1276</v>
      </c>
      <c r="B5563" s="1" t="s">
        <v>1204</v>
      </c>
      <c r="C5563" s="5">
        <f>DATE(2024, 8, 28) + TIME(14, 33, 16)</f>
        <v>45532.606435185182</v>
      </c>
      <c r="D5563" s="1" t="s">
        <v>566</v>
      </c>
      <c r="E5563" s="1" t="s">
        <v>888</v>
      </c>
    </row>
    <row r="5564" spans="1:5" x14ac:dyDescent="0.2">
      <c r="A5564" s="1" t="s">
        <v>1276</v>
      </c>
      <c r="B5564" s="1" t="s">
        <v>664</v>
      </c>
      <c r="C5564" s="5">
        <f>DATE(2024, 8, 28) + TIME(14, 22, 12)</f>
        <v>45532.598749999997</v>
      </c>
      <c r="D5564" s="1" t="s">
        <v>320</v>
      </c>
      <c r="E5564" s="1" t="s">
        <v>902</v>
      </c>
    </row>
    <row r="5565" spans="1:5" x14ac:dyDescent="0.2">
      <c r="A5565" s="1" t="s">
        <v>1276</v>
      </c>
      <c r="B5565" s="1" t="s">
        <v>272</v>
      </c>
      <c r="C5565" s="5">
        <f>DATE(2024, 8, 28) + TIME(14, 16, 59)</f>
        <v>45532.595127314817</v>
      </c>
      <c r="D5565" s="1" t="s">
        <v>506</v>
      </c>
      <c r="E5565" s="1" t="s">
        <v>702</v>
      </c>
    </row>
    <row r="5566" spans="1:5" x14ac:dyDescent="0.2">
      <c r="A5566" s="1" t="s">
        <v>1276</v>
      </c>
      <c r="B5566" s="1" t="s">
        <v>793</v>
      </c>
      <c r="C5566" s="5">
        <f>DATE(2024, 8, 28) + TIME(13, 40, 43)</f>
        <v>45532.56994212963</v>
      </c>
      <c r="D5566" s="1" t="s">
        <v>506</v>
      </c>
      <c r="E5566" s="1" t="s">
        <v>158</v>
      </c>
    </row>
    <row r="5567" spans="1:5" x14ac:dyDescent="0.2">
      <c r="A5567" s="1" t="s">
        <v>1276</v>
      </c>
      <c r="B5567" s="1" t="s">
        <v>436</v>
      </c>
      <c r="C5567" s="5">
        <f>DATE(2024, 8, 28) + TIME(13, 40, 43)</f>
        <v>45532.56994212963</v>
      </c>
      <c r="D5567" s="1" t="s">
        <v>506</v>
      </c>
      <c r="E5567" s="1" t="s">
        <v>158</v>
      </c>
    </row>
    <row r="5568" spans="1:5" x14ac:dyDescent="0.2">
      <c r="A5568" s="1" t="s">
        <v>1276</v>
      </c>
      <c r="B5568" s="1" t="s">
        <v>766</v>
      </c>
      <c r="C5568" s="5">
        <f>DATE(2024, 8, 28) + TIME(13, 40, 43)</f>
        <v>45532.56994212963</v>
      </c>
      <c r="D5568" s="1" t="s">
        <v>506</v>
      </c>
      <c r="E5568" s="1" t="s">
        <v>158</v>
      </c>
    </row>
    <row r="5569" spans="1:5" x14ac:dyDescent="0.2">
      <c r="A5569" s="1" t="s">
        <v>1276</v>
      </c>
      <c r="B5569" s="1" t="s">
        <v>33</v>
      </c>
      <c r="C5569" s="5">
        <f>DATE(2024, 8, 28) + TIME(13, 40, 43)</f>
        <v>45532.56994212963</v>
      </c>
      <c r="D5569" s="1" t="s">
        <v>506</v>
      </c>
      <c r="E5569" s="1" t="s">
        <v>158</v>
      </c>
    </row>
    <row r="5570" spans="1:5" x14ac:dyDescent="0.2">
      <c r="A5570" s="1" t="s">
        <v>1276</v>
      </c>
      <c r="B5570" s="1" t="s">
        <v>1205</v>
      </c>
      <c r="C5570" s="5">
        <f>DATE(2024, 8, 28) + TIME(13, 35, 52)</f>
        <v>45532.566574074073</v>
      </c>
      <c r="D5570" s="1" t="s">
        <v>64</v>
      </c>
      <c r="E5570" s="1" t="s">
        <v>873</v>
      </c>
    </row>
    <row r="5571" spans="1:5" x14ac:dyDescent="0.2">
      <c r="A5571" s="1" t="s">
        <v>1276</v>
      </c>
      <c r="B5571" s="1" t="s">
        <v>664</v>
      </c>
      <c r="C5571" s="5">
        <f>DATE(2024, 8, 28) + TIME(13, 33, 14)</f>
        <v>45532.564745370371</v>
      </c>
      <c r="D5571" s="1" t="s">
        <v>1054</v>
      </c>
      <c r="E5571" s="1" t="s">
        <v>1148</v>
      </c>
    </row>
    <row r="5572" spans="1:5" x14ac:dyDescent="0.2">
      <c r="A5572" s="1" t="s">
        <v>1276</v>
      </c>
      <c r="B5572" s="1" t="s">
        <v>664</v>
      </c>
      <c r="C5572" s="5">
        <f>DATE(2024, 8, 28) + TIME(13, 15, 31)</f>
        <v>45532.552442129629</v>
      </c>
      <c r="D5572" s="1" t="s">
        <v>871</v>
      </c>
      <c r="E5572" s="1" t="s">
        <v>769</v>
      </c>
    </row>
    <row r="5573" spans="1:5" x14ac:dyDescent="0.2">
      <c r="A5573" s="1" t="s">
        <v>1276</v>
      </c>
      <c r="B5573" s="1" t="s">
        <v>766</v>
      </c>
      <c r="C5573" s="5">
        <f>DATE(2024, 8, 28) + TIME(12, 16, 46)</f>
        <v>45532.511643518519</v>
      </c>
      <c r="D5573" s="1" t="s">
        <v>216</v>
      </c>
      <c r="E5573" s="1" t="s">
        <v>321</v>
      </c>
    </row>
    <row r="5574" spans="1:5" x14ac:dyDescent="0.2">
      <c r="A5574" s="1" t="s">
        <v>1276</v>
      </c>
      <c r="B5574" s="1" t="s">
        <v>664</v>
      </c>
      <c r="C5574" s="5">
        <f>DATE(2024, 8, 28) + TIME(10, 57, 41)</f>
        <v>45532.456724537034</v>
      </c>
      <c r="D5574" s="1" t="s">
        <v>871</v>
      </c>
      <c r="E5574" s="1" t="s">
        <v>414</v>
      </c>
    </row>
    <row r="5575" spans="1:5" x14ac:dyDescent="0.2">
      <c r="A5575" s="1" t="s">
        <v>1276</v>
      </c>
      <c r="B5575" s="1" t="s">
        <v>730</v>
      </c>
      <c r="C5575" s="5">
        <f>DATE(2024, 8, 28) + TIME(9, 21, 21)</f>
        <v>45532.389826388891</v>
      </c>
      <c r="D5575" s="1" t="s">
        <v>754</v>
      </c>
      <c r="E5575" s="1" t="s">
        <v>760</v>
      </c>
    </row>
    <row r="5576" spans="1:5" x14ac:dyDescent="0.2">
      <c r="A5576" s="1" t="s">
        <v>1276</v>
      </c>
      <c r="B5576" s="1" t="s">
        <v>1206</v>
      </c>
      <c r="C5576" s="5">
        <f>DATE(2024, 8, 27) + TIME(14, 58, 32)</f>
        <v>45531.623981481483</v>
      </c>
      <c r="D5576" s="1" t="s">
        <v>126</v>
      </c>
      <c r="E5576" s="1" t="s">
        <v>143</v>
      </c>
    </row>
    <row r="5577" spans="1:5" x14ac:dyDescent="0.2">
      <c r="A5577" s="1" t="s">
        <v>1276</v>
      </c>
      <c r="B5577" s="1" t="s">
        <v>436</v>
      </c>
      <c r="C5577" s="5">
        <f>DATE(2024, 8, 27) + TIME(14, 42, 52)</f>
        <v>45531.61310185185</v>
      </c>
      <c r="D5577" s="1" t="s">
        <v>396</v>
      </c>
      <c r="E5577" s="1" t="s">
        <v>76</v>
      </c>
    </row>
    <row r="5578" spans="1:5" x14ac:dyDescent="0.2">
      <c r="A5578" s="1" t="s">
        <v>1276</v>
      </c>
      <c r="B5578" s="1" t="s">
        <v>664</v>
      </c>
      <c r="C5578" s="5">
        <f>DATE(2024, 8, 27) + TIME(13, 14, 29)</f>
        <v>45531.551724537036</v>
      </c>
      <c r="D5578" s="1" t="s">
        <v>506</v>
      </c>
      <c r="E5578" s="1" t="s">
        <v>823</v>
      </c>
    </row>
    <row r="5579" spans="1:5" x14ac:dyDescent="0.2">
      <c r="A5579" s="1" t="s">
        <v>1276</v>
      </c>
      <c r="B5579" s="1" t="s">
        <v>436</v>
      </c>
      <c r="C5579" s="5">
        <f>DATE(2024, 8, 27) + TIME(12, 44, 37)</f>
        <v>45531.5309837963</v>
      </c>
      <c r="D5579" s="1" t="s">
        <v>320</v>
      </c>
      <c r="E5579" s="1" t="s">
        <v>406</v>
      </c>
    </row>
    <row r="5580" spans="1:5" x14ac:dyDescent="0.2">
      <c r="A5580" s="1" t="s">
        <v>1276</v>
      </c>
      <c r="B5580" s="1" t="s">
        <v>191</v>
      </c>
      <c r="C5580" s="5">
        <f>DATE(2024, 8, 27) + TIME(12, 44, 37)</f>
        <v>45531.5309837963</v>
      </c>
      <c r="D5580" s="1" t="s">
        <v>320</v>
      </c>
      <c r="E5580" s="1" t="s">
        <v>406</v>
      </c>
    </row>
    <row r="5581" spans="1:5" x14ac:dyDescent="0.2">
      <c r="A5581" s="1" t="s">
        <v>1276</v>
      </c>
      <c r="B5581" s="1" t="s">
        <v>1207</v>
      </c>
      <c r="C5581" s="5">
        <f>DATE(2024, 8, 27) + TIME(12, 44, 37)</f>
        <v>45531.5309837963</v>
      </c>
      <c r="D5581" s="1" t="s">
        <v>320</v>
      </c>
      <c r="E5581" s="1" t="s">
        <v>406</v>
      </c>
    </row>
    <row r="5582" spans="1:5" x14ac:dyDescent="0.2">
      <c r="A5582" s="1" t="s">
        <v>1276</v>
      </c>
      <c r="B5582" s="1" t="s">
        <v>436</v>
      </c>
      <c r="C5582" s="5">
        <f>DATE(2024, 8, 27) + TIME(12, 37, 16)</f>
        <v>45531.525879629633</v>
      </c>
      <c r="D5582" s="1" t="s">
        <v>871</v>
      </c>
      <c r="E5582" s="1" t="s">
        <v>107</v>
      </c>
    </row>
    <row r="5583" spans="1:5" x14ac:dyDescent="0.2">
      <c r="A5583" s="1" t="s">
        <v>1276</v>
      </c>
      <c r="B5583" s="1" t="s">
        <v>905</v>
      </c>
      <c r="C5583" s="5">
        <f>DATE(2024, 8, 26) + TIME(16, 25, 15)</f>
        <v>45530.684201388889</v>
      </c>
      <c r="D5583" s="1" t="s">
        <v>64</v>
      </c>
      <c r="E5583" s="1" t="s">
        <v>636</v>
      </c>
    </row>
    <row r="5584" spans="1:5" x14ac:dyDescent="0.2">
      <c r="A5584" s="1" t="s">
        <v>1276</v>
      </c>
      <c r="B5584" s="1" t="s">
        <v>664</v>
      </c>
      <c r="C5584" s="5">
        <f>DATE(2024, 8, 26) + TIME(15, 12, 40)</f>
        <v>45530.633796296293</v>
      </c>
      <c r="D5584" s="1" t="s">
        <v>1054</v>
      </c>
      <c r="E5584" s="1" t="s">
        <v>210</v>
      </c>
    </row>
    <row r="5585" spans="1:5" x14ac:dyDescent="0.2">
      <c r="A5585" s="1" t="s">
        <v>1276</v>
      </c>
      <c r="B5585" s="1" t="s">
        <v>664</v>
      </c>
      <c r="C5585" s="5">
        <f>DATE(2024, 8, 26) + TIME(15, 8, 40)</f>
        <v>45530.631018518521</v>
      </c>
      <c r="D5585" s="1" t="s">
        <v>320</v>
      </c>
      <c r="E5585" s="1" t="s">
        <v>687</v>
      </c>
    </row>
    <row r="5586" spans="1:5" x14ac:dyDescent="0.2">
      <c r="A5586" s="1" t="s">
        <v>1276</v>
      </c>
      <c r="B5586" s="1" t="s">
        <v>664</v>
      </c>
      <c r="C5586" s="5">
        <f>DATE(2024, 8, 26) + TIME(14, 52, 20)</f>
        <v>45530.619675925926</v>
      </c>
      <c r="D5586" s="1" t="s">
        <v>638</v>
      </c>
      <c r="E5586" s="1" t="s">
        <v>188</v>
      </c>
    </row>
    <row r="5587" spans="1:5" x14ac:dyDescent="0.2">
      <c r="A5587" s="1" t="s">
        <v>1276</v>
      </c>
      <c r="B5587" s="1" t="s">
        <v>376</v>
      </c>
      <c r="C5587" s="5">
        <f>DATE(2024, 8, 26) + TIME(14, 40, 12)</f>
        <v>45530.611250000002</v>
      </c>
      <c r="D5587" s="1" t="s">
        <v>64</v>
      </c>
      <c r="E5587" s="1" t="s">
        <v>308</v>
      </c>
    </row>
    <row r="5588" spans="1:5" x14ac:dyDescent="0.2">
      <c r="A5588" s="1" t="s">
        <v>1276</v>
      </c>
      <c r="B5588" s="1" t="s">
        <v>790</v>
      </c>
      <c r="C5588" s="5">
        <f>DATE(2024, 8, 26) + TIME(13, 31, 58)</f>
        <v>45530.56386574074</v>
      </c>
      <c r="D5588" s="1" t="s">
        <v>396</v>
      </c>
      <c r="E5588" s="1" t="s">
        <v>567</v>
      </c>
    </row>
    <row r="5589" spans="1:5" x14ac:dyDescent="0.2">
      <c r="A5589" s="1" t="s">
        <v>1276</v>
      </c>
      <c r="B5589" s="1" t="s">
        <v>664</v>
      </c>
      <c r="C5589" s="5">
        <f>DATE(2024, 8, 26) + TIME(11, 48, 40)</f>
        <v>45530.492129629631</v>
      </c>
      <c r="D5589" s="1" t="s">
        <v>269</v>
      </c>
      <c r="E5589" s="1" t="s">
        <v>79</v>
      </c>
    </row>
    <row r="5590" spans="1:5" x14ac:dyDescent="0.2">
      <c r="A5590" s="1" t="s">
        <v>1276</v>
      </c>
      <c r="B5590" s="1" t="s">
        <v>664</v>
      </c>
      <c r="C5590" s="5">
        <f>DATE(2024, 8, 26) + TIME(11, 37, 9)</f>
        <v>45530.484131944446</v>
      </c>
      <c r="D5590" s="1" t="s">
        <v>269</v>
      </c>
      <c r="E5590" s="1" t="s">
        <v>748</v>
      </c>
    </row>
    <row r="5591" spans="1:5" x14ac:dyDescent="0.2">
      <c r="A5591" s="1" t="s">
        <v>1276</v>
      </c>
      <c r="B5591" s="1" t="s">
        <v>664</v>
      </c>
      <c r="C5591" s="5">
        <f>DATE(2024, 8, 26) + TIME(8, 17, 18)</f>
        <v>45530.345347222225</v>
      </c>
      <c r="D5591" s="1" t="s">
        <v>65</v>
      </c>
      <c r="E5591" s="1" t="s">
        <v>404</v>
      </c>
    </row>
    <row r="5592" spans="1:5" x14ac:dyDescent="0.2">
      <c r="A5592" s="1" t="s">
        <v>1276</v>
      </c>
      <c r="B5592" s="1" t="s">
        <v>664</v>
      </c>
      <c r="C5592" s="5">
        <f>DATE(2024, 8, 26) + TIME(6, 53, 59)</f>
        <v>45530.287488425929</v>
      </c>
      <c r="D5592" s="1" t="s">
        <v>869</v>
      </c>
      <c r="E5592" s="1" t="s">
        <v>296</v>
      </c>
    </row>
    <row r="5593" spans="1:5" x14ac:dyDescent="0.2">
      <c r="A5593" s="1" t="s">
        <v>1276</v>
      </c>
      <c r="B5593" s="1" t="s">
        <v>664</v>
      </c>
      <c r="C5593" s="5">
        <f>DATE(2024, 8, 22) + TIME(16, 32, 40)</f>
        <v>45526.689351851855</v>
      </c>
      <c r="D5593" s="1" t="s">
        <v>5</v>
      </c>
      <c r="E5593" s="1" t="s">
        <v>641</v>
      </c>
    </row>
    <row r="5594" spans="1:5" x14ac:dyDescent="0.2">
      <c r="A5594" s="1" t="s">
        <v>1276</v>
      </c>
      <c r="B5594" s="1" t="s">
        <v>162</v>
      </c>
      <c r="C5594" s="5">
        <f>DATE(2024, 8, 22) + TIME(16, 32, 3)</f>
        <v>45526.688923611109</v>
      </c>
      <c r="D5594" s="1" t="s">
        <v>566</v>
      </c>
      <c r="E5594" s="1" t="s">
        <v>324</v>
      </c>
    </row>
    <row r="5595" spans="1:5" x14ac:dyDescent="0.2">
      <c r="A5595" s="1" t="s">
        <v>1276</v>
      </c>
      <c r="B5595" s="1" t="s">
        <v>664</v>
      </c>
      <c r="C5595" s="5">
        <f>DATE(2024, 8, 22) + TIME(16, 7, 21)</f>
        <v>45526.671770833331</v>
      </c>
      <c r="D5595" s="1" t="s">
        <v>320</v>
      </c>
      <c r="E5595" s="1" t="s">
        <v>767</v>
      </c>
    </row>
    <row r="5596" spans="1:5" x14ac:dyDescent="0.2">
      <c r="A5596" s="1" t="s">
        <v>1276</v>
      </c>
      <c r="B5596" s="1" t="s">
        <v>177</v>
      </c>
      <c r="C5596" s="5">
        <f>DATE(2024, 8, 22) + TIME(15, 43, 7)</f>
        <v>45526.654942129629</v>
      </c>
      <c r="D5596" s="1" t="s">
        <v>566</v>
      </c>
      <c r="E5596" s="1" t="s">
        <v>324</v>
      </c>
    </row>
    <row r="5597" spans="1:5" x14ac:dyDescent="0.2">
      <c r="A5597" s="1" t="s">
        <v>1276</v>
      </c>
      <c r="B5597" s="1" t="s">
        <v>1208</v>
      </c>
      <c r="C5597" s="5">
        <f>DATE(2024, 8, 22) + TIME(15, 43, 7)</f>
        <v>45526.654942129629</v>
      </c>
      <c r="D5597" s="1" t="s">
        <v>566</v>
      </c>
      <c r="E5597" s="1" t="s">
        <v>324</v>
      </c>
    </row>
    <row r="5598" spans="1:5" x14ac:dyDescent="0.2">
      <c r="A5598" s="1" t="s">
        <v>1276</v>
      </c>
      <c r="B5598" s="1" t="s">
        <v>409</v>
      </c>
      <c r="C5598" s="5">
        <f>DATE(2024, 8, 22) + TIME(15, 38, 14)</f>
        <v>45526.651550925926</v>
      </c>
      <c r="D5598" s="1" t="s">
        <v>731</v>
      </c>
      <c r="E5598" s="1" t="s">
        <v>667</v>
      </c>
    </row>
    <row r="5599" spans="1:5" x14ac:dyDescent="0.2">
      <c r="A5599" s="1" t="s">
        <v>1276</v>
      </c>
      <c r="B5599" s="1" t="s">
        <v>436</v>
      </c>
      <c r="C5599" s="5">
        <f>DATE(2024, 8, 22) + TIME(15, 33, 58)</f>
        <v>45526.648587962962</v>
      </c>
      <c r="D5599" s="1" t="s">
        <v>255</v>
      </c>
      <c r="E5599" s="1" t="s">
        <v>370</v>
      </c>
    </row>
    <row r="5600" spans="1:5" x14ac:dyDescent="0.2">
      <c r="A5600" s="1" t="s">
        <v>1276</v>
      </c>
      <c r="B5600" s="1" t="s">
        <v>969</v>
      </c>
      <c r="C5600" s="5">
        <f>DATE(2024, 8, 22) + TIME(15, 5, 3)</f>
        <v>45526.628506944442</v>
      </c>
      <c r="D5600" s="1" t="s">
        <v>638</v>
      </c>
      <c r="E5600" s="1" t="s">
        <v>85</v>
      </c>
    </row>
    <row r="5601" spans="1:5" x14ac:dyDescent="0.2">
      <c r="A5601" s="1" t="s">
        <v>1276</v>
      </c>
      <c r="B5601" s="1" t="s">
        <v>730</v>
      </c>
      <c r="C5601" s="5">
        <f>DATE(2024, 8, 22) + TIME(14, 39, 17)</f>
        <v>45526.610613425924</v>
      </c>
      <c r="D5601" s="1" t="s">
        <v>731</v>
      </c>
      <c r="E5601" s="1" t="s">
        <v>70</v>
      </c>
    </row>
    <row r="5602" spans="1:5" x14ac:dyDescent="0.2">
      <c r="A5602" s="1" t="s">
        <v>1276</v>
      </c>
      <c r="B5602" s="1" t="s">
        <v>664</v>
      </c>
      <c r="C5602" s="5">
        <f>DATE(2024, 8, 22) + TIME(14, 24, 36)</f>
        <v>45526.600416666668</v>
      </c>
      <c r="D5602" s="1" t="s">
        <v>1054</v>
      </c>
      <c r="E5602" s="1" t="s">
        <v>1156</v>
      </c>
    </row>
    <row r="5603" spans="1:5" x14ac:dyDescent="0.2">
      <c r="A5603" s="1" t="s">
        <v>1276</v>
      </c>
      <c r="B5603" s="1" t="s">
        <v>235</v>
      </c>
      <c r="C5603" s="5">
        <f>DATE(2024, 8, 22) + TIME(14, 13, 42)</f>
        <v>45526.592847222222</v>
      </c>
      <c r="D5603" s="1" t="s">
        <v>1054</v>
      </c>
      <c r="E5603" s="1" t="s">
        <v>935</v>
      </c>
    </row>
    <row r="5604" spans="1:5" x14ac:dyDescent="0.2">
      <c r="A5604" s="1" t="s">
        <v>1276</v>
      </c>
      <c r="B5604" s="1" t="s">
        <v>1147</v>
      </c>
      <c r="C5604" s="5">
        <f>DATE(2024, 8, 22) + TIME(13, 16, 20)</f>
        <v>45526.55300925926</v>
      </c>
      <c r="D5604" s="1" t="s">
        <v>5</v>
      </c>
      <c r="E5604" s="1" t="s">
        <v>840</v>
      </c>
    </row>
    <row r="5605" spans="1:5" x14ac:dyDescent="0.2">
      <c r="A5605" s="1" t="s">
        <v>1276</v>
      </c>
      <c r="B5605" s="1" t="s">
        <v>664</v>
      </c>
      <c r="C5605" s="5">
        <f>DATE(2024, 8, 22) + TIME(13, 4, 32)</f>
        <v>45526.544814814813</v>
      </c>
      <c r="D5605" s="1" t="s">
        <v>396</v>
      </c>
      <c r="E5605" s="1" t="s">
        <v>140</v>
      </c>
    </row>
    <row r="5606" spans="1:5" x14ac:dyDescent="0.2">
      <c r="A5606" s="1" t="s">
        <v>1276</v>
      </c>
      <c r="B5606" s="1" t="s">
        <v>730</v>
      </c>
      <c r="C5606" s="5">
        <f>DATE(2024, 8, 22) + TIME(12, 47, 21)</f>
        <v>45526.532881944448</v>
      </c>
      <c r="D5606" s="1" t="s">
        <v>255</v>
      </c>
      <c r="E5606" s="1" t="s">
        <v>867</v>
      </c>
    </row>
    <row r="5607" spans="1:5" x14ac:dyDescent="0.2">
      <c r="A5607" s="1" t="s">
        <v>1276</v>
      </c>
      <c r="B5607" s="1" t="s">
        <v>310</v>
      </c>
      <c r="C5607" s="5">
        <f>DATE(2024, 8, 22) + TIME(12, 47, 20)</f>
        <v>45526.532870370371</v>
      </c>
      <c r="D5607" s="1" t="s">
        <v>255</v>
      </c>
      <c r="E5607" s="1" t="s">
        <v>867</v>
      </c>
    </row>
    <row r="5608" spans="1:5" x14ac:dyDescent="0.2">
      <c r="A5608" s="1" t="s">
        <v>1276</v>
      </c>
      <c r="B5608" s="1" t="s">
        <v>334</v>
      </c>
      <c r="C5608" s="5">
        <f>DATE(2024, 8, 22) + TIME(12, 47, 20)</f>
        <v>45526.532870370371</v>
      </c>
      <c r="D5608" s="1" t="s">
        <v>255</v>
      </c>
      <c r="E5608" s="1" t="s">
        <v>867</v>
      </c>
    </row>
    <row r="5609" spans="1:5" x14ac:dyDescent="0.2">
      <c r="A5609" s="1" t="s">
        <v>1276</v>
      </c>
      <c r="B5609" s="1" t="s">
        <v>765</v>
      </c>
      <c r="C5609" s="5">
        <f>DATE(2024, 8, 22) + TIME(12, 47, 19)</f>
        <v>45526.532858796294</v>
      </c>
      <c r="D5609" s="1" t="s">
        <v>255</v>
      </c>
      <c r="E5609" s="1" t="s">
        <v>867</v>
      </c>
    </row>
    <row r="5610" spans="1:5" x14ac:dyDescent="0.2">
      <c r="A5610" s="1" t="s">
        <v>1276</v>
      </c>
      <c r="B5610" s="1" t="s">
        <v>436</v>
      </c>
      <c r="C5610" s="5">
        <f>DATE(2024, 8, 22) + TIME(12, 39, 56)</f>
        <v>45526.527731481481</v>
      </c>
      <c r="D5610" s="1" t="s">
        <v>638</v>
      </c>
      <c r="E5610" s="1" t="s">
        <v>147</v>
      </c>
    </row>
    <row r="5611" spans="1:5" x14ac:dyDescent="0.2">
      <c r="A5611" s="1" t="s">
        <v>1276</v>
      </c>
      <c r="B5611" s="1" t="s">
        <v>664</v>
      </c>
      <c r="C5611" s="5">
        <f>DATE(2024, 8, 22) + TIME(12, 36, 19)</f>
        <v>45526.525219907409</v>
      </c>
      <c r="D5611" s="1" t="s">
        <v>450</v>
      </c>
      <c r="E5611" s="1" t="s">
        <v>691</v>
      </c>
    </row>
    <row r="5612" spans="1:5" x14ac:dyDescent="0.2">
      <c r="A5612" s="1" t="s">
        <v>1276</v>
      </c>
      <c r="B5612" s="1" t="s">
        <v>664</v>
      </c>
      <c r="C5612" s="5">
        <f>DATE(2024, 8, 22) + TIME(11, 35, 45)</f>
        <v>45526.483159722222</v>
      </c>
      <c r="D5612" s="1" t="s">
        <v>3</v>
      </c>
      <c r="E5612" s="1" t="s">
        <v>211</v>
      </c>
    </row>
    <row r="5613" spans="1:5" x14ac:dyDescent="0.2">
      <c r="A5613" s="1" t="s">
        <v>1276</v>
      </c>
      <c r="B5613" s="1" t="s">
        <v>790</v>
      </c>
      <c r="C5613" s="5">
        <f>DATE(2024, 8, 22) + TIME(11, 17, 24)</f>
        <v>45526.470416666663</v>
      </c>
      <c r="D5613" s="1" t="s">
        <v>255</v>
      </c>
      <c r="E5613" s="1" t="s">
        <v>538</v>
      </c>
    </row>
    <row r="5614" spans="1:5" x14ac:dyDescent="0.2">
      <c r="A5614" s="1" t="s">
        <v>1276</v>
      </c>
      <c r="B5614" s="1" t="s">
        <v>197</v>
      </c>
      <c r="C5614" s="5">
        <f>DATE(2024, 8, 21) + TIME(16, 21, 3)</f>
        <v>45525.681284722225</v>
      </c>
      <c r="D5614" s="1" t="s">
        <v>255</v>
      </c>
      <c r="E5614" s="1" t="s">
        <v>158</v>
      </c>
    </row>
    <row r="5615" spans="1:5" x14ac:dyDescent="0.2">
      <c r="A5615" s="1" t="s">
        <v>1276</v>
      </c>
      <c r="B5615" s="1" t="s">
        <v>1152</v>
      </c>
      <c r="C5615" s="5">
        <f>DATE(2024, 8, 21) + TIME(14, 44, 4)</f>
        <v>45525.613935185182</v>
      </c>
      <c r="D5615" s="1" t="s">
        <v>566</v>
      </c>
      <c r="E5615" s="1" t="s">
        <v>888</v>
      </c>
    </row>
    <row r="5616" spans="1:5" x14ac:dyDescent="0.2">
      <c r="A5616" s="1" t="s">
        <v>1276</v>
      </c>
      <c r="B5616" s="1" t="s">
        <v>959</v>
      </c>
      <c r="C5616" s="5">
        <f>DATE(2024, 8, 21) + TIME(14, 44, 4)</f>
        <v>45525.613935185182</v>
      </c>
      <c r="D5616" s="1" t="s">
        <v>566</v>
      </c>
      <c r="E5616" s="1" t="s">
        <v>888</v>
      </c>
    </row>
    <row r="5617" spans="1:5" x14ac:dyDescent="0.2">
      <c r="A5617" s="1" t="s">
        <v>1276</v>
      </c>
      <c r="B5617" s="1" t="s">
        <v>664</v>
      </c>
      <c r="C5617" s="5">
        <f>DATE(2024, 8, 21) + TIME(14, 27, 15)</f>
        <v>45525.602256944447</v>
      </c>
      <c r="D5617" s="1" t="s">
        <v>269</v>
      </c>
      <c r="E5617" s="1" t="s">
        <v>110</v>
      </c>
    </row>
    <row r="5618" spans="1:5" x14ac:dyDescent="0.2">
      <c r="A5618" s="1" t="s">
        <v>1276</v>
      </c>
      <c r="B5618" s="1" t="s">
        <v>664</v>
      </c>
      <c r="C5618" s="5">
        <f>DATE(2024, 8, 21) + TIME(13, 55, 51)</f>
        <v>45525.580451388887</v>
      </c>
      <c r="D5618" s="1" t="s">
        <v>320</v>
      </c>
      <c r="E5618" s="1" t="s">
        <v>872</v>
      </c>
    </row>
    <row r="5619" spans="1:5" x14ac:dyDescent="0.2">
      <c r="A5619" s="1" t="s">
        <v>1276</v>
      </c>
      <c r="B5619" s="1" t="s">
        <v>228</v>
      </c>
      <c r="C5619" s="5">
        <f>DATE(2024, 8, 21) + TIME(13, 5, 37)</f>
        <v>45525.545567129629</v>
      </c>
      <c r="D5619" s="1" t="s">
        <v>255</v>
      </c>
      <c r="E5619" s="1" t="s">
        <v>702</v>
      </c>
    </row>
    <row r="5620" spans="1:5" x14ac:dyDescent="0.2">
      <c r="A5620" s="1" t="s">
        <v>1276</v>
      </c>
      <c r="B5620" s="1" t="s">
        <v>235</v>
      </c>
      <c r="C5620" s="5">
        <f>DATE(2024, 8, 21) + TIME(12, 46, 19)</f>
        <v>45525.532164351855</v>
      </c>
      <c r="D5620" s="1" t="s">
        <v>64</v>
      </c>
      <c r="E5620" s="1" t="s">
        <v>11</v>
      </c>
    </row>
    <row r="5621" spans="1:5" x14ac:dyDescent="0.2">
      <c r="A5621" s="1" t="s">
        <v>1276</v>
      </c>
      <c r="B5621" s="1" t="s">
        <v>109</v>
      </c>
      <c r="C5621" s="5">
        <f>DATE(2024, 8, 21) + TIME(12, 31, 32)</f>
        <v>45525.521898148145</v>
      </c>
      <c r="D5621" s="1" t="s">
        <v>64</v>
      </c>
      <c r="E5621" s="1" t="s">
        <v>873</v>
      </c>
    </row>
    <row r="5622" spans="1:5" x14ac:dyDescent="0.2">
      <c r="A5622" s="1" t="s">
        <v>1276</v>
      </c>
      <c r="B5622" s="1" t="s">
        <v>323</v>
      </c>
      <c r="C5622" s="5">
        <f>DATE(2024, 8, 21) + TIME(12, 31, 32)</f>
        <v>45525.521898148145</v>
      </c>
      <c r="D5622" s="1" t="s">
        <v>64</v>
      </c>
      <c r="E5622" s="1" t="s">
        <v>873</v>
      </c>
    </row>
    <row r="5623" spans="1:5" x14ac:dyDescent="0.2">
      <c r="A5623" s="1" t="s">
        <v>1276</v>
      </c>
      <c r="B5623" s="1" t="s">
        <v>1211</v>
      </c>
      <c r="C5623" s="5">
        <f>DATE(2024, 8, 21) + TIME(12, 31, 31)</f>
        <v>45525.521886574075</v>
      </c>
      <c r="D5623" s="1" t="s">
        <v>64</v>
      </c>
      <c r="E5623" s="1" t="s">
        <v>873</v>
      </c>
    </row>
    <row r="5624" spans="1:5" x14ac:dyDescent="0.2">
      <c r="A5624" s="1" t="s">
        <v>1276</v>
      </c>
      <c r="B5624" s="1" t="s">
        <v>310</v>
      </c>
      <c r="C5624" s="5">
        <f>DATE(2024, 8, 21) + TIME(11, 35, 22)</f>
        <v>45525.482893518521</v>
      </c>
      <c r="D5624" s="1" t="s">
        <v>216</v>
      </c>
      <c r="E5624" s="1" t="s">
        <v>321</v>
      </c>
    </row>
    <row r="5625" spans="1:5" x14ac:dyDescent="0.2">
      <c r="A5625" s="1" t="s">
        <v>1276</v>
      </c>
      <c r="B5625" s="1" t="s">
        <v>959</v>
      </c>
      <c r="C5625" s="5">
        <f>DATE(2024, 8, 21) + TIME(11, 33, 43)</f>
        <v>45525.481747685182</v>
      </c>
      <c r="D5625" s="1" t="s">
        <v>216</v>
      </c>
      <c r="E5625" s="1" t="s">
        <v>321</v>
      </c>
    </row>
    <row r="5626" spans="1:5" x14ac:dyDescent="0.2">
      <c r="A5626" s="1" t="s">
        <v>1276</v>
      </c>
      <c r="B5626" s="1" t="s">
        <v>305</v>
      </c>
      <c r="C5626" s="5">
        <f>DATE(2024, 8, 21) + TIME(11, 33, 43)</f>
        <v>45525.481747685182</v>
      </c>
      <c r="D5626" s="1" t="s">
        <v>216</v>
      </c>
      <c r="E5626" s="1" t="s">
        <v>321</v>
      </c>
    </row>
    <row r="5627" spans="1:5" x14ac:dyDescent="0.2">
      <c r="A5627" s="1" t="s">
        <v>1276</v>
      </c>
      <c r="B5627" s="1" t="s">
        <v>1164</v>
      </c>
      <c r="C5627" s="5">
        <f>DATE(2024, 8, 21) + TIME(8, 6, 34)</f>
        <v>45525.337893518517</v>
      </c>
      <c r="D5627" s="1" t="s">
        <v>459</v>
      </c>
      <c r="E5627" s="1" t="s">
        <v>836</v>
      </c>
    </row>
    <row r="5628" spans="1:5" x14ac:dyDescent="0.2">
      <c r="A5628" s="1" t="s">
        <v>1276</v>
      </c>
      <c r="B5628" s="1" t="s">
        <v>1213</v>
      </c>
      <c r="C5628" s="5">
        <f>DATE(2024, 8, 21) + TIME(6, 30, 8)</f>
        <v>45525.270925925928</v>
      </c>
      <c r="D5628" s="1" t="s">
        <v>216</v>
      </c>
      <c r="E5628" s="1" t="s">
        <v>519</v>
      </c>
    </row>
    <row r="5629" spans="1:5" x14ac:dyDescent="0.2">
      <c r="A5629" s="1" t="s">
        <v>1276</v>
      </c>
      <c r="B5629" s="1" t="s">
        <v>790</v>
      </c>
      <c r="C5629" s="5">
        <f>DATE(2024, 8, 20) + TIME(16, 12, 39)</f>
        <v>45524.675451388888</v>
      </c>
      <c r="D5629" s="1" t="s">
        <v>320</v>
      </c>
      <c r="E5629" s="1" t="s">
        <v>406</v>
      </c>
    </row>
    <row r="5630" spans="1:5" x14ac:dyDescent="0.2">
      <c r="A5630" s="1" t="s">
        <v>1276</v>
      </c>
      <c r="B5630" s="1" t="s">
        <v>1208</v>
      </c>
      <c r="C5630" s="5">
        <f>DATE(2024, 8, 20) + TIME(16, 12, 39)</f>
        <v>45524.675451388888</v>
      </c>
      <c r="D5630" s="1" t="s">
        <v>320</v>
      </c>
      <c r="E5630" s="1" t="s">
        <v>406</v>
      </c>
    </row>
    <row r="5631" spans="1:5" x14ac:dyDescent="0.2">
      <c r="A5631" s="1" t="s">
        <v>1276</v>
      </c>
      <c r="B5631" s="1" t="s">
        <v>191</v>
      </c>
      <c r="C5631" s="5">
        <f>DATE(2024, 8, 20) + TIME(16, 12, 38)</f>
        <v>45524.675439814811</v>
      </c>
      <c r="D5631" s="1" t="s">
        <v>320</v>
      </c>
      <c r="E5631" s="1" t="s">
        <v>406</v>
      </c>
    </row>
    <row r="5632" spans="1:5" x14ac:dyDescent="0.2">
      <c r="A5632" s="1" t="s">
        <v>1276</v>
      </c>
      <c r="B5632" s="1" t="s">
        <v>1024</v>
      </c>
      <c r="C5632" s="5">
        <f>DATE(2024, 8, 20) + TIME(16, 7, 5)</f>
        <v>45524.671585648146</v>
      </c>
      <c r="D5632" s="1" t="s">
        <v>216</v>
      </c>
      <c r="E5632" s="1" t="s">
        <v>101</v>
      </c>
    </row>
    <row r="5633" spans="1:5" x14ac:dyDescent="0.2">
      <c r="A5633" s="1" t="s">
        <v>1276</v>
      </c>
      <c r="B5633" s="1" t="s">
        <v>932</v>
      </c>
      <c r="C5633" s="5">
        <f>DATE(2024, 8, 20) + TIME(16, 7, 5)</f>
        <v>45524.671585648146</v>
      </c>
      <c r="D5633" s="1" t="s">
        <v>216</v>
      </c>
      <c r="E5633" s="1" t="s">
        <v>101</v>
      </c>
    </row>
    <row r="5634" spans="1:5" x14ac:dyDescent="0.2">
      <c r="A5634" s="1" t="s">
        <v>1276</v>
      </c>
      <c r="B5634" s="1" t="s">
        <v>664</v>
      </c>
      <c r="C5634" s="5">
        <f>DATE(2024, 8, 20) + TIME(15, 57, 15)</f>
        <v>45524.664756944447</v>
      </c>
      <c r="D5634" s="1" t="s">
        <v>576</v>
      </c>
      <c r="E5634" s="1" t="s">
        <v>880</v>
      </c>
    </row>
    <row r="5635" spans="1:5" x14ac:dyDescent="0.2">
      <c r="A5635" s="1" t="s">
        <v>1276</v>
      </c>
      <c r="B5635" s="1" t="s">
        <v>436</v>
      </c>
      <c r="C5635" s="5">
        <f>DATE(2024, 8, 20) + TIME(15, 57, 14)</f>
        <v>45524.66474537037</v>
      </c>
      <c r="D5635" s="1" t="s">
        <v>576</v>
      </c>
      <c r="E5635" s="1" t="s">
        <v>832</v>
      </c>
    </row>
    <row r="5636" spans="1:5" x14ac:dyDescent="0.2">
      <c r="A5636" s="1" t="s">
        <v>1276</v>
      </c>
      <c r="B5636" s="1" t="s">
        <v>730</v>
      </c>
      <c r="C5636" s="5">
        <f>DATE(2024, 8, 20) + TIME(14, 48, 30)</f>
        <v>45524.617013888892</v>
      </c>
      <c r="D5636" s="1" t="s">
        <v>731</v>
      </c>
      <c r="E5636" s="1" t="s">
        <v>761</v>
      </c>
    </row>
    <row r="5637" spans="1:5" x14ac:dyDescent="0.2">
      <c r="A5637" s="1" t="s">
        <v>1276</v>
      </c>
      <c r="B5637" s="1" t="s">
        <v>790</v>
      </c>
      <c r="C5637" s="5">
        <f>DATE(2024, 8, 20) + TIME(14, 10, 10)</f>
        <v>45524.59039351852</v>
      </c>
      <c r="D5637" s="1" t="s">
        <v>148</v>
      </c>
      <c r="E5637" s="1" t="s">
        <v>877</v>
      </c>
    </row>
    <row r="5638" spans="1:5" x14ac:dyDescent="0.2">
      <c r="A5638" s="1" t="s">
        <v>1276</v>
      </c>
      <c r="B5638" s="1" t="s">
        <v>664</v>
      </c>
      <c r="C5638" s="5">
        <f>DATE(2024, 8, 20) + TIME(14, 9, 3)</f>
        <v>45524.589618055557</v>
      </c>
      <c r="D5638" s="1" t="s">
        <v>148</v>
      </c>
      <c r="E5638" s="1" t="s">
        <v>471</v>
      </c>
    </row>
    <row r="5639" spans="1:5" x14ac:dyDescent="0.2">
      <c r="A5639" s="1" t="s">
        <v>1276</v>
      </c>
      <c r="B5639" s="1" t="s">
        <v>580</v>
      </c>
      <c r="C5639" s="5">
        <f>DATE(2024, 8, 20) + TIME(7, 32, 51)</f>
        <v>45524.314479166664</v>
      </c>
      <c r="D5639" s="1" t="s">
        <v>640</v>
      </c>
      <c r="E5639" s="1" t="s">
        <v>195</v>
      </c>
    </row>
    <row r="5640" spans="1:5" x14ac:dyDescent="0.2">
      <c r="A5640" s="1" t="s">
        <v>1276</v>
      </c>
      <c r="B5640" s="1" t="s">
        <v>688</v>
      </c>
      <c r="C5640" s="5">
        <f>DATE(2024, 8, 20) + TIME(7, 32, 51)</f>
        <v>45524.314479166664</v>
      </c>
      <c r="D5640" s="1" t="s">
        <v>640</v>
      </c>
      <c r="E5640" s="1" t="s">
        <v>195</v>
      </c>
    </row>
    <row r="5641" spans="1:5" x14ac:dyDescent="0.2">
      <c r="A5641" s="1" t="s">
        <v>1276</v>
      </c>
      <c r="B5641" s="1" t="s">
        <v>664</v>
      </c>
      <c r="C5641" s="5">
        <f>DATE(2024, 8, 19) + TIME(15, 57, 28)</f>
        <v>45523.664907407408</v>
      </c>
      <c r="D5641" s="1" t="s">
        <v>255</v>
      </c>
      <c r="E5641" s="1" t="s">
        <v>697</v>
      </c>
    </row>
    <row r="5642" spans="1:5" x14ac:dyDescent="0.2">
      <c r="A5642" s="1" t="s">
        <v>1276</v>
      </c>
      <c r="B5642" s="1" t="s">
        <v>436</v>
      </c>
      <c r="C5642" s="5">
        <f>DATE(2024, 8, 19) + TIME(15, 57, 28)</f>
        <v>45523.664907407408</v>
      </c>
      <c r="D5642" s="1" t="s">
        <v>255</v>
      </c>
      <c r="E5642" s="1" t="s">
        <v>697</v>
      </c>
    </row>
    <row r="5643" spans="1:5" x14ac:dyDescent="0.2">
      <c r="A5643" s="1" t="s">
        <v>1276</v>
      </c>
      <c r="B5643" s="1" t="s">
        <v>790</v>
      </c>
      <c r="C5643" s="5">
        <f>DATE(2024, 8, 19) + TIME(15, 42, 25)</f>
        <v>45523.654456018521</v>
      </c>
      <c r="D5643" s="1" t="s">
        <v>64</v>
      </c>
      <c r="E5643" s="1" t="s">
        <v>727</v>
      </c>
    </row>
    <row r="5644" spans="1:5" x14ac:dyDescent="0.2">
      <c r="A5644" s="1" t="s">
        <v>1276</v>
      </c>
      <c r="B5644" s="1" t="s">
        <v>737</v>
      </c>
      <c r="C5644" s="5">
        <f>DATE(2024, 8, 19) + TIME(15, 28, 34)</f>
        <v>45523.644837962966</v>
      </c>
      <c r="D5644" s="1" t="s">
        <v>5</v>
      </c>
      <c r="E5644" s="1" t="s">
        <v>599</v>
      </c>
    </row>
    <row r="5645" spans="1:5" x14ac:dyDescent="0.2">
      <c r="A5645" s="1" t="s">
        <v>1276</v>
      </c>
      <c r="B5645" s="1" t="s">
        <v>354</v>
      </c>
      <c r="C5645" s="5">
        <f>DATE(2024, 8, 19) + TIME(15, 28, 33)</f>
        <v>45523.644826388889</v>
      </c>
      <c r="D5645" s="1" t="s">
        <v>5</v>
      </c>
      <c r="E5645" s="1" t="s">
        <v>599</v>
      </c>
    </row>
    <row r="5646" spans="1:5" x14ac:dyDescent="0.2">
      <c r="A5646" s="1" t="s">
        <v>1276</v>
      </c>
      <c r="B5646" s="1" t="s">
        <v>664</v>
      </c>
      <c r="C5646" s="5">
        <f>DATE(2024, 8, 19) + TIME(14, 37, 47)</f>
        <v>45523.609571759262</v>
      </c>
      <c r="D5646" s="1" t="s">
        <v>65</v>
      </c>
      <c r="E5646" s="1" t="s">
        <v>400</v>
      </c>
    </row>
    <row r="5647" spans="1:5" x14ac:dyDescent="0.2">
      <c r="A5647" s="1" t="s">
        <v>1276</v>
      </c>
      <c r="B5647" s="1" t="s">
        <v>1177</v>
      </c>
      <c r="C5647" s="5">
        <f>DATE(2024, 8, 19) + TIME(14, 30, 26)</f>
        <v>45523.604467592595</v>
      </c>
      <c r="D5647" s="1" t="s">
        <v>269</v>
      </c>
      <c r="E5647" s="1" t="s">
        <v>299</v>
      </c>
    </row>
    <row r="5648" spans="1:5" x14ac:dyDescent="0.2">
      <c r="A5648" s="1" t="s">
        <v>1276</v>
      </c>
      <c r="B5648" s="1" t="s">
        <v>790</v>
      </c>
      <c r="C5648" s="5">
        <f>DATE(2024, 8, 19) + TIME(14, 16, 56)</f>
        <v>45523.595092592594</v>
      </c>
      <c r="D5648" s="1" t="s">
        <v>64</v>
      </c>
      <c r="E5648" s="1" t="s">
        <v>630</v>
      </c>
    </row>
    <row r="5649" spans="1:5" x14ac:dyDescent="0.2">
      <c r="A5649" s="1" t="s">
        <v>1276</v>
      </c>
      <c r="B5649" s="1" t="s">
        <v>974</v>
      </c>
      <c r="C5649" s="5">
        <f>DATE(2024, 8, 19) + TIME(13, 39, 13)</f>
        <v>45523.56890046296</v>
      </c>
      <c r="D5649" s="1" t="s">
        <v>148</v>
      </c>
      <c r="E5649" s="1" t="s">
        <v>471</v>
      </c>
    </row>
    <row r="5650" spans="1:5" x14ac:dyDescent="0.2">
      <c r="A5650" s="1" t="s">
        <v>1276</v>
      </c>
      <c r="B5650" s="1" t="s">
        <v>664</v>
      </c>
      <c r="C5650" s="5">
        <f>DATE(2024, 8, 19) + TIME(11, 25, 24)</f>
        <v>45523.475972222222</v>
      </c>
      <c r="D5650" s="1" t="s">
        <v>566</v>
      </c>
      <c r="E5650" s="1" t="s">
        <v>938</v>
      </c>
    </row>
    <row r="5651" spans="1:5" x14ac:dyDescent="0.2">
      <c r="A5651" s="1" t="s">
        <v>1276</v>
      </c>
      <c r="B5651" s="1" t="s">
        <v>1124</v>
      </c>
      <c r="C5651" s="5">
        <f>DATE(2024, 8, 19) + TIME(10, 54, 20)</f>
        <v>45523.454398148147</v>
      </c>
      <c r="D5651" s="1" t="s">
        <v>754</v>
      </c>
      <c r="E5651" s="1" t="s">
        <v>941</v>
      </c>
    </row>
    <row r="5652" spans="1:5" x14ac:dyDescent="0.2">
      <c r="A5652" s="1" t="s">
        <v>1276</v>
      </c>
      <c r="B5652" s="1" t="s">
        <v>664</v>
      </c>
      <c r="C5652" s="5">
        <f>DATE(2024, 8, 19) + TIME(10, 50, 29)</f>
        <v>45523.451724537037</v>
      </c>
      <c r="D5652" s="1" t="s">
        <v>576</v>
      </c>
      <c r="E5652" s="1" t="s">
        <v>1214</v>
      </c>
    </row>
    <row r="5653" spans="1:5" x14ac:dyDescent="0.2">
      <c r="A5653" s="1" t="s">
        <v>1276</v>
      </c>
      <c r="B5653" s="1" t="s">
        <v>468</v>
      </c>
      <c r="C5653" s="5">
        <f>DATE(2024, 8, 19) + TIME(7, 54, 28)</f>
        <v>45523.32949074074</v>
      </c>
      <c r="D5653" s="1" t="s">
        <v>731</v>
      </c>
      <c r="E5653" s="1" t="s">
        <v>333</v>
      </c>
    </row>
    <row r="5654" spans="1:5" x14ac:dyDescent="0.2">
      <c r="A5654" s="1" t="s">
        <v>1276</v>
      </c>
      <c r="B5654" s="1" t="s">
        <v>228</v>
      </c>
      <c r="C5654" s="5">
        <f>DATE(2024, 8, 19) + TIME(7, 54, 28)</f>
        <v>45523.32949074074</v>
      </c>
      <c r="D5654" s="1" t="s">
        <v>731</v>
      </c>
      <c r="E5654" s="1" t="s">
        <v>333</v>
      </c>
    </row>
    <row r="5655" spans="1:5" x14ac:dyDescent="0.2">
      <c r="A5655" s="1" t="s">
        <v>1276</v>
      </c>
      <c r="B5655" s="1" t="s">
        <v>1215</v>
      </c>
      <c r="C5655" s="5">
        <f>DATE(2024, 8, 15) + TIME(16, 28, 36)</f>
        <v>45519.686527777776</v>
      </c>
      <c r="D5655" s="1" t="s">
        <v>467</v>
      </c>
      <c r="E5655" s="1" t="s">
        <v>324</v>
      </c>
    </row>
    <row r="5656" spans="1:5" x14ac:dyDescent="0.2">
      <c r="A5656" s="1" t="s">
        <v>1276</v>
      </c>
      <c r="B5656" s="1" t="s">
        <v>919</v>
      </c>
      <c r="C5656" s="5">
        <f>DATE(2024, 8, 15) + TIME(16, 28, 35)</f>
        <v>45519.686516203707</v>
      </c>
      <c r="D5656" s="1" t="s">
        <v>467</v>
      </c>
      <c r="E5656" s="1" t="s">
        <v>324</v>
      </c>
    </row>
    <row r="5657" spans="1:5" x14ac:dyDescent="0.2">
      <c r="A5657" s="1" t="s">
        <v>1276</v>
      </c>
      <c r="B5657" s="1" t="s">
        <v>436</v>
      </c>
      <c r="C5657" s="5">
        <f>DATE(2024, 8, 15) + TIME(15, 54, 4)</f>
        <v>45519.662546296298</v>
      </c>
      <c r="D5657" s="1" t="s">
        <v>5</v>
      </c>
      <c r="E5657" s="1" t="s">
        <v>641</v>
      </c>
    </row>
    <row r="5658" spans="1:5" x14ac:dyDescent="0.2">
      <c r="A5658" s="1" t="s">
        <v>1276</v>
      </c>
      <c r="B5658" s="1" t="s">
        <v>664</v>
      </c>
      <c r="C5658" s="5">
        <f>DATE(2024, 8, 15) + TIME(14, 57, 33)</f>
        <v>45519.623298611114</v>
      </c>
      <c r="D5658" s="1" t="s">
        <v>320</v>
      </c>
      <c r="E5658" s="1" t="s">
        <v>845</v>
      </c>
    </row>
    <row r="5659" spans="1:5" x14ac:dyDescent="0.2">
      <c r="A5659" s="1" t="s">
        <v>1276</v>
      </c>
      <c r="B5659" s="1" t="s">
        <v>790</v>
      </c>
      <c r="C5659" s="5">
        <f>DATE(2024, 8, 15) + TIME(14, 49, 26)</f>
        <v>45519.617662037039</v>
      </c>
      <c r="D5659" s="1" t="s">
        <v>148</v>
      </c>
      <c r="E5659" s="1" t="s">
        <v>480</v>
      </c>
    </row>
    <row r="5660" spans="1:5" x14ac:dyDescent="0.2">
      <c r="A5660" s="1" t="s">
        <v>1276</v>
      </c>
      <c r="B5660" s="1" t="s">
        <v>1208</v>
      </c>
      <c r="C5660" s="5">
        <f>DATE(2024, 8, 15) + TIME(13, 20, 34)</f>
        <v>45519.555949074071</v>
      </c>
      <c r="D5660" s="1" t="s">
        <v>754</v>
      </c>
      <c r="E5660" s="1" t="s">
        <v>441</v>
      </c>
    </row>
    <row r="5661" spans="1:5" x14ac:dyDescent="0.2">
      <c r="A5661" s="1" t="s">
        <v>1276</v>
      </c>
      <c r="B5661" s="1" t="s">
        <v>664</v>
      </c>
      <c r="C5661" s="5">
        <f>DATE(2024, 8, 15) + TIME(11, 48, 6)</f>
        <v>45519.491736111115</v>
      </c>
      <c r="D5661" s="1" t="s">
        <v>640</v>
      </c>
      <c r="E5661" s="1" t="s">
        <v>283</v>
      </c>
    </row>
    <row r="5662" spans="1:5" x14ac:dyDescent="0.2">
      <c r="A5662" s="1" t="s">
        <v>1276</v>
      </c>
      <c r="B5662" s="1" t="s">
        <v>69</v>
      </c>
      <c r="C5662" s="5">
        <f>DATE(2024, 8, 15) + TIME(11, 48, 6)</f>
        <v>45519.491736111115</v>
      </c>
      <c r="D5662" s="1" t="s">
        <v>640</v>
      </c>
      <c r="E5662" s="1" t="s">
        <v>283</v>
      </c>
    </row>
    <row r="5663" spans="1:5" x14ac:dyDescent="0.2">
      <c r="A5663" s="1" t="s">
        <v>1276</v>
      </c>
      <c r="B5663" s="1" t="s">
        <v>782</v>
      </c>
      <c r="C5663" s="5">
        <f>DATE(2024, 8, 15) + TIME(10, 42, 53)</f>
        <v>45519.446446759262</v>
      </c>
      <c r="D5663" s="1" t="s">
        <v>754</v>
      </c>
      <c r="E5663" s="1" t="s">
        <v>135</v>
      </c>
    </row>
    <row r="5664" spans="1:5" x14ac:dyDescent="0.2">
      <c r="A5664" s="1" t="s">
        <v>1276</v>
      </c>
      <c r="B5664" s="1" t="s">
        <v>1213</v>
      </c>
      <c r="C5664" s="5">
        <f>DATE(2024, 8, 15) + TIME(10, 39, 11)</f>
        <v>45519.443877314814</v>
      </c>
      <c r="D5664" s="1" t="s">
        <v>216</v>
      </c>
      <c r="E5664" s="1" t="s">
        <v>519</v>
      </c>
    </row>
    <row r="5665" spans="1:5" x14ac:dyDescent="0.2">
      <c r="A5665" s="1" t="s">
        <v>1276</v>
      </c>
      <c r="B5665" s="1" t="s">
        <v>271</v>
      </c>
      <c r="C5665" s="5">
        <f>DATE(2024, 8, 15) + TIME(10, 22, 17)</f>
        <v>45519.432141203702</v>
      </c>
      <c r="D5665" s="1" t="s">
        <v>871</v>
      </c>
      <c r="E5665" s="1" t="s">
        <v>340</v>
      </c>
    </row>
    <row r="5666" spans="1:5" x14ac:dyDescent="0.2">
      <c r="A5666" s="1" t="s">
        <v>1276</v>
      </c>
      <c r="B5666" s="1" t="s">
        <v>436</v>
      </c>
      <c r="C5666" s="5">
        <f>DATE(2024, 8, 14) + TIME(14, 37, 51)</f>
        <v>45518.609618055554</v>
      </c>
      <c r="D5666" s="1" t="s">
        <v>506</v>
      </c>
      <c r="E5666" s="1" t="s">
        <v>370</v>
      </c>
    </row>
    <row r="5667" spans="1:5" x14ac:dyDescent="0.2">
      <c r="A5667" s="1" t="s">
        <v>1276</v>
      </c>
      <c r="B5667" s="1" t="s">
        <v>664</v>
      </c>
      <c r="C5667" s="5">
        <f>DATE(2024, 8, 14) + TIME(14, 33, 10)</f>
        <v>45518.606365740743</v>
      </c>
      <c r="D5667" s="1" t="s">
        <v>5</v>
      </c>
      <c r="E5667" s="1" t="s">
        <v>1011</v>
      </c>
    </row>
    <row r="5668" spans="1:5" x14ac:dyDescent="0.2">
      <c r="A5668" s="1" t="s">
        <v>1276</v>
      </c>
      <c r="B5668" s="1" t="s">
        <v>577</v>
      </c>
      <c r="C5668" s="5">
        <f>DATE(2024, 8, 14) + TIME(13, 39, 13)</f>
        <v>45518.56890046296</v>
      </c>
      <c r="D5668" s="1" t="s">
        <v>3</v>
      </c>
      <c r="E5668" s="1" t="s">
        <v>684</v>
      </c>
    </row>
    <row r="5669" spans="1:5" x14ac:dyDescent="0.2">
      <c r="A5669" s="1" t="s">
        <v>1276</v>
      </c>
      <c r="B5669" s="1" t="s">
        <v>1070</v>
      </c>
      <c r="C5669" s="5">
        <f>DATE(2024, 8, 14) + TIME(12, 37, 49)</f>
        <v>45518.526261574072</v>
      </c>
      <c r="D5669" s="1" t="s">
        <v>65</v>
      </c>
      <c r="E5669" s="1" t="s">
        <v>918</v>
      </c>
    </row>
    <row r="5670" spans="1:5" x14ac:dyDescent="0.2">
      <c r="A5670" s="1" t="s">
        <v>1276</v>
      </c>
      <c r="B5670" s="1" t="s">
        <v>1070</v>
      </c>
      <c r="C5670" s="5">
        <f>DATE(2024, 8, 14) + TIME(12, 22, 6)</f>
        <v>45518.515347222223</v>
      </c>
      <c r="D5670" s="1" t="s">
        <v>65</v>
      </c>
      <c r="E5670" s="1" t="s">
        <v>918</v>
      </c>
    </row>
    <row r="5671" spans="1:5" x14ac:dyDescent="0.2">
      <c r="A5671" s="1" t="s">
        <v>1276</v>
      </c>
      <c r="B5671" s="1" t="s">
        <v>959</v>
      </c>
      <c r="C5671" s="5">
        <f>DATE(2024, 8, 14) + TIME(12, 8, 13)</f>
        <v>45518.505706018521</v>
      </c>
      <c r="D5671" s="1" t="s">
        <v>216</v>
      </c>
      <c r="E5671" s="1" t="s">
        <v>321</v>
      </c>
    </row>
    <row r="5672" spans="1:5" x14ac:dyDescent="0.2">
      <c r="A5672" s="1" t="s">
        <v>1276</v>
      </c>
      <c r="B5672" s="1" t="s">
        <v>310</v>
      </c>
      <c r="C5672" s="5">
        <f>DATE(2024, 8, 14) + TIME(12, 8, 13)</f>
        <v>45518.505706018521</v>
      </c>
      <c r="D5672" s="1" t="s">
        <v>216</v>
      </c>
      <c r="E5672" s="1" t="s">
        <v>321</v>
      </c>
    </row>
    <row r="5673" spans="1:5" x14ac:dyDescent="0.2">
      <c r="A5673" s="1" t="s">
        <v>1276</v>
      </c>
      <c r="B5673" s="1" t="s">
        <v>354</v>
      </c>
      <c r="C5673" s="5">
        <f>DATE(2024, 8, 14) + TIME(12, 8, 12)</f>
        <v>45518.505694444444</v>
      </c>
      <c r="D5673" s="1" t="s">
        <v>216</v>
      </c>
      <c r="E5673" s="1" t="s">
        <v>321</v>
      </c>
    </row>
    <row r="5674" spans="1:5" x14ac:dyDescent="0.2">
      <c r="A5674" s="1" t="s">
        <v>1276</v>
      </c>
      <c r="B5674" s="1" t="s">
        <v>730</v>
      </c>
      <c r="C5674" s="5">
        <f>DATE(2024, 8, 14) + TIME(12, 2, 10)</f>
        <v>45518.501504629632</v>
      </c>
      <c r="D5674" s="1" t="s">
        <v>467</v>
      </c>
      <c r="E5674" s="1" t="s">
        <v>888</v>
      </c>
    </row>
    <row r="5675" spans="1:5" x14ac:dyDescent="0.2">
      <c r="A5675" s="1" t="s">
        <v>1276</v>
      </c>
      <c r="B5675" s="1" t="s">
        <v>959</v>
      </c>
      <c r="C5675" s="5">
        <f>DATE(2024, 8, 13) + TIME(16, 17, 10)</f>
        <v>45517.678587962961</v>
      </c>
      <c r="D5675" s="1" t="s">
        <v>64</v>
      </c>
      <c r="E5675" s="1" t="s">
        <v>1218</v>
      </c>
    </row>
    <row r="5676" spans="1:5" ht="16" x14ac:dyDescent="0.2">
      <c r="A5676" s="1" t="s">
        <v>1276</v>
      </c>
      <c r="B5676" s="1" t="s">
        <v>577</v>
      </c>
      <c r="C5676" s="5">
        <f>DATE(2024, 8, 13) + TIME(15, 31, 23)</f>
        <v>45517.646793981483</v>
      </c>
      <c r="D5676" s="1" t="s">
        <v>754</v>
      </c>
      <c r="E5676" s="2" t="s">
        <v>87</v>
      </c>
    </row>
    <row r="5677" spans="1:5" x14ac:dyDescent="0.2">
      <c r="A5677" s="1" t="s">
        <v>1276</v>
      </c>
      <c r="B5677" s="1" t="s">
        <v>664</v>
      </c>
      <c r="C5677" s="5">
        <f>DATE(2024, 8, 13) + TIME(14, 42, 48)</f>
        <v>45517.613055555557</v>
      </c>
      <c r="D5677" s="1" t="s">
        <v>396</v>
      </c>
      <c r="E5677" s="1" t="s">
        <v>76</v>
      </c>
    </row>
    <row r="5678" spans="1:5" x14ac:dyDescent="0.2">
      <c r="A5678" s="1" t="s">
        <v>1276</v>
      </c>
      <c r="B5678" s="1" t="s">
        <v>436</v>
      </c>
      <c r="C5678" s="5">
        <f>DATE(2024, 8, 13) + TIME(14, 42, 47)</f>
        <v>45517.613043981481</v>
      </c>
      <c r="D5678" s="1" t="s">
        <v>396</v>
      </c>
      <c r="E5678" s="1" t="s">
        <v>76</v>
      </c>
    </row>
    <row r="5679" spans="1:5" x14ac:dyDescent="0.2">
      <c r="A5679" s="1" t="s">
        <v>1276</v>
      </c>
      <c r="B5679" s="1" t="s">
        <v>664</v>
      </c>
      <c r="C5679" s="5">
        <f>DATE(2024, 8, 13) + TIME(12, 37, 22)</f>
        <v>45517.525949074072</v>
      </c>
      <c r="D5679" s="1" t="s">
        <v>3</v>
      </c>
      <c r="E5679" s="1" t="s">
        <v>925</v>
      </c>
    </row>
    <row r="5680" spans="1:5" x14ac:dyDescent="0.2">
      <c r="A5680" s="1" t="s">
        <v>1276</v>
      </c>
      <c r="B5680" s="1" t="s">
        <v>436</v>
      </c>
      <c r="C5680" s="5">
        <f>DATE(2024, 8, 13) + TIME(12, 30, 30)</f>
        <v>45517.521180555559</v>
      </c>
      <c r="D5680" s="1" t="s">
        <v>871</v>
      </c>
      <c r="E5680" s="1" t="s">
        <v>107</v>
      </c>
    </row>
    <row r="5681" spans="1:5" x14ac:dyDescent="0.2">
      <c r="A5681" s="1" t="s">
        <v>1276</v>
      </c>
      <c r="B5681" s="1" t="s">
        <v>664</v>
      </c>
      <c r="C5681" s="5">
        <f>DATE(2024, 8, 13) + TIME(12, 29, 18)</f>
        <v>45517.52034722222</v>
      </c>
      <c r="D5681" s="1" t="s">
        <v>341</v>
      </c>
      <c r="E5681" s="1" t="s">
        <v>535</v>
      </c>
    </row>
    <row r="5682" spans="1:5" x14ac:dyDescent="0.2">
      <c r="A5682" s="1" t="s">
        <v>1276</v>
      </c>
      <c r="B5682" s="1" t="s">
        <v>305</v>
      </c>
      <c r="C5682" s="5">
        <f>DATE(2024, 8, 13) + TIME(10, 0, 22)</f>
        <v>45517.416921296295</v>
      </c>
      <c r="D5682" s="1" t="s">
        <v>731</v>
      </c>
      <c r="E5682" s="1" t="s">
        <v>19</v>
      </c>
    </row>
    <row r="5683" spans="1:5" x14ac:dyDescent="0.2">
      <c r="A5683" s="1" t="s">
        <v>1276</v>
      </c>
      <c r="B5683" s="1" t="s">
        <v>790</v>
      </c>
      <c r="C5683" s="5">
        <f>DATE(2024, 8, 13) + TIME(9, 53, 24)</f>
        <v>45517.412083333336</v>
      </c>
      <c r="D5683" s="1" t="s">
        <v>396</v>
      </c>
      <c r="E5683" s="1" t="s">
        <v>276</v>
      </c>
    </row>
    <row r="5684" spans="1:5" x14ac:dyDescent="0.2">
      <c r="A5684" s="1" t="s">
        <v>1276</v>
      </c>
      <c r="B5684" s="1" t="s">
        <v>688</v>
      </c>
      <c r="C5684" s="5">
        <f>DATE(2024, 8, 12) + TIME(17, 2, 52)</f>
        <v>45516.710324074076</v>
      </c>
      <c r="D5684" s="1" t="s">
        <v>65</v>
      </c>
      <c r="E5684" s="1" t="s">
        <v>400</v>
      </c>
    </row>
    <row r="5685" spans="1:5" x14ac:dyDescent="0.2">
      <c r="A5685" s="1" t="s">
        <v>1276</v>
      </c>
      <c r="B5685" s="1" t="s">
        <v>664</v>
      </c>
      <c r="C5685" s="5">
        <f>DATE(2024, 8, 12) + TIME(14, 27, 35)</f>
        <v>45516.602488425924</v>
      </c>
      <c r="D5685" s="1" t="s">
        <v>356</v>
      </c>
      <c r="E5685" s="1" t="s">
        <v>935</v>
      </c>
    </row>
    <row r="5686" spans="1:5" x14ac:dyDescent="0.2">
      <c r="A5686" s="1" t="s">
        <v>1276</v>
      </c>
      <c r="B5686" s="1" t="s">
        <v>489</v>
      </c>
      <c r="C5686" s="5">
        <f>DATE(2024, 8, 12) + TIME(14, 4, 4)</f>
        <v>45516.586157407408</v>
      </c>
      <c r="D5686" s="1" t="s">
        <v>396</v>
      </c>
      <c r="E5686" s="1" t="s">
        <v>567</v>
      </c>
    </row>
    <row r="5687" spans="1:5" x14ac:dyDescent="0.2">
      <c r="A5687" s="1" t="s">
        <v>1276</v>
      </c>
      <c r="B5687" s="1" t="s">
        <v>580</v>
      </c>
      <c r="C5687" s="5">
        <f>DATE(2024, 8, 12) + TIME(12, 44, 4)</f>
        <v>45516.530601851853</v>
      </c>
      <c r="D5687" s="1" t="s">
        <v>126</v>
      </c>
      <c r="E5687" s="1" t="s">
        <v>380</v>
      </c>
    </row>
    <row r="5688" spans="1:5" x14ac:dyDescent="0.2">
      <c r="A5688" s="1" t="s">
        <v>1276</v>
      </c>
      <c r="B5688" s="1" t="s">
        <v>927</v>
      </c>
      <c r="C5688" s="5">
        <f>DATE(2024, 8, 12) + TIME(12, 42, 5)</f>
        <v>45516.529224537036</v>
      </c>
      <c r="D5688" s="1" t="s">
        <v>506</v>
      </c>
      <c r="E5688" s="1" t="s">
        <v>808</v>
      </c>
    </row>
    <row r="5689" spans="1:5" x14ac:dyDescent="0.2">
      <c r="A5689" s="1" t="s">
        <v>1276</v>
      </c>
      <c r="B5689" s="1" t="s">
        <v>524</v>
      </c>
      <c r="C5689" s="5">
        <f>DATE(2024, 8, 12) + TIME(12, 38, 6)</f>
        <v>45516.526458333334</v>
      </c>
      <c r="D5689" s="1" t="s">
        <v>269</v>
      </c>
      <c r="E5689" s="1" t="s">
        <v>299</v>
      </c>
    </row>
    <row r="5690" spans="1:5" x14ac:dyDescent="0.2">
      <c r="A5690" s="1" t="s">
        <v>1276</v>
      </c>
      <c r="B5690" s="1" t="s">
        <v>177</v>
      </c>
      <c r="C5690" s="5">
        <f>DATE(2024, 8, 12) + TIME(12, 38, 5)</f>
        <v>45516.526446759257</v>
      </c>
      <c r="D5690" s="1" t="s">
        <v>269</v>
      </c>
      <c r="E5690" s="1" t="s">
        <v>299</v>
      </c>
    </row>
    <row r="5691" spans="1:5" x14ac:dyDescent="0.2">
      <c r="A5691" s="1" t="s">
        <v>1276</v>
      </c>
      <c r="B5691" s="1" t="s">
        <v>63</v>
      </c>
      <c r="C5691" s="5">
        <f>DATE(2024, 8, 12) + TIME(12, 1, 47)</f>
        <v>45516.501238425924</v>
      </c>
      <c r="D5691" s="1" t="s">
        <v>869</v>
      </c>
      <c r="E5691" s="1" t="s">
        <v>180</v>
      </c>
    </row>
    <row r="5692" spans="1:5" x14ac:dyDescent="0.2">
      <c r="A5692" s="1" t="s">
        <v>1276</v>
      </c>
      <c r="B5692" s="1" t="s">
        <v>664</v>
      </c>
      <c r="C5692" s="5">
        <f>DATE(2024, 8, 12) + TIME(12, 1, 0)</f>
        <v>45516.500694444447</v>
      </c>
      <c r="D5692" s="1" t="s">
        <v>320</v>
      </c>
      <c r="E5692" s="1" t="s">
        <v>948</v>
      </c>
    </row>
    <row r="5693" spans="1:5" x14ac:dyDescent="0.2">
      <c r="A5693" s="1" t="s">
        <v>1276</v>
      </c>
      <c r="B5693" s="1" t="s">
        <v>664</v>
      </c>
      <c r="C5693" s="5">
        <f>DATE(2024, 8, 12) + TIME(11, 47, 51)</f>
        <v>45516.491562499999</v>
      </c>
      <c r="D5693" s="1" t="s">
        <v>341</v>
      </c>
      <c r="E5693" s="1" t="s">
        <v>188</v>
      </c>
    </row>
    <row r="5694" spans="1:5" x14ac:dyDescent="0.2">
      <c r="A5694" s="1" t="s">
        <v>1276</v>
      </c>
      <c r="B5694" s="1" t="s">
        <v>907</v>
      </c>
      <c r="C5694" s="5">
        <f>DATE(2024, 8, 12) + TIME(8, 29, 23)</f>
        <v>45516.353738425925</v>
      </c>
      <c r="D5694" s="1" t="s">
        <v>640</v>
      </c>
      <c r="E5694" s="1" t="s">
        <v>700</v>
      </c>
    </row>
    <row r="5695" spans="1:5" x14ac:dyDescent="0.2">
      <c r="A5695" s="1" t="s">
        <v>1276</v>
      </c>
      <c r="B5695" s="1" t="s">
        <v>817</v>
      </c>
      <c r="C5695" s="5">
        <f>DATE(2024, 8, 8) + TIME(15, 48, 12)</f>
        <v>45512.658472222225</v>
      </c>
      <c r="D5695" s="1" t="s">
        <v>1221</v>
      </c>
      <c r="E5695" s="1" t="s">
        <v>922</v>
      </c>
    </row>
    <row r="5696" spans="1:5" x14ac:dyDescent="0.2">
      <c r="A5696" s="1" t="s">
        <v>1276</v>
      </c>
      <c r="B5696" s="1" t="s">
        <v>1222</v>
      </c>
      <c r="C5696" s="5">
        <f>DATE(2024, 8, 8) + TIME(15, 39, 48)</f>
        <v>45512.652638888889</v>
      </c>
      <c r="D5696" s="1" t="s">
        <v>754</v>
      </c>
      <c r="E5696" s="1" t="s">
        <v>330</v>
      </c>
    </row>
    <row r="5697" spans="1:5" x14ac:dyDescent="0.2">
      <c r="A5697" s="1" t="s">
        <v>1276</v>
      </c>
      <c r="B5697" s="1" t="s">
        <v>271</v>
      </c>
      <c r="C5697" s="5">
        <f>DATE(2024, 8, 8) + TIME(15, 29, 6)</f>
        <v>45512.645208333335</v>
      </c>
      <c r="D5697" s="1" t="s">
        <v>320</v>
      </c>
      <c r="E5697" s="1" t="s">
        <v>767</v>
      </c>
    </row>
    <row r="5698" spans="1:5" x14ac:dyDescent="0.2">
      <c r="A5698" s="1" t="s">
        <v>1276</v>
      </c>
      <c r="B5698" s="1" t="s">
        <v>456</v>
      </c>
      <c r="C5698" s="5">
        <f>DATE(2024, 8, 8) + TIME(14, 30, 42)</f>
        <v>45512.60465277778</v>
      </c>
      <c r="D5698" s="1" t="s">
        <v>144</v>
      </c>
      <c r="E5698" s="1" t="s">
        <v>946</v>
      </c>
    </row>
    <row r="5699" spans="1:5" x14ac:dyDescent="0.2">
      <c r="A5699" s="1" t="s">
        <v>1276</v>
      </c>
      <c r="B5699" s="1" t="s">
        <v>163</v>
      </c>
      <c r="C5699" s="5">
        <f>DATE(2024, 8, 8) + TIME(13, 55, 53)</f>
        <v>45512.580474537041</v>
      </c>
      <c r="D5699" s="1" t="s">
        <v>566</v>
      </c>
      <c r="E5699" s="1" t="s">
        <v>829</v>
      </c>
    </row>
    <row r="5700" spans="1:5" x14ac:dyDescent="0.2">
      <c r="A5700" s="1" t="s">
        <v>1276</v>
      </c>
      <c r="B5700" s="1" t="s">
        <v>4</v>
      </c>
      <c r="C5700" s="5">
        <f>DATE(2024, 8, 8) + TIME(12, 41, 26)</f>
        <v>45512.528773148151</v>
      </c>
      <c r="D5700" s="1" t="s">
        <v>450</v>
      </c>
      <c r="E5700" s="1" t="s">
        <v>106</v>
      </c>
    </row>
    <row r="5701" spans="1:5" x14ac:dyDescent="0.2">
      <c r="A5701" s="1" t="s">
        <v>1276</v>
      </c>
      <c r="B5701" s="1" t="s">
        <v>1224</v>
      </c>
      <c r="C5701" s="5">
        <f>DATE(2024, 8, 7) + TIME(16, 11, 16)</f>
        <v>45511.674490740741</v>
      </c>
      <c r="D5701" s="1" t="s">
        <v>1221</v>
      </c>
      <c r="E5701" s="1" t="s">
        <v>888</v>
      </c>
    </row>
    <row r="5702" spans="1:5" x14ac:dyDescent="0.2">
      <c r="A5702" s="1" t="s">
        <v>1276</v>
      </c>
      <c r="B5702" s="1" t="s">
        <v>864</v>
      </c>
      <c r="C5702" s="5">
        <f>DATE(2024, 8, 7) + TIME(15, 31, 56)</f>
        <v>45511.647175925929</v>
      </c>
      <c r="D5702" s="1" t="s">
        <v>65</v>
      </c>
      <c r="E5702" s="1" t="s">
        <v>918</v>
      </c>
    </row>
    <row r="5703" spans="1:5" x14ac:dyDescent="0.2">
      <c r="A5703" s="1" t="s">
        <v>1276</v>
      </c>
      <c r="B5703" s="1" t="s">
        <v>48</v>
      </c>
      <c r="C5703" s="5">
        <f>DATE(2024, 8, 7) + TIME(15, 18, 31)</f>
        <v>45511.637858796297</v>
      </c>
      <c r="D5703" s="1" t="s">
        <v>64</v>
      </c>
      <c r="E5703" s="1" t="s">
        <v>1008</v>
      </c>
    </row>
    <row r="5704" spans="1:5" x14ac:dyDescent="0.2">
      <c r="A5704" s="1" t="s">
        <v>1276</v>
      </c>
      <c r="B5704" s="1" t="s">
        <v>163</v>
      </c>
      <c r="C5704" s="5">
        <f>DATE(2024, 8, 7) + TIME(15, 18, 30)</f>
        <v>45511.63784722222</v>
      </c>
      <c r="D5704" s="1" t="s">
        <v>64</v>
      </c>
      <c r="E5704" s="1" t="s">
        <v>1008</v>
      </c>
    </row>
    <row r="5705" spans="1:5" x14ac:dyDescent="0.2">
      <c r="A5705" s="1" t="s">
        <v>1276</v>
      </c>
      <c r="B5705" s="1" t="s">
        <v>456</v>
      </c>
      <c r="C5705" s="5">
        <f>DATE(2024, 8, 7) + TIME(14, 31, 28)</f>
        <v>45511.605185185188</v>
      </c>
      <c r="D5705" s="1" t="s">
        <v>126</v>
      </c>
      <c r="E5705" s="1" t="s">
        <v>249</v>
      </c>
    </row>
    <row r="5706" spans="1:5" x14ac:dyDescent="0.2">
      <c r="A5706" s="1" t="s">
        <v>1276</v>
      </c>
      <c r="B5706" s="1" t="s">
        <v>1124</v>
      </c>
      <c r="C5706" s="5">
        <f>DATE(2024, 8, 7) + TIME(13, 3, 28)</f>
        <v>45511.544074074074</v>
      </c>
      <c r="D5706" s="1" t="s">
        <v>754</v>
      </c>
      <c r="E5706" s="1" t="s">
        <v>363</v>
      </c>
    </row>
    <row r="5707" spans="1:5" x14ac:dyDescent="0.2">
      <c r="A5707" s="1" t="s">
        <v>1276</v>
      </c>
      <c r="B5707" s="1" t="s">
        <v>864</v>
      </c>
      <c r="C5707" s="5">
        <f>DATE(2024, 8, 7) + TIME(12, 8, 41)</f>
        <v>45511.506030092591</v>
      </c>
      <c r="D5707" s="1" t="s">
        <v>64</v>
      </c>
      <c r="E5707" s="1" t="s">
        <v>11</v>
      </c>
    </row>
    <row r="5708" spans="1:5" x14ac:dyDescent="0.2">
      <c r="A5708" s="1" t="s">
        <v>1276</v>
      </c>
      <c r="B5708" s="1" t="s">
        <v>790</v>
      </c>
      <c r="C5708" s="5">
        <f>DATE(2024, 8, 7) + TIME(12, 6, 33)</f>
        <v>45511.504548611112</v>
      </c>
      <c r="D5708" s="1" t="s">
        <v>216</v>
      </c>
      <c r="E5708" s="1" t="s">
        <v>321</v>
      </c>
    </row>
    <row r="5709" spans="1:5" x14ac:dyDescent="0.2">
      <c r="A5709" s="1" t="s">
        <v>1276</v>
      </c>
      <c r="B5709" s="1" t="s">
        <v>1094</v>
      </c>
      <c r="C5709" s="5">
        <f>DATE(2024, 8, 7) + TIME(12, 6, 33)</f>
        <v>45511.504548611112</v>
      </c>
      <c r="D5709" s="1" t="s">
        <v>216</v>
      </c>
      <c r="E5709" s="1" t="s">
        <v>321</v>
      </c>
    </row>
    <row r="5710" spans="1:5" x14ac:dyDescent="0.2">
      <c r="A5710" s="1" t="s">
        <v>1276</v>
      </c>
      <c r="B5710" s="1" t="s">
        <v>1225</v>
      </c>
      <c r="C5710" s="5">
        <f>DATE(2024, 8, 7) + TIME(12, 6, 32)</f>
        <v>45511.504537037035</v>
      </c>
      <c r="D5710" s="1" t="s">
        <v>216</v>
      </c>
      <c r="E5710" s="1" t="s">
        <v>321</v>
      </c>
    </row>
    <row r="5711" spans="1:5" x14ac:dyDescent="0.2">
      <c r="A5711" s="1" t="s">
        <v>1276</v>
      </c>
      <c r="B5711" s="1" t="s">
        <v>69</v>
      </c>
      <c r="C5711" s="5">
        <f>DATE(2024, 8, 7) + TIME(10, 38, 56)</f>
        <v>45511.443703703706</v>
      </c>
      <c r="D5711" s="1" t="s">
        <v>640</v>
      </c>
      <c r="E5711" s="1" t="s">
        <v>283</v>
      </c>
    </row>
    <row r="5712" spans="1:5" x14ac:dyDescent="0.2">
      <c r="A5712" s="1" t="s">
        <v>1276</v>
      </c>
      <c r="B5712" s="1" t="s">
        <v>885</v>
      </c>
      <c r="C5712" s="5">
        <f>DATE(2024, 8, 6) + TIME(16, 29, 34)</f>
        <v>45510.687199074076</v>
      </c>
      <c r="D5712" s="1" t="s">
        <v>216</v>
      </c>
      <c r="E5712" s="1" t="s">
        <v>101</v>
      </c>
    </row>
    <row r="5713" spans="1:5" x14ac:dyDescent="0.2">
      <c r="A5713" s="1" t="s">
        <v>1276</v>
      </c>
      <c r="B5713" s="1" t="s">
        <v>69</v>
      </c>
      <c r="C5713" s="5">
        <f>DATE(2024, 8, 6) + TIME(13, 37, 36)</f>
        <v>45510.567777777775</v>
      </c>
      <c r="D5713" s="1" t="s">
        <v>148</v>
      </c>
      <c r="E5713" s="1" t="s">
        <v>877</v>
      </c>
    </row>
    <row r="5714" spans="1:5" x14ac:dyDescent="0.2">
      <c r="A5714" s="1" t="s">
        <v>1276</v>
      </c>
      <c r="B5714" s="1" t="s">
        <v>60</v>
      </c>
      <c r="C5714" s="5">
        <f>DATE(2024, 8, 6) + TIME(13, 10, 5)</f>
        <v>45510.548668981479</v>
      </c>
      <c r="D5714" s="1" t="s">
        <v>148</v>
      </c>
      <c r="E5714" s="1" t="s">
        <v>471</v>
      </c>
    </row>
    <row r="5715" spans="1:5" x14ac:dyDescent="0.2">
      <c r="A5715" s="1" t="s">
        <v>1276</v>
      </c>
      <c r="B5715" s="1" t="s">
        <v>664</v>
      </c>
      <c r="C5715" s="5">
        <f>DATE(2024, 8, 6) + TIME(12, 40, 35)</f>
        <v>45510.528182870374</v>
      </c>
      <c r="D5715" s="1" t="s">
        <v>871</v>
      </c>
      <c r="E5715" s="1" t="s">
        <v>107</v>
      </c>
    </row>
    <row r="5716" spans="1:5" x14ac:dyDescent="0.2">
      <c r="A5716" s="1" t="s">
        <v>1276</v>
      </c>
      <c r="B5716" s="1" t="s">
        <v>436</v>
      </c>
      <c r="C5716" s="5">
        <f>DATE(2024, 8, 6) + TIME(11, 16, 59)</f>
        <v>45510.470127314817</v>
      </c>
      <c r="D5716" s="1" t="s">
        <v>871</v>
      </c>
      <c r="E5716" s="1" t="s">
        <v>149</v>
      </c>
    </row>
    <row r="5717" spans="1:5" x14ac:dyDescent="0.2">
      <c r="A5717" s="1" t="s">
        <v>1276</v>
      </c>
      <c r="B5717" s="1" t="s">
        <v>664</v>
      </c>
      <c r="C5717" s="5">
        <f>DATE(2024, 8, 5) + TIME(15, 18, 56)</f>
        <v>45509.638148148151</v>
      </c>
      <c r="D5717" s="1" t="s">
        <v>320</v>
      </c>
      <c r="E5717" s="1" t="s">
        <v>214</v>
      </c>
    </row>
    <row r="5718" spans="1:5" x14ac:dyDescent="0.2">
      <c r="A5718" s="1" t="s">
        <v>1276</v>
      </c>
      <c r="B5718" s="1" t="s">
        <v>1124</v>
      </c>
      <c r="C5718" s="5">
        <f>DATE(2024, 8, 5) + TIME(14, 46, 9)</f>
        <v>45509.615381944444</v>
      </c>
      <c r="D5718" s="1" t="s">
        <v>754</v>
      </c>
      <c r="E5718" s="1" t="s">
        <v>870</v>
      </c>
    </row>
    <row r="5719" spans="1:5" x14ac:dyDescent="0.2">
      <c r="A5719" s="1" t="s">
        <v>1276</v>
      </c>
      <c r="B5719" s="1" t="s">
        <v>766</v>
      </c>
      <c r="C5719" s="5">
        <f>DATE(2024, 8, 5) + TIME(13, 57, 18)</f>
        <v>45509.581458333334</v>
      </c>
      <c r="D5719" s="1" t="s">
        <v>269</v>
      </c>
      <c r="E5719" s="1" t="s">
        <v>299</v>
      </c>
    </row>
    <row r="5720" spans="1:5" x14ac:dyDescent="0.2">
      <c r="A5720" s="1" t="s">
        <v>1276</v>
      </c>
      <c r="B5720" s="1" t="s">
        <v>163</v>
      </c>
      <c r="C5720" s="5">
        <f>DATE(2024, 8, 5) + TIME(13, 9, 1)</f>
        <v>45509.54792824074</v>
      </c>
      <c r="D5720" s="1" t="s">
        <v>269</v>
      </c>
      <c r="E5720" s="1" t="s">
        <v>273</v>
      </c>
    </row>
    <row r="5721" spans="1:5" x14ac:dyDescent="0.2">
      <c r="A5721" s="1" t="s">
        <v>1276</v>
      </c>
      <c r="B5721" s="1" t="s">
        <v>15</v>
      </c>
      <c r="C5721" s="5">
        <f>DATE(2024, 8, 5) + TIME(11, 59, 8)</f>
        <v>45509.499398148146</v>
      </c>
      <c r="D5721" s="1" t="s">
        <v>754</v>
      </c>
      <c r="E5721" s="1" t="s">
        <v>330</v>
      </c>
    </row>
    <row r="5722" spans="1:5" x14ac:dyDescent="0.2">
      <c r="A5722" s="1" t="s">
        <v>1276</v>
      </c>
      <c r="B5722" s="1" t="s">
        <v>862</v>
      </c>
      <c r="C5722" s="5">
        <f>DATE(2024, 8, 1) + TIME(14, 11, 33)</f>
        <v>45505.591354166667</v>
      </c>
      <c r="D5722" s="1" t="s">
        <v>506</v>
      </c>
      <c r="E5722" s="1" t="s">
        <v>867</v>
      </c>
    </row>
    <row r="5723" spans="1:5" x14ac:dyDescent="0.2">
      <c r="A5723" s="1" t="s">
        <v>1276</v>
      </c>
      <c r="B5723" s="1" t="s">
        <v>323</v>
      </c>
      <c r="C5723" s="5">
        <f>DATE(2024, 8, 1) + TIME(13, 5, 45)</f>
        <v>45505.545659722222</v>
      </c>
      <c r="D5723" s="1" t="s">
        <v>320</v>
      </c>
      <c r="E5723" s="1" t="s">
        <v>1228</v>
      </c>
    </row>
    <row r="5724" spans="1:5" x14ac:dyDescent="0.2">
      <c r="A5724" s="1" t="s">
        <v>1276</v>
      </c>
      <c r="B5724" s="1" t="s">
        <v>385</v>
      </c>
      <c r="C5724" s="5">
        <f>DATE(2024, 8, 1) + TIME(12, 14, 4)</f>
        <v>45505.509768518517</v>
      </c>
      <c r="D5724" s="1" t="s">
        <v>754</v>
      </c>
      <c r="E5724" s="1" t="s">
        <v>135</v>
      </c>
    </row>
    <row r="5725" spans="1:5" x14ac:dyDescent="0.2">
      <c r="A5725" s="1" t="s">
        <v>1276</v>
      </c>
      <c r="B5725" s="1" t="s">
        <v>1030</v>
      </c>
      <c r="C5725" s="5">
        <f>DATE(2024, 8, 1) + TIME(12, 11, 30)</f>
        <v>45505.507986111108</v>
      </c>
      <c r="D5725" s="1" t="s">
        <v>216</v>
      </c>
      <c r="E5725" s="1" t="s">
        <v>519</v>
      </c>
    </row>
    <row r="5726" spans="1:5" x14ac:dyDescent="0.2">
      <c r="A5726" s="1" t="s">
        <v>1276</v>
      </c>
      <c r="B5726" s="1" t="s">
        <v>866</v>
      </c>
      <c r="C5726" s="5">
        <f>DATE(2024, 8, 1) + TIME(12, 11, 4)</f>
        <v>45505.507685185185</v>
      </c>
      <c r="D5726" s="1" t="s">
        <v>459</v>
      </c>
      <c r="E5726" s="1" t="s">
        <v>428</v>
      </c>
    </row>
    <row r="5727" spans="1:5" x14ac:dyDescent="0.2">
      <c r="A5727" s="1" t="s">
        <v>1276</v>
      </c>
      <c r="B5727" s="1" t="s">
        <v>334</v>
      </c>
      <c r="C5727" s="5">
        <f>DATE(2024, 8, 1) + TIME(11, 38, 7)</f>
        <v>45505.484803240739</v>
      </c>
      <c r="D5727" s="1" t="s">
        <v>640</v>
      </c>
      <c r="E5727" s="1" t="s">
        <v>1029</v>
      </c>
    </row>
    <row r="5728" spans="1:5" x14ac:dyDescent="0.2">
      <c r="A5728" s="1" t="s">
        <v>1276</v>
      </c>
      <c r="B5728" s="1" t="s">
        <v>545</v>
      </c>
      <c r="C5728" s="5">
        <f>DATE(2024, 7, 31) + TIME(14, 13, 15)</f>
        <v>45504.592534722222</v>
      </c>
      <c r="D5728" s="1" t="s">
        <v>1221</v>
      </c>
      <c r="E5728" s="1" t="s">
        <v>888</v>
      </c>
    </row>
    <row r="5729" spans="1:5" x14ac:dyDescent="0.2">
      <c r="A5729" s="1" t="s">
        <v>1276</v>
      </c>
      <c r="B5729" s="1" t="s">
        <v>746</v>
      </c>
      <c r="C5729" s="5">
        <f>DATE(2024, 7, 31) + TIME(12, 27, 8)</f>
        <v>45504.518842592595</v>
      </c>
      <c r="D5729" s="1" t="s">
        <v>459</v>
      </c>
      <c r="E5729" s="1" t="s">
        <v>836</v>
      </c>
    </row>
    <row r="5730" spans="1:5" x14ac:dyDescent="0.2">
      <c r="A5730" s="1" t="s">
        <v>1276</v>
      </c>
      <c r="B5730" s="1" t="s">
        <v>436</v>
      </c>
      <c r="C5730" s="5">
        <f>DATE(2024, 7, 31) + TIME(10, 29, 46)</f>
        <v>45504.437337962961</v>
      </c>
      <c r="D5730" s="1" t="s">
        <v>216</v>
      </c>
      <c r="E5730" s="1" t="s">
        <v>321</v>
      </c>
    </row>
    <row r="5731" spans="1:5" x14ac:dyDescent="0.2">
      <c r="A5731" s="1" t="s">
        <v>1276</v>
      </c>
      <c r="B5731" s="1" t="s">
        <v>162</v>
      </c>
      <c r="C5731" s="5">
        <f>DATE(2024, 7, 30) + TIME(15, 46, 8)</f>
        <v>45503.657037037039</v>
      </c>
      <c r="D5731" s="1" t="s">
        <v>64</v>
      </c>
      <c r="E5731" s="1" t="s">
        <v>1229</v>
      </c>
    </row>
    <row r="5732" spans="1:5" x14ac:dyDescent="0.2">
      <c r="A5732" s="1" t="s">
        <v>1276</v>
      </c>
      <c r="B5732" s="1" t="s">
        <v>1024</v>
      </c>
      <c r="C5732" s="5">
        <f>DATE(2024, 7, 30) + TIME(15, 44, 0)</f>
        <v>45503.655555555553</v>
      </c>
      <c r="D5732" s="1" t="s">
        <v>64</v>
      </c>
      <c r="E5732" s="1" t="s">
        <v>1218</v>
      </c>
    </row>
    <row r="5733" spans="1:5" x14ac:dyDescent="0.2">
      <c r="A5733" s="1" t="s">
        <v>1276</v>
      </c>
      <c r="B5733" s="1" t="s">
        <v>664</v>
      </c>
      <c r="C5733" s="5">
        <f>DATE(2024, 7, 29) + TIME(15, 44, 25)</f>
        <v>45502.655844907407</v>
      </c>
      <c r="D5733" s="1" t="s">
        <v>269</v>
      </c>
      <c r="E5733" s="1" t="s">
        <v>280</v>
      </c>
    </row>
    <row r="5734" spans="1:5" x14ac:dyDescent="0.2">
      <c r="A5734" s="1" t="s">
        <v>1276</v>
      </c>
      <c r="B5734" s="1" t="s">
        <v>817</v>
      </c>
      <c r="C5734" s="5">
        <f>DATE(2024, 7, 29) + TIME(15, 36, 22)</f>
        <v>45502.650254629632</v>
      </c>
      <c r="D5734" s="1" t="s">
        <v>566</v>
      </c>
      <c r="E5734" s="1" t="s">
        <v>883</v>
      </c>
    </row>
    <row r="5735" spans="1:5" x14ac:dyDescent="0.2">
      <c r="A5735" s="1" t="s">
        <v>1276</v>
      </c>
      <c r="B5735" s="1" t="s">
        <v>436</v>
      </c>
      <c r="C5735" s="5">
        <f>DATE(2024, 7, 29) + TIME(15, 17, 25)</f>
        <v>45502.637094907404</v>
      </c>
      <c r="D5735" s="1" t="s">
        <v>506</v>
      </c>
      <c r="E5735" s="1" t="s">
        <v>808</v>
      </c>
    </row>
    <row r="5736" spans="1:5" x14ac:dyDescent="0.2">
      <c r="A5736" s="1" t="s">
        <v>1276</v>
      </c>
      <c r="B5736" s="1" t="s">
        <v>664</v>
      </c>
      <c r="C5736" s="5">
        <f>DATE(2024, 7, 29) + TIME(14, 40, 47)</f>
        <v>45502.611655092594</v>
      </c>
      <c r="D5736" s="1" t="s">
        <v>566</v>
      </c>
      <c r="E5736" s="1" t="s">
        <v>619</v>
      </c>
    </row>
    <row r="5737" spans="1:5" x14ac:dyDescent="0.2">
      <c r="A5737" s="1" t="s">
        <v>1276</v>
      </c>
      <c r="B5737" s="1" t="s">
        <v>60</v>
      </c>
      <c r="C5737" s="5">
        <f>DATE(2024, 7, 29) + TIME(14, 31, 56)</f>
        <v>45502.605509259258</v>
      </c>
      <c r="D5737" s="1" t="s">
        <v>640</v>
      </c>
      <c r="E5737" s="1" t="s">
        <v>70</v>
      </c>
    </row>
    <row r="5738" spans="1:5" x14ac:dyDescent="0.2">
      <c r="A5738" s="1" t="s">
        <v>1276</v>
      </c>
      <c r="B5738" s="1" t="s">
        <v>664</v>
      </c>
      <c r="C5738" s="5">
        <f>DATE(2024, 7, 29) + TIME(13, 37, 21)</f>
        <v>45502.567604166667</v>
      </c>
      <c r="D5738" s="1" t="s">
        <v>871</v>
      </c>
      <c r="E5738" s="1" t="s">
        <v>874</v>
      </c>
    </row>
    <row r="5739" spans="1:5" x14ac:dyDescent="0.2">
      <c r="A5739" s="1" t="s">
        <v>1276</v>
      </c>
      <c r="B5739" s="1" t="s">
        <v>968</v>
      </c>
      <c r="C5739" s="5">
        <f>DATE(2024, 7, 29) + TIME(12, 57, 49)</f>
        <v>45502.540150462963</v>
      </c>
      <c r="D5739" s="1" t="s">
        <v>65</v>
      </c>
      <c r="E5739" s="1" t="s">
        <v>20</v>
      </c>
    </row>
    <row r="5740" spans="1:5" x14ac:dyDescent="0.2">
      <c r="A5740" s="1" t="s">
        <v>1276</v>
      </c>
      <c r="B5740" s="1" t="s">
        <v>496</v>
      </c>
      <c r="C5740" s="5">
        <f>DATE(2024, 7, 29) + TIME(12, 17, 27)</f>
        <v>45502.512118055558</v>
      </c>
      <c r="D5740" s="1" t="s">
        <v>638</v>
      </c>
      <c r="E5740" s="1" t="s">
        <v>335</v>
      </c>
    </row>
    <row r="5741" spans="1:5" x14ac:dyDescent="0.2">
      <c r="A5741" s="1" t="s">
        <v>1276</v>
      </c>
      <c r="B5741" s="1" t="s">
        <v>688</v>
      </c>
      <c r="C5741" s="5">
        <f>DATE(2024, 7, 29) + TIME(10, 28, 17)</f>
        <v>45502.436307870368</v>
      </c>
      <c r="D5741" s="1" t="s">
        <v>1221</v>
      </c>
      <c r="E5741" s="1" t="s">
        <v>938</v>
      </c>
    </row>
    <row r="5742" spans="1:5" x14ac:dyDescent="0.2">
      <c r="A5742" s="1" t="s">
        <v>1276</v>
      </c>
      <c r="B5742" s="1" t="s">
        <v>153</v>
      </c>
      <c r="C5742" s="5">
        <f>DATE(2024, 7, 25) + TIME(15, 36, 33)</f>
        <v>45498.650381944448</v>
      </c>
      <c r="D5742" s="1" t="s">
        <v>320</v>
      </c>
      <c r="E5742" s="1" t="s">
        <v>845</v>
      </c>
    </row>
    <row r="5743" spans="1:5" x14ac:dyDescent="0.2">
      <c r="A5743" s="1" t="s">
        <v>1276</v>
      </c>
      <c r="B5743" s="1" t="s">
        <v>385</v>
      </c>
      <c r="C5743" s="5">
        <f>DATE(2024, 7, 25) + TIME(15, 25, 59)</f>
        <v>45498.643043981479</v>
      </c>
      <c r="D5743" s="1" t="s">
        <v>1221</v>
      </c>
      <c r="E5743" s="1" t="s">
        <v>71</v>
      </c>
    </row>
    <row r="5744" spans="1:5" x14ac:dyDescent="0.2">
      <c r="A5744" s="1" t="s">
        <v>1276</v>
      </c>
      <c r="B5744" s="1" t="s">
        <v>228</v>
      </c>
      <c r="C5744" s="5">
        <f>DATE(2024, 7, 25) + TIME(15, 18, 45)</f>
        <v>45498.638020833336</v>
      </c>
      <c r="D5744" s="1" t="s">
        <v>1221</v>
      </c>
      <c r="E5744" s="1" t="s">
        <v>71</v>
      </c>
    </row>
    <row r="5745" spans="1:5" x14ac:dyDescent="0.2">
      <c r="A5745" s="1" t="s">
        <v>1276</v>
      </c>
      <c r="B5745" s="1" t="s">
        <v>378</v>
      </c>
      <c r="C5745" s="5">
        <f>DATE(2024, 7, 25) + TIME(14, 46, 55)</f>
        <v>45498.615914351853</v>
      </c>
      <c r="D5745" s="1" t="s">
        <v>754</v>
      </c>
      <c r="E5745" s="1" t="s">
        <v>330</v>
      </c>
    </row>
    <row r="5746" spans="1:5" x14ac:dyDescent="0.2">
      <c r="A5746" s="1" t="s">
        <v>1276</v>
      </c>
      <c r="B5746" s="1" t="s">
        <v>15</v>
      </c>
      <c r="C5746" s="5">
        <f>DATE(2024, 7, 25) + TIME(14, 45, 21)</f>
        <v>45498.61482638889</v>
      </c>
      <c r="D5746" s="1" t="s">
        <v>1221</v>
      </c>
      <c r="E5746" s="1" t="s">
        <v>324</v>
      </c>
    </row>
    <row r="5747" spans="1:5" x14ac:dyDescent="0.2">
      <c r="A5747" s="1" t="s">
        <v>1276</v>
      </c>
      <c r="B5747" s="1" t="s">
        <v>468</v>
      </c>
      <c r="C5747" s="5">
        <f>DATE(2024, 7, 25) + TIME(14, 42, 39)</f>
        <v>45498.612951388888</v>
      </c>
      <c r="D5747" s="1" t="s">
        <v>255</v>
      </c>
      <c r="E5747" s="1" t="s">
        <v>867</v>
      </c>
    </row>
    <row r="5748" spans="1:5" x14ac:dyDescent="0.2">
      <c r="A5748" s="1" t="s">
        <v>1276</v>
      </c>
      <c r="B5748" s="1" t="s">
        <v>162</v>
      </c>
      <c r="C5748" s="5">
        <f>DATE(2024, 7, 25) + TIME(14, 42, 39)</f>
        <v>45498.612951388888</v>
      </c>
      <c r="D5748" s="1" t="s">
        <v>255</v>
      </c>
      <c r="E5748" s="1" t="s">
        <v>867</v>
      </c>
    </row>
    <row r="5749" spans="1:5" x14ac:dyDescent="0.2">
      <c r="A5749" s="1" t="s">
        <v>1276</v>
      </c>
      <c r="B5749" s="1" t="s">
        <v>1147</v>
      </c>
      <c r="C5749" s="5">
        <f>DATE(2024, 7, 25) + TIME(14, 42, 38)</f>
        <v>45498.612939814811</v>
      </c>
      <c r="D5749" s="1" t="s">
        <v>255</v>
      </c>
      <c r="E5749" s="1" t="s">
        <v>867</v>
      </c>
    </row>
    <row r="5750" spans="1:5" x14ac:dyDescent="0.2">
      <c r="A5750" s="1" t="s">
        <v>1276</v>
      </c>
      <c r="B5750" s="1" t="s">
        <v>688</v>
      </c>
      <c r="C5750" s="5">
        <f>DATE(2024, 7, 25) + TIME(14, 25, 22)</f>
        <v>45498.600949074076</v>
      </c>
      <c r="D5750" s="1" t="s">
        <v>144</v>
      </c>
      <c r="E5750" s="1" t="s">
        <v>1019</v>
      </c>
    </row>
    <row r="5751" spans="1:5" x14ac:dyDescent="0.2">
      <c r="A5751" s="1" t="s">
        <v>1276</v>
      </c>
      <c r="B5751" s="1" t="s">
        <v>1232</v>
      </c>
      <c r="C5751" s="5">
        <f>DATE(2024, 7, 25) + TIME(12, 51, 31)</f>
        <v>45498.535775462966</v>
      </c>
      <c r="D5751" s="1" t="s">
        <v>3</v>
      </c>
      <c r="E5751" s="1" t="s">
        <v>936</v>
      </c>
    </row>
    <row r="5752" spans="1:5" x14ac:dyDescent="0.2">
      <c r="A5752" s="1" t="s">
        <v>1276</v>
      </c>
      <c r="B5752" s="1" t="s">
        <v>1025</v>
      </c>
      <c r="C5752" s="5">
        <f>DATE(2024, 7, 25) + TIME(12, 30, 55)</f>
        <v>45498.521469907406</v>
      </c>
      <c r="D5752" s="1" t="s">
        <v>754</v>
      </c>
      <c r="E5752" s="1" t="s">
        <v>441</v>
      </c>
    </row>
    <row r="5753" spans="1:5" x14ac:dyDescent="0.2">
      <c r="A5753" s="1" t="s">
        <v>1276</v>
      </c>
      <c r="B5753" s="1" t="s">
        <v>682</v>
      </c>
      <c r="C5753" s="5">
        <f>DATE(2024, 7, 25) + TIME(10, 44, 40)</f>
        <v>45498.447685185187</v>
      </c>
      <c r="D5753" s="1" t="s">
        <v>216</v>
      </c>
      <c r="E5753" s="1" t="s">
        <v>466</v>
      </c>
    </row>
    <row r="5754" spans="1:5" x14ac:dyDescent="0.2">
      <c r="A5754" s="1" t="s">
        <v>1276</v>
      </c>
      <c r="B5754" s="1" t="s">
        <v>215</v>
      </c>
      <c r="C5754" s="5">
        <f>DATE(2024, 7, 25) + TIME(9, 41, 30)</f>
        <v>45498.403819444444</v>
      </c>
      <c r="D5754" s="1" t="s">
        <v>869</v>
      </c>
      <c r="E5754" s="1" t="s">
        <v>631</v>
      </c>
    </row>
    <row r="5755" spans="1:5" x14ac:dyDescent="0.2">
      <c r="A5755" s="1" t="s">
        <v>1276</v>
      </c>
      <c r="B5755" s="1" t="s">
        <v>33</v>
      </c>
      <c r="C5755" s="5">
        <f>DATE(2024, 7, 24) + TIME(16, 24, 8)</f>
        <v>45497.683425925927</v>
      </c>
      <c r="D5755" s="1" t="s">
        <v>255</v>
      </c>
      <c r="E5755" s="1" t="s">
        <v>158</v>
      </c>
    </row>
    <row r="5756" spans="1:5" x14ac:dyDescent="0.2">
      <c r="A5756" s="1" t="s">
        <v>1276</v>
      </c>
      <c r="B5756" s="1" t="s">
        <v>937</v>
      </c>
      <c r="C5756" s="5">
        <f>DATE(2024, 7, 24) + TIME(14, 58, 35)</f>
        <v>45497.624016203707</v>
      </c>
      <c r="D5756" s="1" t="s">
        <v>638</v>
      </c>
      <c r="E5756" s="1" t="s">
        <v>198</v>
      </c>
    </row>
    <row r="5757" spans="1:5" x14ac:dyDescent="0.2">
      <c r="A5757" s="1" t="s">
        <v>1276</v>
      </c>
      <c r="B5757" s="1" t="s">
        <v>228</v>
      </c>
      <c r="C5757" s="5">
        <f>DATE(2024, 7, 24) + TIME(14, 4, 50)</f>
        <v>45497.586689814816</v>
      </c>
      <c r="D5757" s="1" t="s">
        <v>3</v>
      </c>
      <c r="E5757" s="1" t="s">
        <v>73</v>
      </c>
    </row>
    <row r="5758" spans="1:5" x14ac:dyDescent="0.2">
      <c r="A5758" s="1" t="s">
        <v>1276</v>
      </c>
      <c r="B5758" s="1" t="s">
        <v>22</v>
      </c>
      <c r="C5758" s="5">
        <f>DATE(2024, 7, 24) + TIME(14, 4, 50)</f>
        <v>45497.586689814816</v>
      </c>
      <c r="D5758" s="1" t="s">
        <v>3</v>
      </c>
      <c r="E5758" s="1" t="s">
        <v>73</v>
      </c>
    </row>
    <row r="5759" spans="1:5" x14ac:dyDescent="0.2">
      <c r="A5759" s="1" t="s">
        <v>1276</v>
      </c>
      <c r="B5759" s="1" t="s">
        <v>271</v>
      </c>
      <c r="C5759" s="5">
        <f>DATE(2024, 7, 24) + TIME(13, 41, 33)</f>
        <v>45497.570520833331</v>
      </c>
      <c r="D5759" s="1" t="s">
        <v>638</v>
      </c>
      <c r="E5759" s="1" t="s">
        <v>518</v>
      </c>
    </row>
    <row r="5760" spans="1:5" x14ac:dyDescent="0.2">
      <c r="A5760" s="1" t="s">
        <v>1276</v>
      </c>
      <c r="B5760" s="1" t="s">
        <v>290</v>
      </c>
      <c r="C5760" s="5">
        <f>DATE(2024, 7, 24) + TIME(13, 12, 27)</f>
        <v>45497.550312500003</v>
      </c>
      <c r="D5760" s="1" t="s">
        <v>255</v>
      </c>
      <c r="E5760" s="1" t="s">
        <v>158</v>
      </c>
    </row>
    <row r="5761" spans="1:5" x14ac:dyDescent="0.2">
      <c r="A5761" s="1" t="s">
        <v>1276</v>
      </c>
      <c r="B5761" s="1" t="s">
        <v>409</v>
      </c>
      <c r="C5761" s="5">
        <f>DATE(2024, 7, 24) + TIME(12, 48, 41)</f>
        <v>45497.533807870372</v>
      </c>
      <c r="D5761" s="1" t="s">
        <v>65</v>
      </c>
      <c r="E5761" s="1" t="s">
        <v>432</v>
      </c>
    </row>
    <row r="5762" spans="1:5" x14ac:dyDescent="0.2">
      <c r="A5762" s="1" t="s">
        <v>1276</v>
      </c>
      <c r="B5762" s="1" t="s">
        <v>686</v>
      </c>
      <c r="C5762" s="5">
        <f>DATE(2024, 7, 24) + TIME(12, 11, 2)</f>
        <v>45497.507662037038</v>
      </c>
      <c r="D5762" s="1" t="s">
        <v>216</v>
      </c>
      <c r="E5762" s="1" t="s">
        <v>1235</v>
      </c>
    </row>
    <row r="5763" spans="1:5" x14ac:dyDescent="0.2">
      <c r="A5763" s="1" t="s">
        <v>1276</v>
      </c>
      <c r="B5763" s="1" t="s">
        <v>271</v>
      </c>
      <c r="C5763" s="5">
        <f>DATE(2024, 7, 24) + TIME(8, 52, 0)</f>
        <v>45497.369444444441</v>
      </c>
      <c r="D5763" s="1" t="s">
        <v>64</v>
      </c>
      <c r="E5763" s="1" t="s">
        <v>337</v>
      </c>
    </row>
    <row r="5764" spans="1:5" x14ac:dyDescent="0.2">
      <c r="A5764" s="1" t="s">
        <v>1276</v>
      </c>
      <c r="B5764" s="1" t="s">
        <v>139</v>
      </c>
      <c r="C5764" s="5">
        <f>DATE(2024, 7, 23) + TIME(16, 44, 53)</f>
        <v>45496.697835648149</v>
      </c>
      <c r="D5764" s="1" t="s">
        <v>459</v>
      </c>
      <c r="E5764" s="1" t="s">
        <v>49</v>
      </c>
    </row>
    <row r="5765" spans="1:5" x14ac:dyDescent="0.2">
      <c r="A5765" s="1" t="s">
        <v>1276</v>
      </c>
      <c r="B5765" s="1" t="s">
        <v>163</v>
      </c>
      <c r="C5765" s="5">
        <f>DATE(2024, 7, 23) + TIME(14, 56, 40)</f>
        <v>45496.622685185182</v>
      </c>
      <c r="D5765" s="1" t="s">
        <v>148</v>
      </c>
      <c r="E5765" s="1" t="s">
        <v>471</v>
      </c>
    </row>
    <row r="5766" spans="1:5" x14ac:dyDescent="0.2">
      <c r="A5766" s="1" t="s">
        <v>1276</v>
      </c>
      <c r="B5766" s="1" t="s">
        <v>1236</v>
      </c>
      <c r="C5766" s="5">
        <f>DATE(2024, 7, 23) + TIME(14, 0, 15)</f>
        <v>45496.583506944444</v>
      </c>
      <c r="D5766" s="1" t="s">
        <v>126</v>
      </c>
      <c r="E5766" s="1" t="s">
        <v>143</v>
      </c>
    </row>
    <row r="5767" spans="1:5" x14ac:dyDescent="0.2">
      <c r="A5767" s="1" t="s">
        <v>1276</v>
      </c>
      <c r="B5767" s="1" t="s">
        <v>263</v>
      </c>
      <c r="C5767" s="5">
        <f>DATE(2024, 7, 23) + TIME(13, 54, 9)</f>
        <v>45496.579270833332</v>
      </c>
      <c r="D5767" s="1" t="s">
        <v>869</v>
      </c>
      <c r="E5767" s="1" t="s">
        <v>275</v>
      </c>
    </row>
    <row r="5768" spans="1:5" x14ac:dyDescent="0.2">
      <c r="A5768" s="1" t="s">
        <v>1276</v>
      </c>
      <c r="B5768" s="1" t="s">
        <v>322</v>
      </c>
      <c r="C5768" s="5">
        <f>DATE(2024, 7, 23) + TIME(11, 26, 28)</f>
        <v>45496.476712962962</v>
      </c>
      <c r="D5768" s="1" t="s">
        <v>64</v>
      </c>
      <c r="E5768" s="1" t="s">
        <v>253</v>
      </c>
    </row>
    <row r="5769" spans="1:5" x14ac:dyDescent="0.2">
      <c r="A5769" s="1" t="s">
        <v>1276</v>
      </c>
      <c r="B5769" s="1" t="s">
        <v>1075</v>
      </c>
      <c r="C5769" s="5">
        <f>DATE(2024, 7, 22) + TIME(14, 39, 59)</f>
        <v>45495.61109953704</v>
      </c>
      <c r="D5769" s="1" t="s">
        <v>356</v>
      </c>
      <c r="E5769" s="1" t="s">
        <v>299</v>
      </c>
    </row>
    <row r="5770" spans="1:5" x14ac:dyDescent="0.2">
      <c r="A5770" s="1" t="s">
        <v>1276</v>
      </c>
      <c r="B5770" s="1" t="s">
        <v>496</v>
      </c>
      <c r="C5770" s="5">
        <f>DATE(2024, 7, 18) + TIME(16, 8, 30)</f>
        <v>45491.672569444447</v>
      </c>
      <c r="D5770" s="1" t="s">
        <v>467</v>
      </c>
      <c r="E5770" s="1" t="s">
        <v>324</v>
      </c>
    </row>
    <row r="5771" spans="1:5" x14ac:dyDescent="0.2">
      <c r="A5771" s="1" t="s">
        <v>1276</v>
      </c>
      <c r="B5771" s="1" t="s">
        <v>545</v>
      </c>
      <c r="C5771" s="5">
        <f>DATE(2024, 7, 18) + TIME(15, 46, 25)</f>
        <v>45491.657233796293</v>
      </c>
      <c r="D5771" s="1" t="s">
        <v>467</v>
      </c>
      <c r="E5771" s="1" t="s">
        <v>324</v>
      </c>
    </row>
    <row r="5772" spans="1:5" x14ac:dyDescent="0.2">
      <c r="A5772" s="1" t="s">
        <v>1276</v>
      </c>
      <c r="B5772" s="1" t="s">
        <v>456</v>
      </c>
      <c r="C5772" s="5">
        <f>DATE(2024, 7, 18) + TIME(14, 46, 31)</f>
        <v>45491.615636574075</v>
      </c>
      <c r="D5772" s="1" t="s">
        <v>1054</v>
      </c>
      <c r="E5772" s="1" t="s">
        <v>1156</v>
      </c>
    </row>
    <row r="5773" spans="1:5" x14ac:dyDescent="0.2">
      <c r="A5773" s="1" t="s">
        <v>1276</v>
      </c>
      <c r="B5773" s="1" t="s">
        <v>271</v>
      </c>
      <c r="C5773" s="5">
        <f>DATE(2024, 7, 18) + TIME(14, 7, 18)</f>
        <v>45491.588402777779</v>
      </c>
      <c r="D5773" s="1" t="s">
        <v>506</v>
      </c>
      <c r="E5773" s="1" t="s">
        <v>697</v>
      </c>
    </row>
    <row r="5774" spans="1:5" x14ac:dyDescent="0.2">
      <c r="A5774" s="1" t="s">
        <v>1276</v>
      </c>
      <c r="B5774" s="1" t="s">
        <v>271</v>
      </c>
      <c r="C5774" s="5">
        <f>DATE(2024, 7, 18) + TIME(13, 40, 57)</f>
        <v>45491.570104166669</v>
      </c>
      <c r="D5774" s="1" t="s">
        <v>506</v>
      </c>
      <c r="E5774" s="1" t="s">
        <v>697</v>
      </c>
    </row>
    <row r="5775" spans="1:5" x14ac:dyDescent="0.2">
      <c r="A5775" s="1" t="s">
        <v>1276</v>
      </c>
      <c r="B5775" s="1" t="s">
        <v>765</v>
      </c>
      <c r="C5775" s="5">
        <f>DATE(2024, 7, 18) + TIME(11, 25, 8)</f>
        <v>45491.475787037038</v>
      </c>
      <c r="D5775" s="1" t="s">
        <v>640</v>
      </c>
      <c r="E5775" s="1" t="s">
        <v>975</v>
      </c>
    </row>
    <row r="5776" spans="1:5" x14ac:dyDescent="0.2">
      <c r="A5776" s="1" t="s">
        <v>1276</v>
      </c>
      <c r="B5776" s="1" t="s">
        <v>322</v>
      </c>
      <c r="C5776" s="5">
        <f>DATE(2024, 7, 18) + TIME(9, 56, 3)</f>
        <v>45491.413923611108</v>
      </c>
      <c r="D5776" s="1" t="s">
        <v>269</v>
      </c>
      <c r="E5776" s="1" t="s">
        <v>748</v>
      </c>
    </row>
    <row r="5777" spans="1:5" x14ac:dyDescent="0.2">
      <c r="A5777" s="1" t="s">
        <v>1276</v>
      </c>
      <c r="B5777" s="1" t="s">
        <v>1124</v>
      </c>
      <c r="C5777" s="5">
        <f>DATE(2024, 7, 17) + TIME(15, 37, 1)</f>
        <v>45490.650706018518</v>
      </c>
      <c r="D5777" s="1" t="s">
        <v>506</v>
      </c>
      <c r="E5777" s="1" t="s">
        <v>158</v>
      </c>
    </row>
    <row r="5778" spans="1:5" x14ac:dyDescent="0.2">
      <c r="A5778" s="1" t="s">
        <v>1276</v>
      </c>
      <c r="B5778" s="1" t="s">
        <v>587</v>
      </c>
      <c r="C5778" s="5">
        <f>DATE(2024, 7, 17) + TIME(15, 37, 1)</f>
        <v>45490.650706018518</v>
      </c>
      <c r="D5778" s="1" t="s">
        <v>506</v>
      </c>
      <c r="E5778" s="1" t="s">
        <v>158</v>
      </c>
    </row>
    <row r="5779" spans="1:5" x14ac:dyDescent="0.2">
      <c r="A5779" s="1" t="s">
        <v>1276</v>
      </c>
      <c r="B5779" s="1" t="s">
        <v>885</v>
      </c>
      <c r="C5779" s="5">
        <f>DATE(2024, 7, 17) + TIME(15, 16, 5)</f>
        <v>45490.63616898148</v>
      </c>
      <c r="D5779" s="1" t="s">
        <v>3</v>
      </c>
      <c r="E5779" s="1" t="s">
        <v>73</v>
      </c>
    </row>
    <row r="5780" spans="1:5" x14ac:dyDescent="0.2">
      <c r="A5780" s="1" t="s">
        <v>1276</v>
      </c>
      <c r="B5780" s="1" t="s">
        <v>264</v>
      </c>
      <c r="C5780" s="5">
        <f>DATE(2024, 7, 17) + TIME(14, 46, 6)</f>
        <v>45490.615347222221</v>
      </c>
      <c r="D5780" s="1" t="s">
        <v>467</v>
      </c>
      <c r="E5780" s="1" t="s">
        <v>888</v>
      </c>
    </row>
    <row r="5781" spans="1:5" x14ac:dyDescent="0.2">
      <c r="A5781" s="1" t="s">
        <v>1276</v>
      </c>
      <c r="B5781" s="1" t="s">
        <v>545</v>
      </c>
      <c r="C5781" s="5">
        <f>DATE(2024, 7, 17) + TIME(14, 46, 6)</f>
        <v>45490.615347222221</v>
      </c>
      <c r="D5781" s="1" t="s">
        <v>467</v>
      </c>
      <c r="E5781" s="1" t="s">
        <v>888</v>
      </c>
    </row>
    <row r="5782" spans="1:5" x14ac:dyDescent="0.2">
      <c r="A5782" s="1" t="s">
        <v>1276</v>
      </c>
      <c r="B5782" s="1" t="s">
        <v>686</v>
      </c>
      <c r="C5782" s="5">
        <f>DATE(2024, 7, 17) + TIME(14, 46, 6)</f>
        <v>45490.615347222221</v>
      </c>
      <c r="D5782" s="1" t="s">
        <v>467</v>
      </c>
      <c r="E5782" s="1" t="s">
        <v>888</v>
      </c>
    </row>
    <row r="5783" spans="1:5" x14ac:dyDescent="0.2">
      <c r="A5783" s="1" t="s">
        <v>1276</v>
      </c>
      <c r="B5783" s="1" t="s">
        <v>587</v>
      </c>
      <c r="C5783" s="5">
        <f>DATE(2024, 7, 17) + TIME(12, 51, 50)</f>
        <v>45490.535995370374</v>
      </c>
      <c r="D5783" s="1" t="s">
        <v>216</v>
      </c>
      <c r="E5783" s="1" t="s">
        <v>321</v>
      </c>
    </row>
    <row r="5784" spans="1:5" x14ac:dyDescent="0.2">
      <c r="A5784" s="1" t="s">
        <v>1276</v>
      </c>
      <c r="B5784" s="1" t="s">
        <v>545</v>
      </c>
      <c r="C5784" s="5">
        <f>DATE(2024, 7, 17) + TIME(12, 51, 50)</f>
        <v>45490.535995370374</v>
      </c>
      <c r="D5784" s="1" t="s">
        <v>216</v>
      </c>
      <c r="E5784" s="1" t="s">
        <v>321</v>
      </c>
    </row>
    <row r="5785" spans="1:5" x14ac:dyDescent="0.2">
      <c r="A5785" s="1" t="s">
        <v>1276</v>
      </c>
      <c r="B5785" s="1" t="s">
        <v>919</v>
      </c>
      <c r="C5785" s="5">
        <f>DATE(2024, 7, 17) + TIME(12, 51, 50)</f>
        <v>45490.535995370374</v>
      </c>
      <c r="D5785" s="1" t="s">
        <v>216</v>
      </c>
      <c r="E5785" s="1" t="s">
        <v>321</v>
      </c>
    </row>
    <row r="5786" spans="1:5" x14ac:dyDescent="0.2">
      <c r="A5786" s="1" t="s">
        <v>1276</v>
      </c>
      <c r="B5786" s="1" t="s">
        <v>866</v>
      </c>
      <c r="C5786" s="5">
        <f>DATE(2024, 7, 17) + TIME(11, 55, 45)</f>
        <v>45490.497048611112</v>
      </c>
      <c r="D5786" s="1" t="s">
        <v>269</v>
      </c>
      <c r="E5786" s="1" t="s">
        <v>781</v>
      </c>
    </row>
    <row r="5787" spans="1:5" x14ac:dyDescent="0.2">
      <c r="A5787" s="1" t="s">
        <v>1276</v>
      </c>
      <c r="B5787" s="1" t="s">
        <v>215</v>
      </c>
      <c r="C5787" s="5">
        <f>DATE(2024, 7, 17) + TIME(11, 3, 1)</f>
        <v>45490.460428240738</v>
      </c>
      <c r="D5787" s="1" t="s">
        <v>900</v>
      </c>
      <c r="E5787" s="1" t="s">
        <v>873</v>
      </c>
    </row>
    <row r="5788" spans="1:5" x14ac:dyDescent="0.2">
      <c r="A5788" s="1" t="s">
        <v>1276</v>
      </c>
      <c r="B5788" s="1" t="s">
        <v>139</v>
      </c>
      <c r="C5788" s="5">
        <f>DATE(2024, 7, 16) + TIME(16, 8, 18)</f>
        <v>45489.672430555554</v>
      </c>
      <c r="D5788" s="1" t="s">
        <v>459</v>
      </c>
      <c r="E5788" s="1" t="s">
        <v>49</v>
      </c>
    </row>
    <row r="5789" spans="1:5" x14ac:dyDescent="0.2">
      <c r="A5789" s="1" t="s">
        <v>1276</v>
      </c>
      <c r="B5789" s="1" t="s">
        <v>271</v>
      </c>
      <c r="C5789" s="5">
        <f>DATE(2024, 7, 16) + TIME(14, 57, 55)</f>
        <v>45489.623553240737</v>
      </c>
      <c r="D5789" s="1" t="s">
        <v>467</v>
      </c>
      <c r="E5789" s="1" t="s">
        <v>924</v>
      </c>
    </row>
    <row r="5790" spans="1:5" x14ac:dyDescent="0.2">
      <c r="A5790" s="1" t="s">
        <v>1276</v>
      </c>
      <c r="B5790" s="1" t="s">
        <v>969</v>
      </c>
      <c r="C5790" s="5">
        <f>DATE(2024, 7, 16) + TIME(14, 52, 25)</f>
        <v>45489.619733796295</v>
      </c>
      <c r="D5790" s="1" t="s">
        <v>869</v>
      </c>
      <c r="E5790" s="1" t="s">
        <v>243</v>
      </c>
    </row>
    <row r="5791" spans="1:5" x14ac:dyDescent="0.2">
      <c r="A5791" s="1" t="s">
        <v>1276</v>
      </c>
      <c r="B5791" s="1" t="s">
        <v>1239</v>
      </c>
      <c r="C5791" s="5">
        <f>DATE(2024, 7, 16) + TIME(9, 16, 49)</f>
        <v>45489.386678240742</v>
      </c>
      <c r="D5791" s="1" t="s">
        <v>65</v>
      </c>
      <c r="E5791" s="1" t="s">
        <v>152</v>
      </c>
    </row>
    <row r="5792" spans="1:5" x14ac:dyDescent="0.2">
      <c r="A5792" s="1" t="s">
        <v>1276</v>
      </c>
      <c r="B5792" s="1" t="s">
        <v>271</v>
      </c>
      <c r="C5792" s="5">
        <f>DATE(2024, 7, 15) + TIME(12, 59, 50)</f>
        <v>45488.541550925926</v>
      </c>
      <c r="D5792" s="1" t="s">
        <v>871</v>
      </c>
      <c r="E5792" s="1" t="s">
        <v>701</v>
      </c>
    </row>
    <row r="5793" spans="1:5" x14ac:dyDescent="0.2">
      <c r="A5793" s="1" t="s">
        <v>1276</v>
      </c>
      <c r="B5793" s="1" t="s">
        <v>271</v>
      </c>
      <c r="C5793" s="5">
        <f>DATE(2024, 7, 15) + TIME(12, 35, 56)</f>
        <v>45488.524953703702</v>
      </c>
      <c r="D5793" s="1" t="s">
        <v>871</v>
      </c>
      <c r="E5793" s="1" t="s">
        <v>414</v>
      </c>
    </row>
    <row r="5794" spans="1:5" x14ac:dyDescent="0.2">
      <c r="A5794" s="1" t="s">
        <v>1276</v>
      </c>
      <c r="B5794" s="1" t="s">
        <v>1024</v>
      </c>
      <c r="C5794" s="5">
        <f>DATE(2024, 7, 11) + TIME(16, 6, 58)</f>
        <v>45484.67150462963</v>
      </c>
      <c r="D5794" s="1" t="s">
        <v>638</v>
      </c>
      <c r="E5794" s="1" t="s">
        <v>362</v>
      </c>
    </row>
    <row r="5795" spans="1:5" x14ac:dyDescent="0.2">
      <c r="A5795" s="1" t="s">
        <v>1276</v>
      </c>
      <c r="B5795" s="1" t="s">
        <v>1025</v>
      </c>
      <c r="C5795" s="5">
        <f>DATE(2024, 7, 11) + TIME(15, 0, 10)</f>
        <v>45484.625115740739</v>
      </c>
      <c r="D5795" s="1" t="s">
        <v>1221</v>
      </c>
      <c r="E5795" s="1" t="s">
        <v>324</v>
      </c>
    </row>
    <row r="5796" spans="1:5" x14ac:dyDescent="0.2">
      <c r="A5796" s="1" t="s">
        <v>1276</v>
      </c>
      <c r="B5796" s="1" t="s">
        <v>1242</v>
      </c>
      <c r="C5796" s="5">
        <f>DATE(2024, 7, 11) + TIME(14, 52, 21)</f>
        <v>45484.619687500002</v>
      </c>
      <c r="D5796" s="1" t="s">
        <v>506</v>
      </c>
      <c r="E5796" s="1" t="s">
        <v>867</v>
      </c>
    </row>
    <row r="5797" spans="1:5" x14ac:dyDescent="0.2">
      <c r="A5797" s="1" t="s">
        <v>1276</v>
      </c>
      <c r="B5797" s="1" t="s">
        <v>569</v>
      </c>
      <c r="C5797" s="5">
        <f>DATE(2024, 7, 11) + TIME(11, 25, 12)</f>
        <v>45484.47583333333</v>
      </c>
      <c r="D5797" s="1" t="s">
        <v>640</v>
      </c>
      <c r="E5797" s="1" t="s">
        <v>520</v>
      </c>
    </row>
    <row r="5798" spans="1:5" x14ac:dyDescent="0.2">
      <c r="A5798" s="1" t="s">
        <v>1276</v>
      </c>
      <c r="B5798" s="1" t="s">
        <v>1243</v>
      </c>
      <c r="C5798" s="5">
        <f>DATE(2024, 7, 11) + TIME(10, 48, 27)</f>
        <v>45484.450312499997</v>
      </c>
      <c r="D5798" s="1" t="s">
        <v>731</v>
      </c>
      <c r="E5798" s="1" t="s">
        <v>330</v>
      </c>
    </row>
    <row r="5799" spans="1:5" x14ac:dyDescent="0.2">
      <c r="A5799" s="1" t="s">
        <v>1276</v>
      </c>
      <c r="B5799" s="1" t="s">
        <v>1024</v>
      </c>
      <c r="C5799" s="5">
        <f>DATE(2024, 7, 10) + TIME(15, 52, 33)</f>
        <v>45483.661493055559</v>
      </c>
      <c r="D5799" s="1" t="s">
        <v>1221</v>
      </c>
      <c r="E5799" s="1" t="s">
        <v>888</v>
      </c>
    </row>
    <row r="5800" spans="1:5" x14ac:dyDescent="0.2">
      <c r="A5800" s="1" t="s">
        <v>1276</v>
      </c>
      <c r="B5800" s="1" t="s">
        <v>1024</v>
      </c>
      <c r="C5800" s="5">
        <f>DATE(2024, 7, 10) + TIME(15, 17, 27)</f>
        <v>45483.637118055558</v>
      </c>
      <c r="D5800" s="1" t="s">
        <v>255</v>
      </c>
      <c r="E5800" s="1" t="s">
        <v>321</v>
      </c>
    </row>
    <row r="5801" spans="1:5" x14ac:dyDescent="0.2">
      <c r="A5801" s="1" t="s">
        <v>1276</v>
      </c>
      <c r="B5801" s="1" t="s">
        <v>837</v>
      </c>
      <c r="C5801" s="5">
        <f>DATE(2024, 7, 10) + TIME(15, 17, 26)</f>
        <v>45483.637106481481</v>
      </c>
      <c r="D5801" s="1" t="s">
        <v>255</v>
      </c>
      <c r="E5801" s="1" t="s">
        <v>519</v>
      </c>
    </row>
    <row r="5802" spans="1:5" x14ac:dyDescent="0.2">
      <c r="A5802" s="1" t="s">
        <v>1276</v>
      </c>
      <c r="B5802" s="1" t="s">
        <v>904</v>
      </c>
      <c r="C5802" s="5">
        <f>DATE(2024, 7, 10) + TIME(13, 27, 52)</f>
        <v>45483.561018518521</v>
      </c>
      <c r="D5802" s="1" t="s">
        <v>566</v>
      </c>
      <c r="E5802" s="1" t="s">
        <v>829</v>
      </c>
    </row>
    <row r="5803" spans="1:5" x14ac:dyDescent="0.2">
      <c r="A5803" s="1" t="s">
        <v>1276</v>
      </c>
      <c r="B5803" s="1" t="s">
        <v>505</v>
      </c>
      <c r="C5803" s="5">
        <f>DATE(2024, 7, 10) + TIME(11, 29, 53)</f>
        <v>45483.479085648149</v>
      </c>
      <c r="D5803" s="1" t="s">
        <v>900</v>
      </c>
      <c r="E5803" s="1" t="s">
        <v>873</v>
      </c>
    </row>
    <row r="5804" spans="1:5" x14ac:dyDescent="0.2">
      <c r="A5804" s="1" t="s">
        <v>1276</v>
      </c>
      <c r="B5804" s="1" t="s">
        <v>688</v>
      </c>
      <c r="C5804" s="5">
        <f>DATE(2024, 7, 9) + TIME(14, 57, 45)</f>
        <v>45482.623437499999</v>
      </c>
      <c r="D5804" s="1" t="s">
        <v>506</v>
      </c>
      <c r="E5804" s="1" t="s">
        <v>702</v>
      </c>
    </row>
    <row r="5805" spans="1:5" x14ac:dyDescent="0.2">
      <c r="A5805" s="1" t="s">
        <v>1276</v>
      </c>
      <c r="B5805" s="1" t="s">
        <v>1245</v>
      </c>
      <c r="C5805" s="5">
        <f>DATE(2024, 7, 9) + TIME(13, 33, 56)</f>
        <v>45482.56523148148</v>
      </c>
      <c r="D5805" s="1" t="s">
        <v>341</v>
      </c>
      <c r="E5805" s="1" t="s">
        <v>406</v>
      </c>
    </row>
    <row r="5806" spans="1:5" x14ac:dyDescent="0.2">
      <c r="A5806" s="1" t="s">
        <v>1276</v>
      </c>
      <c r="B5806" s="1" t="s">
        <v>378</v>
      </c>
      <c r="C5806" s="5">
        <f>DATE(2024, 7, 8) + TIME(13, 17, 57)</f>
        <v>45481.554131944446</v>
      </c>
      <c r="D5806" s="1" t="s">
        <v>731</v>
      </c>
      <c r="E5806" s="1" t="s">
        <v>870</v>
      </c>
    </row>
    <row r="5807" spans="1:5" x14ac:dyDescent="0.2">
      <c r="A5807" s="1" t="s">
        <v>1276</v>
      </c>
      <c r="B5807" s="1" t="s">
        <v>759</v>
      </c>
      <c r="C5807" s="5">
        <f>DATE(2024, 7, 8) + TIME(12, 8, 23)</f>
        <v>45481.50582175926</v>
      </c>
      <c r="D5807" s="1" t="s">
        <v>731</v>
      </c>
      <c r="E5807" s="1" t="s">
        <v>75</v>
      </c>
    </row>
    <row r="5808" spans="1:5" x14ac:dyDescent="0.2">
      <c r="A5808" s="1" t="s">
        <v>1276</v>
      </c>
      <c r="B5808" s="1" t="s">
        <v>569</v>
      </c>
      <c r="C5808" s="5">
        <f>DATE(2024, 7, 4) + TIME(15, 9, 41)</f>
        <v>45477.631724537037</v>
      </c>
      <c r="D5808" s="1" t="s">
        <v>640</v>
      </c>
      <c r="E5808" s="1" t="s">
        <v>520</v>
      </c>
    </row>
    <row r="5809" spans="1:5" x14ac:dyDescent="0.2">
      <c r="A5809" s="1" t="s">
        <v>1276</v>
      </c>
      <c r="B5809" s="1" t="s">
        <v>866</v>
      </c>
      <c r="C5809" s="5">
        <f>DATE(2024, 7, 3) + TIME(15, 55, 50)</f>
        <v>45476.663773148146</v>
      </c>
      <c r="D5809" s="1" t="s">
        <v>65</v>
      </c>
      <c r="E5809" s="1" t="s">
        <v>918</v>
      </c>
    </row>
    <row r="5810" spans="1:5" x14ac:dyDescent="0.2">
      <c r="A5810" s="1" t="s">
        <v>1276</v>
      </c>
      <c r="B5810" s="1" t="s">
        <v>969</v>
      </c>
      <c r="C5810" s="5">
        <f>DATE(2024, 7, 3) + TIME(15, 30, 57)</f>
        <v>45476.646493055552</v>
      </c>
      <c r="D5810" s="1" t="s">
        <v>1221</v>
      </c>
      <c r="E5810" s="1" t="s">
        <v>888</v>
      </c>
    </row>
    <row r="5811" spans="1:5" x14ac:dyDescent="0.2">
      <c r="A5811" s="1" t="s">
        <v>1276</v>
      </c>
      <c r="B5811" s="1" t="s">
        <v>978</v>
      </c>
      <c r="C5811" s="5">
        <f>DATE(2024, 7, 3) + TIME(14, 10, 27)</f>
        <v>45476.590590277781</v>
      </c>
      <c r="D5811" s="1" t="s">
        <v>638</v>
      </c>
      <c r="E5811" s="1" t="s">
        <v>315</v>
      </c>
    </row>
    <row r="5812" spans="1:5" x14ac:dyDescent="0.2">
      <c r="A5812" s="1" t="s">
        <v>1276</v>
      </c>
      <c r="B5812" s="1" t="s">
        <v>271</v>
      </c>
      <c r="C5812" s="5">
        <f>DATE(2024, 7, 3) + TIME(14, 2, 46)</f>
        <v>45476.58525462963</v>
      </c>
      <c r="D5812" s="1" t="s">
        <v>269</v>
      </c>
      <c r="E5812" s="1" t="s">
        <v>492</v>
      </c>
    </row>
    <row r="5813" spans="1:5" x14ac:dyDescent="0.2">
      <c r="A5813" s="1" t="s">
        <v>1276</v>
      </c>
      <c r="B5813" s="1" t="s">
        <v>782</v>
      </c>
      <c r="C5813" s="5">
        <f>DATE(2024, 7, 3) + TIME(13, 45, 30)</f>
        <v>45476.573263888888</v>
      </c>
      <c r="D5813" s="1" t="s">
        <v>754</v>
      </c>
      <c r="E5813" s="1" t="s">
        <v>135</v>
      </c>
    </row>
    <row r="5814" spans="1:5" x14ac:dyDescent="0.2">
      <c r="A5814" s="1" t="s">
        <v>1276</v>
      </c>
      <c r="B5814" s="1" t="s">
        <v>663</v>
      </c>
      <c r="C5814" s="5">
        <f>DATE(2024, 7, 3) + TIME(12, 33, 46)</f>
        <v>45476.523449074077</v>
      </c>
      <c r="D5814" s="1" t="s">
        <v>750</v>
      </c>
      <c r="E5814" s="1" t="s">
        <v>466</v>
      </c>
    </row>
    <row r="5815" spans="1:5" x14ac:dyDescent="0.2">
      <c r="A5815" s="1" t="s">
        <v>1276</v>
      </c>
      <c r="B5815" s="1" t="s">
        <v>1247</v>
      </c>
      <c r="C5815" s="5">
        <f>DATE(2024, 7, 3) + TIME(11, 13, 23)</f>
        <v>45476.467627314814</v>
      </c>
      <c r="D5815" s="1" t="s">
        <v>900</v>
      </c>
      <c r="E5815" s="1" t="s">
        <v>403</v>
      </c>
    </row>
    <row r="5816" spans="1:5" x14ac:dyDescent="0.2">
      <c r="A5816" s="1" t="s">
        <v>1276</v>
      </c>
      <c r="B5816" s="1" t="s">
        <v>317</v>
      </c>
      <c r="C5816" s="5">
        <f>DATE(2024, 7, 3) + TIME(10, 51, 18)</f>
        <v>45476.452291666668</v>
      </c>
      <c r="D5816" s="1" t="s">
        <v>3</v>
      </c>
      <c r="E5816" s="1" t="s">
        <v>1246</v>
      </c>
    </row>
    <row r="5817" spans="1:5" x14ac:dyDescent="0.2">
      <c r="A5817" s="1" t="s">
        <v>1276</v>
      </c>
      <c r="B5817" s="1" t="s">
        <v>818</v>
      </c>
      <c r="C5817" s="5">
        <f>DATE(2024, 7, 3) + TIME(10, 51, 17)</f>
        <v>45476.452280092592</v>
      </c>
      <c r="D5817" s="1" t="s">
        <v>3</v>
      </c>
      <c r="E5817" s="1" t="s">
        <v>1246</v>
      </c>
    </row>
    <row r="5818" spans="1:5" x14ac:dyDescent="0.2">
      <c r="A5818" s="1" t="s">
        <v>1276</v>
      </c>
      <c r="B5818" s="1" t="s">
        <v>1232</v>
      </c>
      <c r="C5818" s="5">
        <f>DATE(2024, 7, 3) + TIME(5, 37, 52)</f>
        <v>45476.234629629631</v>
      </c>
      <c r="D5818" s="1" t="s">
        <v>216</v>
      </c>
      <c r="E5818" s="1" t="s">
        <v>321</v>
      </c>
    </row>
    <row r="5819" spans="1:5" x14ac:dyDescent="0.2">
      <c r="A5819" s="1" t="s">
        <v>1276</v>
      </c>
      <c r="B5819" s="1" t="s">
        <v>272</v>
      </c>
      <c r="C5819" s="5">
        <f>DATE(2024, 7, 2) + TIME(15, 19, 34)</f>
        <v>45475.63858796296</v>
      </c>
      <c r="D5819" s="1" t="s">
        <v>731</v>
      </c>
      <c r="E5819" s="1" t="s">
        <v>111</v>
      </c>
    </row>
    <row r="5820" spans="1:5" x14ac:dyDescent="0.2">
      <c r="A5820" s="1" t="s">
        <v>1276</v>
      </c>
      <c r="B5820" s="1" t="s">
        <v>4</v>
      </c>
      <c r="C5820" s="5">
        <f>DATE(2024, 7, 1) + TIME(15, 15, 16)</f>
        <v>45474.635601851849</v>
      </c>
      <c r="D5820" s="1" t="s">
        <v>640</v>
      </c>
      <c r="E5820" s="1" t="s">
        <v>195</v>
      </c>
    </row>
    <row r="5821" spans="1:5" x14ac:dyDescent="0.2">
      <c r="A5821" s="1" t="s">
        <v>1276</v>
      </c>
      <c r="B5821" s="1" t="s">
        <v>969</v>
      </c>
      <c r="C5821" s="5">
        <f>DATE(2024, 7, 1) + TIME(15, 15, 16)</f>
        <v>45474.635601851849</v>
      </c>
      <c r="D5821" s="1" t="s">
        <v>640</v>
      </c>
      <c r="E5821" s="1" t="s">
        <v>195</v>
      </c>
    </row>
    <row r="5822" spans="1:5" x14ac:dyDescent="0.2">
      <c r="A5822" s="1" t="s">
        <v>1276</v>
      </c>
      <c r="B5822" s="1" t="s">
        <v>969</v>
      </c>
      <c r="C5822" s="5">
        <f>DATE(2024, 7, 1) + TIME(14, 39, 54)</f>
        <v>45474.611041666663</v>
      </c>
      <c r="D5822" s="1" t="s">
        <v>754</v>
      </c>
      <c r="E5822" s="1" t="s">
        <v>870</v>
      </c>
    </row>
    <row r="5823" spans="1:5" x14ac:dyDescent="0.2">
      <c r="A5823" s="1" t="s">
        <v>1276</v>
      </c>
      <c r="B5823" s="1" t="s">
        <v>569</v>
      </c>
      <c r="C5823" s="5">
        <f>DATE(2024, 7, 1) + TIME(12, 42, 10)</f>
        <v>45474.529282407406</v>
      </c>
      <c r="D5823" s="1" t="s">
        <v>640</v>
      </c>
      <c r="E5823" s="1" t="s">
        <v>520</v>
      </c>
    </row>
    <row r="5824" spans="1:5" x14ac:dyDescent="0.2">
      <c r="A5824" s="1" t="s">
        <v>1276</v>
      </c>
      <c r="B5824" s="1" t="s">
        <v>139</v>
      </c>
      <c r="C5824" s="5">
        <f>DATE(2024, 7, 1) + TIME(12, 32, 44)</f>
        <v>45474.522731481484</v>
      </c>
      <c r="D5824" s="1" t="s">
        <v>731</v>
      </c>
      <c r="E5824" s="1" t="s">
        <v>329</v>
      </c>
    </row>
    <row r="5825" spans="1:5" x14ac:dyDescent="0.2">
      <c r="A5825" s="1" t="s">
        <v>1276</v>
      </c>
      <c r="B5825" s="1" t="s">
        <v>746</v>
      </c>
      <c r="C5825" s="5">
        <f>DATE(2024, 7, 1) + TIME(11, 47, 34)</f>
        <v>45474.491365740738</v>
      </c>
      <c r="D5825" s="1" t="s">
        <v>900</v>
      </c>
      <c r="E5825" s="1" t="s">
        <v>308</v>
      </c>
    </row>
    <row r="5826" spans="1:5" x14ac:dyDescent="0.2">
      <c r="A5826" s="1" t="s">
        <v>1276</v>
      </c>
      <c r="B5826" s="1" t="s">
        <v>409</v>
      </c>
      <c r="C5826" s="5">
        <f>DATE(2024, 7, 1) + TIME(11, 47, 34)</f>
        <v>45474.491365740738</v>
      </c>
      <c r="D5826" s="1" t="s">
        <v>900</v>
      </c>
      <c r="E5826" s="1" t="s">
        <v>308</v>
      </c>
    </row>
    <row r="5827" spans="1:5" x14ac:dyDescent="0.2">
      <c r="A5827" s="1" t="s">
        <v>1276</v>
      </c>
      <c r="B5827" s="1" t="s">
        <v>969</v>
      </c>
      <c r="C5827" s="5">
        <f>DATE(2024, 6, 27) + TIME(16, 2, 24)</f>
        <v>45470.668333333335</v>
      </c>
      <c r="D5827" s="1" t="s">
        <v>754</v>
      </c>
      <c r="E5827" s="1" t="s">
        <v>441</v>
      </c>
    </row>
    <row r="5828" spans="1:5" x14ac:dyDescent="0.2">
      <c r="A5828" s="1" t="s">
        <v>1276</v>
      </c>
      <c r="B5828" s="1" t="s">
        <v>582</v>
      </c>
      <c r="C5828" s="5">
        <f>DATE(2024, 6, 27) + TIME(15, 23, 53)</f>
        <v>45470.641585648147</v>
      </c>
      <c r="D5828" s="1" t="s">
        <v>144</v>
      </c>
      <c r="E5828" s="1" t="s">
        <v>946</v>
      </c>
    </row>
    <row r="5829" spans="1:5" x14ac:dyDescent="0.2">
      <c r="A5829" s="1" t="s">
        <v>1276</v>
      </c>
      <c r="B5829" s="1" t="s">
        <v>1251</v>
      </c>
      <c r="C5829" s="5">
        <f>DATE(2024, 6, 27) + TIME(15, 15, 34)</f>
        <v>45470.635810185187</v>
      </c>
      <c r="D5829" s="1" t="s">
        <v>506</v>
      </c>
      <c r="E5829" s="1" t="s">
        <v>867</v>
      </c>
    </row>
    <row r="5830" spans="1:5" x14ac:dyDescent="0.2">
      <c r="A5830" s="1" t="s">
        <v>1276</v>
      </c>
      <c r="B5830" s="1" t="s">
        <v>42</v>
      </c>
      <c r="C5830" s="5">
        <f>DATE(2024, 6, 27) + TIME(15, 15, 33)</f>
        <v>45470.635798611111</v>
      </c>
      <c r="D5830" s="1" t="s">
        <v>506</v>
      </c>
      <c r="E5830" s="1" t="s">
        <v>867</v>
      </c>
    </row>
    <row r="5831" spans="1:5" x14ac:dyDescent="0.2">
      <c r="A5831" s="1" t="s">
        <v>1276</v>
      </c>
      <c r="B5831" s="1" t="s">
        <v>69</v>
      </c>
      <c r="C5831" s="5">
        <f>DATE(2024, 6, 27) + TIME(13, 47, 42)</f>
        <v>45470.574791666666</v>
      </c>
      <c r="D5831" s="1" t="s">
        <v>320</v>
      </c>
      <c r="E5831" s="1" t="s">
        <v>2</v>
      </c>
    </row>
    <row r="5832" spans="1:5" x14ac:dyDescent="0.2">
      <c r="A5832" s="1" t="s">
        <v>1276</v>
      </c>
      <c r="B5832" s="1" t="s">
        <v>969</v>
      </c>
      <c r="C5832" s="5">
        <f>DATE(2024, 6, 27) + TIME(13, 47, 42)</f>
        <v>45470.574791666666</v>
      </c>
      <c r="D5832" s="1" t="s">
        <v>320</v>
      </c>
      <c r="E5832" s="1" t="s">
        <v>2</v>
      </c>
    </row>
    <row r="5833" spans="1:5" x14ac:dyDescent="0.2">
      <c r="A5833" s="1" t="s">
        <v>1276</v>
      </c>
      <c r="B5833" s="1" t="s">
        <v>271</v>
      </c>
      <c r="C5833" s="5">
        <f>DATE(2024, 6, 27) + TIME(13, 31, 50)</f>
        <v>45470.563773148147</v>
      </c>
      <c r="D5833" s="1" t="s">
        <v>1221</v>
      </c>
      <c r="E5833" s="1" t="s">
        <v>893</v>
      </c>
    </row>
    <row r="5834" spans="1:5" x14ac:dyDescent="0.2">
      <c r="A5834" s="1" t="s">
        <v>1276</v>
      </c>
      <c r="B5834" s="1" t="s">
        <v>569</v>
      </c>
      <c r="C5834" s="5">
        <f>DATE(2024, 6, 27) + TIME(13, 30, 26)</f>
        <v>45470.562800925924</v>
      </c>
      <c r="D5834" s="1" t="s">
        <v>269</v>
      </c>
      <c r="E5834" s="1" t="s">
        <v>299</v>
      </c>
    </row>
    <row r="5835" spans="1:5" x14ac:dyDescent="0.2">
      <c r="A5835" s="1" t="s">
        <v>1276</v>
      </c>
      <c r="B5835" s="1" t="s">
        <v>969</v>
      </c>
      <c r="C5835" s="5">
        <f>DATE(2024, 6, 27) + TIME(10, 26, 36)</f>
        <v>45470.43513888889</v>
      </c>
      <c r="D5835" s="1" t="s">
        <v>754</v>
      </c>
      <c r="E5835" s="1" t="s">
        <v>941</v>
      </c>
    </row>
    <row r="5836" spans="1:5" x14ac:dyDescent="0.2">
      <c r="A5836" s="1" t="s">
        <v>1276</v>
      </c>
      <c r="B5836" s="1" t="s">
        <v>1252</v>
      </c>
      <c r="C5836" s="5">
        <f>DATE(2024, 6, 27) + TIME(6, 38, 5)</f>
        <v>45470.276446759257</v>
      </c>
      <c r="D5836" s="1" t="s">
        <v>396</v>
      </c>
      <c r="E5836" s="1" t="s">
        <v>36</v>
      </c>
    </row>
    <row r="5837" spans="1:5" x14ac:dyDescent="0.2">
      <c r="A5837" s="1" t="s">
        <v>1276</v>
      </c>
      <c r="B5837" s="1" t="s">
        <v>1215</v>
      </c>
      <c r="C5837" s="5">
        <f>DATE(2024, 6, 26) + TIME(16, 43, 33)</f>
        <v>45469.696909722225</v>
      </c>
      <c r="D5837" s="1" t="s">
        <v>216</v>
      </c>
      <c r="E5837" s="1" t="s">
        <v>519</v>
      </c>
    </row>
    <row r="5838" spans="1:5" x14ac:dyDescent="0.2">
      <c r="A5838" s="1" t="s">
        <v>1276</v>
      </c>
      <c r="B5838" s="1" t="s">
        <v>271</v>
      </c>
      <c r="C5838" s="5">
        <f>DATE(2024, 6, 26) + TIME(14, 50, 20)</f>
        <v>45469.618287037039</v>
      </c>
      <c r="D5838" s="1" t="s">
        <v>459</v>
      </c>
      <c r="E5838" s="1" t="s">
        <v>843</v>
      </c>
    </row>
    <row r="5839" spans="1:5" x14ac:dyDescent="0.2">
      <c r="A5839" s="1" t="s">
        <v>1276</v>
      </c>
      <c r="B5839" s="1" t="s">
        <v>468</v>
      </c>
      <c r="C5839" s="5">
        <f>DATE(2024, 6, 26) + TIME(14, 26, 25)</f>
        <v>45469.601678240739</v>
      </c>
      <c r="D5839" s="1" t="s">
        <v>65</v>
      </c>
      <c r="E5839" s="1" t="s">
        <v>918</v>
      </c>
    </row>
    <row r="5840" spans="1:5" x14ac:dyDescent="0.2">
      <c r="A5840" s="1" t="s">
        <v>1276</v>
      </c>
      <c r="B5840" s="1" t="s">
        <v>932</v>
      </c>
      <c r="C5840" s="5">
        <f>DATE(2024, 6, 26) + TIME(13, 33, 26)</f>
        <v>45469.564884259256</v>
      </c>
      <c r="D5840" s="1" t="s">
        <v>255</v>
      </c>
      <c r="E5840" s="1" t="s">
        <v>466</v>
      </c>
    </row>
    <row r="5841" spans="1:5" x14ac:dyDescent="0.2">
      <c r="A5841" s="1" t="s">
        <v>1276</v>
      </c>
      <c r="B5841" s="1" t="s">
        <v>1253</v>
      </c>
      <c r="C5841" s="5">
        <f>DATE(2024, 6, 26) + TIME(13, 16, 49)</f>
        <v>45469.553344907406</v>
      </c>
      <c r="D5841" s="1" t="s">
        <v>1221</v>
      </c>
      <c r="E5841" s="1" t="s">
        <v>888</v>
      </c>
    </row>
    <row r="5842" spans="1:5" x14ac:dyDescent="0.2">
      <c r="A5842" s="1" t="s">
        <v>1276</v>
      </c>
      <c r="B5842" s="1" t="s">
        <v>33</v>
      </c>
      <c r="C5842" s="5">
        <f>DATE(2024, 6, 26) + TIME(13, 7, 28)</f>
        <v>45469.546851851854</v>
      </c>
      <c r="D5842" s="1" t="s">
        <v>216</v>
      </c>
      <c r="E5842" s="1" t="s">
        <v>182</v>
      </c>
    </row>
    <row r="5843" spans="1:5" x14ac:dyDescent="0.2">
      <c r="A5843" s="1" t="s">
        <v>1276</v>
      </c>
      <c r="B5843" s="1" t="s">
        <v>486</v>
      </c>
      <c r="C5843" s="5">
        <f>DATE(2024, 6, 26) + TIME(13, 7, 27)</f>
        <v>45469.546840277777</v>
      </c>
      <c r="D5843" s="1" t="s">
        <v>216</v>
      </c>
      <c r="E5843" s="1" t="s">
        <v>182</v>
      </c>
    </row>
    <row r="5844" spans="1:5" x14ac:dyDescent="0.2">
      <c r="A5844" s="1" t="s">
        <v>1276</v>
      </c>
      <c r="B5844" s="1" t="s">
        <v>1254</v>
      </c>
      <c r="C5844" s="5">
        <f>DATE(2024, 6, 26) + TIME(11, 22, 14)</f>
        <v>45469.473773148151</v>
      </c>
      <c r="D5844" s="1" t="s">
        <v>900</v>
      </c>
      <c r="E5844" s="1" t="s">
        <v>873</v>
      </c>
    </row>
    <row r="5845" spans="1:5" x14ac:dyDescent="0.2">
      <c r="A5845" s="1" t="s">
        <v>1276</v>
      </c>
      <c r="B5845" s="1" t="s">
        <v>1255</v>
      </c>
      <c r="C5845" s="5">
        <f>DATE(2024, 6, 26) + TIME(11, 22, 14)</f>
        <v>45469.473773148151</v>
      </c>
      <c r="D5845" s="1" t="s">
        <v>900</v>
      </c>
      <c r="E5845" s="1" t="s">
        <v>873</v>
      </c>
    </row>
    <row r="5846" spans="1:5" x14ac:dyDescent="0.2">
      <c r="A5846" s="1" t="s">
        <v>1276</v>
      </c>
      <c r="B5846" s="1" t="s">
        <v>1024</v>
      </c>
      <c r="C5846" s="5">
        <f>DATE(2024, 6, 26) + TIME(11, 16, 59)</f>
        <v>45469.470127314817</v>
      </c>
      <c r="D5846" s="1" t="s">
        <v>506</v>
      </c>
      <c r="E5846" s="1" t="s">
        <v>158</v>
      </c>
    </row>
    <row r="5847" spans="1:5" x14ac:dyDescent="0.2">
      <c r="A5847" s="1" t="s">
        <v>1276</v>
      </c>
      <c r="B5847" s="1" t="s">
        <v>496</v>
      </c>
      <c r="C5847" s="5">
        <f>DATE(2024, 6, 25) + TIME(12, 49, 7)</f>
        <v>45468.534108796295</v>
      </c>
      <c r="D5847" s="1" t="s">
        <v>638</v>
      </c>
      <c r="E5847" s="1" t="s">
        <v>335</v>
      </c>
    </row>
    <row r="5848" spans="1:5" x14ac:dyDescent="0.2">
      <c r="A5848" s="1" t="s">
        <v>1276</v>
      </c>
      <c r="B5848" s="1" t="s">
        <v>686</v>
      </c>
      <c r="C5848" s="5">
        <f>DATE(2024, 6, 25) + TIME(12, 9, 48)</f>
        <v>45468.506805555553</v>
      </c>
      <c r="D5848" s="1" t="s">
        <v>900</v>
      </c>
      <c r="E5848" s="1" t="s">
        <v>253</v>
      </c>
    </row>
    <row r="5849" spans="1:5" x14ac:dyDescent="0.2">
      <c r="A5849" s="1" t="s">
        <v>1276</v>
      </c>
      <c r="B5849" s="1" t="s">
        <v>794</v>
      </c>
      <c r="C5849" s="5">
        <f>DATE(2024, 6, 25) + TIME(11, 37, 5)</f>
        <v>45468.484085648146</v>
      </c>
      <c r="D5849" s="1" t="s">
        <v>506</v>
      </c>
      <c r="E5849" s="1" t="s">
        <v>823</v>
      </c>
    </row>
    <row r="5850" spans="1:5" x14ac:dyDescent="0.2">
      <c r="A5850" s="1" t="s">
        <v>1276</v>
      </c>
      <c r="B5850" s="1" t="s">
        <v>271</v>
      </c>
      <c r="C5850" s="5">
        <f>DATE(2024, 6, 25) + TIME(4, 45, 20)</f>
        <v>45468.198148148149</v>
      </c>
      <c r="D5850" s="1" t="s">
        <v>3</v>
      </c>
      <c r="E5850" s="1" t="s">
        <v>925</v>
      </c>
    </row>
    <row r="5851" spans="1:5" x14ac:dyDescent="0.2">
      <c r="A5851" s="1" t="s">
        <v>1276</v>
      </c>
      <c r="B5851" s="1" t="s">
        <v>163</v>
      </c>
      <c r="C5851" s="5">
        <f>DATE(2024, 6, 24) + TIME(15, 54, 12)</f>
        <v>45467.662638888891</v>
      </c>
      <c r="D5851" s="1" t="s">
        <v>144</v>
      </c>
      <c r="E5851" s="1" t="s">
        <v>695</v>
      </c>
    </row>
    <row r="5852" spans="1:5" x14ac:dyDescent="0.2">
      <c r="A5852" s="1" t="s">
        <v>1276</v>
      </c>
      <c r="B5852" s="1" t="s">
        <v>1213</v>
      </c>
      <c r="C5852" s="5">
        <f>DATE(2024, 6, 24) + TIME(15, 41, 6)</f>
        <v>45467.653541666667</v>
      </c>
      <c r="D5852" s="1" t="s">
        <v>754</v>
      </c>
      <c r="E5852" s="1" t="s">
        <v>330</v>
      </c>
    </row>
    <row r="5853" spans="1:5" x14ac:dyDescent="0.2">
      <c r="A5853" s="1" t="s">
        <v>1276</v>
      </c>
      <c r="B5853" s="1" t="s">
        <v>139</v>
      </c>
      <c r="C5853" s="5">
        <f>DATE(2024, 6, 24) + TIME(14, 55, 22)</f>
        <v>45467.621782407405</v>
      </c>
      <c r="D5853" s="1" t="s">
        <v>65</v>
      </c>
      <c r="E5853" s="1" t="s">
        <v>329</v>
      </c>
    </row>
    <row r="5854" spans="1:5" x14ac:dyDescent="0.2">
      <c r="A5854" s="1" t="s">
        <v>1276</v>
      </c>
      <c r="B5854" s="1" t="s">
        <v>24</v>
      </c>
      <c r="C5854" s="5">
        <f>DATE(2024, 6, 24) + TIME(14, 34, 45)</f>
        <v>45467.607465277775</v>
      </c>
      <c r="D5854" s="1" t="s">
        <v>754</v>
      </c>
      <c r="E5854" s="1" t="s">
        <v>282</v>
      </c>
    </row>
    <row r="5855" spans="1:5" x14ac:dyDescent="0.2">
      <c r="A5855" s="1" t="s">
        <v>1276</v>
      </c>
      <c r="B5855" s="1" t="s">
        <v>651</v>
      </c>
      <c r="C5855" s="5">
        <f>DATE(2024, 6, 24) + TIME(14, 18, 38)</f>
        <v>45467.596273148149</v>
      </c>
      <c r="D5855" s="1" t="s">
        <v>506</v>
      </c>
      <c r="E5855" s="1" t="s">
        <v>808</v>
      </c>
    </row>
    <row r="5856" spans="1:5" x14ac:dyDescent="0.2">
      <c r="A5856" s="1" t="s">
        <v>1276</v>
      </c>
      <c r="B5856" s="1" t="s">
        <v>688</v>
      </c>
      <c r="C5856" s="5">
        <f>DATE(2024, 6, 24) + TIME(12, 36, 48)</f>
        <v>45467.525555555556</v>
      </c>
      <c r="D5856" s="1" t="s">
        <v>3</v>
      </c>
      <c r="E5856" s="1" t="s">
        <v>926</v>
      </c>
    </row>
    <row r="5857" spans="1:5" x14ac:dyDescent="0.2">
      <c r="A5857" s="1" t="s">
        <v>1276</v>
      </c>
      <c r="B5857" s="1" t="s">
        <v>682</v>
      </c>
      <c r="C5857" s="5">
        <f>DATE(2024, 6, 20) + TIME(15, 29, 25)</f>
        <v>45463.645428240743</v>
      </c>
      <c r="D5857" s="1" t="s">
        <v>869</v>
      </c>
      <c r="E5857" s="1" t="s">
        <v>438</v>
      </c>
    </row>
    <row r="5858" spans="1:5" x14ac:dyDescent="0.2">
      <c r="A5858" s="1" t="s">
        <v>1276</v>
      </c>
      <c r="B5858" s="1" t="s">
        <v>1222</v>
      </c>
      <c r="C5858" s="5">
        <f>DATE(2024, 6, 20) + TIME(13, 52, 50)</f>
        <v>45463.578356481485</v>
      </c>
      <c r="D5858" s="1" t="s">
        <v>320</v>
      </c>
      <c r="E5858" s="1" t="s">
        <v>2</v>
      </c>
    </row>
    <row r="5859" spans="1:5" x14ac:dyDescent="0.2">
      <c r="A5859" s="1" t="s">
        <v>1276</v>
      </c>
      <c r="B5859" s="1" t="s">
        <v>1113</v>
      </c>
      <c r="C5859" s="5">
        <f>DATE(2024, 6, 20) + TIME(13, 52, 50)</f>
        <v>45463.578356481485</v>
      </c>
      <c r="D5859" s="1" t="s">
        <v>320</v>
      </c>
      <c r="E5859" s="1" t="s">
        <v>2</v>
      </c>
    </row>
    <row r="5860" spans="1:5" x14ac:dyDescent="0.2">
      <c r="A5860" s="1" t="s">
        <v>1276</v>
      </c>
      <c r="B5860" s="1" t="s">
        <v>306</v>
      </c>
      <c r="C5860" s="5">
        <f>DATE(2024, 6, 20) + TIME(13, 29, 27)</f>
        <v>45463.562118055554</v>
      </c>
      <c r="D5860" s="1" t="s">
        <v>3</v>
      </c>
      <c r="E5860" s="1" t="s">
        <v>684</v>
      </c>
    </row>
    <row r="5861" spans="1:5" x14ac:dyDescent="0.2">
      <c r="A5861" s="1" t="s">
        <v>1276</v>
      </c>
      <c r="B5861" s="1" t="s">
        <v>69</v>
      </c>
      <c r="C5861" s="5">
        <f>DATE(2024, 6, 20) + TIME(13, 28, 5)</f>
        <v>45463.561168981483</v>
      </c>
      <c r="D5861" s="1" t="s">
        <v>731</v>
      </c>
      <c r="E5861" s="1" t="s">
        <v>1191</v>
      </c>
    </row>
    <row r="5862" spans="1:5" x14ac:dyDescent="0.2">
      <c r="A5862" s="1" t="s">
        <v>1276</v>
      </c>
      <c r="B5862" s="1" t="s">
        <v>271</v>
      </c>
      <c r="C5862" s="5">
        <f>DATE(2024, 6, 20) + TIME(13, 28, 4)</f>
        <v>45463.561157407406</v>
      </c>
      <c r="D5862" s="1" t="s">
        <v>731</v>
      </c>
      <c r="E5862" s="1" t="s">
        <v>1191</v>
      </c>
    </row>
    <row r="5863" spans="1:5" x14ac:dyDescent="0.2">
      <c r="A5863" s="1" t="s">
        <v>1276</v>
      </c>
      <c r="B5863" s="1" t="s">
        <v>969</v>
      </c>
      <c r="C5863" s="5">
        <f>DATE(2024, 6, 20) + TIME(13, 19, 12)</f>
        <v>45463.555</v>
      </c>
      <c r="D5863" s="1" t="s">
        <v>144</v>
      </c>
      <c r="E5863" s="1" t="s">
        <v>1019</v>
      </c>
    </row>
    <row r="5864" spans="1:5" x14ac:dyDescent="0.2">
      <c r="A5864" s="1" t="s">
        <v>1276</v>
      </c>
      <c r="B5864" s="1" t="s">
        <v>33</v>
      </c>
      <c r="C5864" s="5">
        <f>DATE(2024, 6, 20) + TIME(13, 11, 31)</f>
        <v>45463.549664351849</v>
      </c>
      <c r="D5864" s="1" t="s">
        <v>506</v>
      </c>
      <c r="E5864" s="1" t="s">
        <v>867</v>
      </c>
    </row>
    <row r="5865" spans="1:5" x14ac:dyDescent="0.2">
      <c r="A5865" s="1" t="s">
        <v>1276</v>
      </c>
      <c r="B5865" s="1" t="s">
        <v>1024</v>
      </c>
      <c r="C5865" s="5">
        <f>DATE(2024, 6, 20) + TIME(13, 11, 31)</f>
        <v>45463.549664351849</v>
      </c>
      <c r="D5865" s="1" t="s">
        <v>506</v>
      </c>
      <c r="E5865" s="1" t="s">
        <v>867</v>
      </c>
    </row>
    <row r="5866" spans="1:5" x14ac:dyDescent="0.2">
      <c r="A5866" s="1" t="s">
        <v>1276</v>
      </c>
      <c r="B5866" s="1" t="s">
        <v>235</v>
      </c>
      <c r="C5866" s="5">
        <f>DATE(2024, 6, 20) + TIME(13, 11, 31)</f>
        <v>45463.549664351849</v>
      </c>
      <c r="D5866" s="1" t="s">
        <v>506</v>
      </c>
      <c r="E5866" s="1" t="s">
        <v>867</v>
      </c>
    </row>
    <row r="5867" spans="1:5" x14ac:dyDescent="0.2">
      <c r="A5867" s="1" t="s">
        <v>1276</v>
      </c>
      <c r="B5867" s="1" t="s">
        <v>69</v>
      </c>
      <c r="C5867" s="5">
        <f>DATE(2024, 6, 20) + TIME(13, 10, 55)</f>
        <v>45463.549247685187</v>
      </c>
      <c r="D5867" s="1" t="s">
        <v>731</v>
      </c>
      <c r="E5867" s="1" t="s">
        <v>1261</v>
      </c>
    </row>
    <row r="5868" spans="1:5" x14ac:dyDescent="0.2">
      <c r="A5868" s="1" t="s">
        <v>1276</v>
      </c>
      <c r="B5868" s="1" t="s">
        <v>932</v>
      </c>
      <c r="C5868" s="5">
        <f>DATE(2024, 6, 20) + TIME(11, 25, 34)</f>
        <v>45463.476087962961</v>
      </c>
      <c r="D5868" s="1" t="s">
        <v>216</v>
      </c>
      <c r="E5868" s="1" t="s">
        <v>466</v>
      </c>
    </row>
    <row r="5869" spans="1:5" x14ac:dyDescent="0.2">
      <c r="A5869" s="1" t="s">
        <v>1276</v>
      </c>
      <c r="B5869" s="1" t="s">
        <v>818</v>
      </c>
      <c r="C5869" s="5">
        <f>DATE(2024, 6, 20) + TIME(9, 21, 42)</f>
        <v>45463.390069444446</v>
      </c>
      <c r="D5869" s="1" t="s">
        <v>3</v>
      </c>
      <c r="E5869" s="1" t="s">
        <v>211</v>
      </c>
    </row>
    <row r="5870" spans="1:5" x14ac:dyDescent="0.2">
      <c r="A5870" s="1" t="s">
        <v>1276</v>
      </c>
      <c r="B5870" s="1" t="s">
        <v>328</v>
      </c>
      <c r="C5870" s="5">
        <f>DATE(2024, 6, 19) + TIME(15, 13, 31)</f>
        <v>45462.634386574071</v>
      </c>
      <c r="D5870" s="1" t="s">
        <v>900</v>
      </c>
      <c r="E5870" s="1" t="s">
        <v>1008</v>
      </c>
    </row>
    <row r="5871" spans="1:5" x14ac:dyDescent="0.2">
      <c r="A5871" s="1" t="s">
        <v>1276</v>
      </c>
      <c r="B5871" s="1" t="s">
        <v>271</v>
      </c>
      <c r="C5871" s="5">
        <f>DATE(2024, 6, 19) + TIME(14, 40, 3)</f>
        <v>45462.611145833333</v>
      </c>
      <c r="D5871" s="1" t="s">
        <v>459</v>
      </c>
      <c r="E5871" s="1" t="s">
        <v>843</v>
      </c>
    </row>
    <row r="5872" spans="1:5" x14ac:dyDescent="0.2">
      <c r="A5872" s="1" t="s">
        <v>1276</v>
      </c>
      <c r="B5872" s="1" t="s">
        <v>651</v>
      </c>
      <c r="C5872" s="5">
        <f>DATE(2024, 6, 19) + TIME(12, 31, 6)</f>
        <v>45462.521597222221</v>
      </c>
      <c r="D5872" s="1" t="s">
        <v>754</v>
      </c>
      <c r="E5872" s="1" t="s">
        <v>1262</v>
      </c>
    </row>
    <row r="5873" spans="1:5" x14ac:dyDescent="0.2">
      <c r="A5873" s="1" t="s">
        <v>1276</v>
      </c>
      <c r="B5873" s="1" t="s">
        <v>931</v>
      </c>
      <c r="C5873" s="5">
        <f>DATE(2024, 6, 19) + TIME(12, 0, 59)</f>
        <v>45462.50068287037</v>
      </c>
      <c r="D5873" s="1" t="s">
        <v>900</v>
      </c>
      <c r="E5873" s="1" t="s">
        <v>213</v>
      </c>
    </row>
    <row r="5874" spans="1:5" x14ac:dyDescent="0.2">
      <c r="A5874" s="1" t="s">
        <v>1276</v>
      </c>
      <c r="B5874" s="1" t="s">
        <v>1247</v>
      </c>
      <c r="C5874" s="5">
        <f>DATE(2024, 6, 19) + TIME(11, 22, 9)</f>
        <v>45462.473715277774</v>
      </c>
      <c r="D5874" s="1" t="s">
        <v>900</v>
      </c>
      <c r="E5874" s="1" t="s">
        <v>233</v>
      </c>
    </row>
    <row r="5875" spans="1:5" x14ac:dyDescent="0.2">
      <c r="A5875" s="1" t="s">
        <v>1276</v>
      </c>
      <c r="B5875" s="1" t="s">
        <v>247</v>
      </c>
      <c r="C5875" s="5">
        <f>DATE(2024, 6, 19) + TIME(10, 46, 27)</f>
        <v>45462.448923611111</v>
      </c>
      <c r="D5875" s="1" t="s">
        <v>506</v>
      </c>
      <c r="E5875" s="1" t="s">
        <v>158</v>
      </c>
    </row>
    <row r="5876" spans="1:5" x14ac:dyDescent="0.2">
      <c r="A5876" s="1" t="s">
        <v>1276</v>
      </c>
      <c r="B5876" s="1" t="s">
        <v>1147</v>
      </c>
      <c r="C5876" s="5">
        <f>DATE(2024, 6, 19) + TIME(10, 46, 27)</f>
        <v>45462.448923611111</v>
      </c>
      <c r="D5876" s="1" t="s">
        <v>506</v>
      </c>
      <c r="E5876" s="1" t="s">
        <v>158</v>
      </c>
    </row>
    <row r="5877" spans="1:5" x14ac:dyDescent="0.2">
      <c r="A5877" s="1" t="s">
        <v>1276</v>
      </c>
      <c r="B5877" s="1" t="s">
        <v>688</v>
      </c>
      <c r="C5877" s="5">
        <f>DATE(2024, 6, 19) + TIME(10, 46, 27)</f>
        <v>45462.448923611111</v>
      </c>
      <c r="D5877" s="1" t="s">
        <v>506</v>
      </c>
      <c r="E5877" s="1" t="s">
        <v>158</v>
      </c>
    </row>
    <row r="5878" spans="1:5" x14ac:dyDescent="0.2">
      <c r="A5878" s="1" t="s">
        <v>1276</v>
      </c>
      <c r="B5878" s="1" t="s">
        <v>22</v>
      </c>
      <c r="C5878" s="5">
        <f>DATE(2024, 6, 19) + TIME(9, 13, 3)</f>
        <v>45462.384062500001</v>
      </c>
      <c r="D5878" s="1" t="s">
        <v>900</v>
      </c>
      <c r="E5878" s="1" t="s">
        <v>1263</v>
      </c>
    </row>
    <row r="5879" spans="1:5" x14ac:dyDescent="0.2">
      <c r="A5879" s="1" t="s">
        <v>1276</v>
      </c>
      <c r="B5879" s="1" t="s">
        <v>63</v>
      </c>
      <c r="C5879" s="5">
        <f>DATE(2024, 6, 19) + TIME(9, 13, 3)</f>
        <v>45462.384062500001</v>
      </c>
      <c r="D5879" s="1" t="s">
        <v>900</v>
      </c>
      <c r="E5879" s="1" t="s">
        <v>1263</v>
      </c>
    </row>
    <row r="5880" spans="1:5" x14ac:dyDescent="0.2">
      <c r="A5880" s="1" t="s">
        <v>1276</v>
      </c>
      <c r="B5880" s="1" t="s">
        <v>1264</v>
      </c>
      <c r="C5880" s="5">
        <f>DATE(2024, 6, 19) + TIME(9, 13, 3)</f>
        <v>45462.384062500001</v>
      </c>
      <c r="D5880" s="1" t="s">
        <v>900</v>
      </c>
      <c r="E5880" s="1" t="s">
        <v>403</v>
      </c>
    </row>
    <row r="5881" spans="1:5" x14ac:dyDescent="0.2">
      <c r="A5881" s="1" t="s">
        <v>1276</v>
      </c>
      <c r="B5881" s="1" t="s">
        <v>866</v>
      </c>
      <c r="C5881" s="5">
        <f>DATE(2024, 6, 18) + TIME(19, 4, 27)</f>
        <v>45461.794756944444</v>
      </c>
      <c r="D5881" s="1" t="s">
        <v>1221</v>
      </c>
      <c r="E5881" s="1" t="s">
        <v>888</v>
      </c>
    </row>
    <row r="5882" spans="1:5" x14ac:dyDescent="0.2">
      <c r="A5882" s="1" t="s">
        <v>1276</v>
      </c>
      <c r="B5882" s="1" t="s">
        <v>161</v>
      </c>
      <c r="C5882" s="5">
        <f>DATE(2024, 6, 18) + TIME(14, 5, 25)</f>
        <v>45461.587094907409</v>
      </c>
      <c r="D5882" s="1" t="s">
        <v>65</v>
      </c>
      <c r="E5882" s="1" t="s">
        <v>400</v>
      </c>
    </row>
    <row r="5883" spans="1:5" x14ac:dyDescent="0.2">
      <c r="A5883" s="1" t="s">
        <v>1276</v>
      </c>
      <c r="B5883" s="1" t="s">
        <v>932</v>
      </c>
      <c r="C5883" s="5">
        <f>DATE(2024, 6, 18) + TIME(12, 49, 21)</f>
        <v>45461.534270833334</v>
      </c>
      <c r="D5883" s="1" t="s">
        <v>216</v>
      </c>
      <c r="E5883" s="1" t="s">
        <v>912</v>
      </c>
    </row>
    <row r="5884" spans="1:5" x14ac:dyDescent="0.2">
      <c r="A5884" s="1" t="s">
        <v>1276</v>
      </c>
      <c r="B5884" s="1" t="s">
        <v>290</v>
      </c>
      <c r="C5884" s="5">
        <f>DATE(2024, 6, 18) + TIME(9, 22, 13)</f>
        <v>45461.390428240738</v>
      </c>
      <c r="D5884" s="1" t="s">
        <v>65</v>
      </c>
      <c r="E5884" s="1" t="s">
        <v>152</v>
      </c>
    </row>
    <row r="5885" spans="1:5" x14ac:dyDescent="0.2">
      <c r="A5885" s="1" t="s">
        <v>1276</v>
      </c>
      <c r="B5885" s="1" t="s">
        <v>33</v>
      </c>
      <c r="C5885" s="5">
        <f>DATE(2024, 6, 18) + TIME(9, 22, 13)</f>
        <v>45461.390428240738</v>
      </c>
      <c r="D5885" s="1" t="s">
        <v>65</v>
      </c>
      <c r="E5885" s="1" t="s">
        <v>152</v>
      </c>
    </row>
    <row r="5886" spans="1:5" x14ac:dyDescent="0.2">
      <c r="A5886" s="1" t="s">
        <v>1276</v>
      </c>
      <c r="B5886" s="1" t="s">
        <v>864</v>
      </c>
      <c r="C5886" s="5">
        <f>DATE(2024, 6, 18) + TIME(9, 22, 13)</f>
        <v>45461.390428240738</v>
      </c>
      <c r="D5886" s="1" t="s">
        <v>65</v>
      </c>
      <c r="E5886" s="1" t="s">
        <v>152</v>
      </c>
    </row>
    <row r="5887" spans="1:5" x14ac:dyDescent="0.2">
      <c r="A5887" s="1" t="s">
        <v>1276</v>
      </c>
      <c r="B5887" s="1" t="s">
        <v>69</v>
      </c>
      <c r="C5887" s="5">
        <f>DATE(2024, 6, 18) + TIME(9, 22, 13)</f>
        <v>45461.390428240738</v>
      </c>
      <c r="D5887" s="1" t="s">
        <v>65</v>
      </c>
      <c r="E5887" s="1" t="s">
        <v>152</v>
      </c>
    </row>
    <row r="5888" spans="1:5" x14ac:dyDescent="0.2">
      <c r="A5888" s="1" t="s">
        <v>1276</v>
      </c>
      <c r="B5888" s="1" t="s">
        <v>682</v>
      </c>
      <c r="C5888" s="5">
        <f>DATE(2024, 6, 18) + TIME(9, 22, 13)</f>
        <v>45461.390428240738</v>
      </c>
      <c r="D5888" s="1" t="s">
        <v>65</v>
      </c>
      <c r="E5888" s="1" t="s">
        <v>152</v>
      </c>
    </row>
    <row r="5889" spans="1:5" x14ac:dyDescent="0.2">
      <c r="A5889" s="1" t="s">
        <v>1276</v>
      </c>
      <c r="B5889" s="1" t="s">
        <v>818</v>
      </c>
      <c r="C5889" s="5">
        <f>DATE(2024, 6, 18) + TIME(6, 43, 19)</f>
        <v>45461.280081018522</v>
      </c>
      <c r="D5889" s="1" t="s">
        <v>869</v>
      </c>
      <c r="E5889" s="1" t="s">
        <v>383</v>
      </c>
    </row>
    <row r="5890" spans="1:5" x14ac:dyDescent="0.2">
      <c r="A5890" s="1" t="s">
        <v>1276</v>
      </c>
      <c r="B5890" s="1" t="s">
        <v>271</v>
      </c>
      <c r="C5890" s="5">
        <f>DATE(2024, 6, 18) + TIME(6, 43, 19)</f>
        <v>45461.280081018522</v>
      </c>
      <c r="D5890" s="1" t="s">
        <v>869</v>
      </c>
      <c r="E5890" s="1" t="s">
        <v>383</v>
      </c>
    </row>
    <row r="5891" spans="1:5" x14ac:dyDescent="0.2">
      <c r="A5891" s="1" t="s">
        <v>1276</v>
      </c>
      <c r="B5891" s="1" t="s">
        <v>1266</v>
      </c>
      <c r="C5891" s="5">
        <f>DATE(2024, 6, 17) + TIME(13, 52, 58)</f>
        <v>45460.578449074077</v>
      </c>
      <c r="D5891" s="1" t="s">
        <v>320</v>
      </c>
      <c r="E5891" s="1" t="s">
        <v>406</v>
      </c>
    </row>
    <row r="5892" spans="1:5" x14ac:dyDescent="0.2">
      <c r="A5892" s="1" t="s">
        <v>1276</v>
      </c>
      <c r="B5892" s="1" t="s">
        <v>1267</v>
      </c>
      <c r="C5892" s="5">
        <f>DATE(2024, 6, 17) + TIME(13, 52, 57)</f>
        <v>45460.5784375</v>
      </c>
      <c r="D5892" s="1" t="s">
        <v>320</v>
      </c>
      <c r="E5892" s="1" t="s">
        <v>406</v>
      </c>
    </row>
    <row r="5893" spans="1:5" x14ac:dyDescent="0.2">
      <c r="A5893" s="1" t="s">
        <v>1276</v>
      </c>
      <c r="B5893" s="1" t="s">
        <v>247</v>
      </c>
      <c r="C5893" s="5">
        <f>DATE(2024, 6, 17) + TIME(12, 42, 26)</f>
        <v>45460.529467592591</v>
      </c>
      <c r="D5893" s="1" t="s">
        <v>900</v>
      </c>
      <c r="E5893" s="1" t="s">
        <v>308</v>
      </c>
    </row>
    <row r="5894" spans="1:5" x14ac:dyDescent="0.2">
      <c r="A5894" s="1" t="s">
        <v>1276</v>
      </c>
      <c r="B5894" s="1" t="s">
        <v>1028</v>
      </c>
      <c r="C5894" s="5">
        <f>DATE(2024, 6, 17) + TIME(11, 47, 54)</f>
        <v>45460.491597222222</v>
      </c>
      <c r="D5894" s="1" t="s">
        <v>269</v>
      </c>
      <c r="E5894" s="1" t="s">
        <v>299</v>
      </c>
    </row>
    <row r="5895" spans="1:5" x14ac:dyDescent="0.2">
      <c r="A5895" s="1" t="s">
        <v>1276</v>
      </c>
      <c r="B5895" s="1" t="s">
        <v>42</v>
      </c>
      <c r="C5895" s="5">
        <f>DATE(2024, 6, 17) + TIME(11, 47, 54)</f>
        <v>45460.491597222222</v>
      </c>
      <c r="D5895" s="1" t="s">
        <v>269</v>
      </c>
      <c r="E5895" s="1" t="s">
        <v>299</v>
      </c>
    </row>
    <row r="5896" spans="1:5" x14ac:dyDescent="0.2">
      <c r="A5896" s="1" t="s">
        <v>1276</v>
      </c>
      <c r="B5896" s="1" t="s">
        <v>96</v>
      </c>
      <c r="C5896" s="5">
        <f>DATE(2024, 6, 17) + TIME(11, 47, 53)</f>
        <v>45460.491585648146</v>
      </c>
      <c r="D5896" s="1" t="s">
        <v>269</v>
      </c>
      <c r="E5896" s="1" t="s">
        <v>299</v>
      </c>
    </row>
    <row r="5897" spans="1:5" x14ac:dyDescent="0.2">
      <c r="A5897" s="1" t="s">
        <v>1276</v>
      </c>
      <c r="B5897" s="1" t="s">
        <v>24</v>
      </c>
      <c r="C5897" s="5">
        <f>DATE(2024, 6, 17) + TIME(10, 37, 37)</f>
        <v>45460.442789351851</v>
      </c>
      <c r="D5897" s="1" t="s">
        <v>1221</v>
      </c>
      <c r="E5897" s="1" t="s">
        <v>938</v>
      </c>
    </row>
    <row r="5898" spans="1:5" x14ac:dyDescent="0.2">
      <c r="A5898" s="1" t="s">
        <v>1276</v>
      </c>
      <c r="B5898" s="1" t="s">
        <v>456</v>
      </c>
      <c r="C5898" s="5">
        <f>DATE(2024, 6, 13) + TIME(15, 10, 0)</f>
        <v>45456.631944444445</v>
      </c>
      <c r="D5898" s="1" t="s">
        <v>1221</v>
      </c>
      <c r="E5898" s="1" t="s">
        <v>324</v>
      </c>
    </row>
    <row r="5899" spans="1:5" x14ac:dyDescent="0.2">
      <c r="A5899" s="1" t="s">
        <v>1276</v>
      </c>
      <c r="B5899" s="1" t="s">
        <v>1271</v>
      </c>
      <c r="C5899" s="5">
        <f>DATE(2024, 6, 13) + TIME(4, 35, 49)</f>
        <v>45456.19153935185</v>
      </c>
      <c r="D5899" s="1" t="s">
        <v>3</v>
      </c>
      <c r="E5899" s="1" t="s">
        <v>684</v>
      </c>
    </row>
    <row r="5900" spans="1:5" x14ac:dyDescent="0.2">
      <c r="A5900" s="1" t="s">
        <v>1276</v>
      </c>
      <c r="B5900" s="1" t="s">
        <v>864</v>
      </c>
      <c r="C5900" s="5">
        <f>DATE(2024, 6, 12) + TIME(15, 57, 40)</f>
        <v>45455.665046296293</v>
      </c>
      <c r="D5900" s="1" t="s">
        <v>459</v>
      </c>
      <c r="E5900" s="1" t="s">
        <v>97</v>
      </c>
    </row>
    <row r="5901" spans="1:5" x14ac:dyDescent="0.2">
      <c r="A5901" s="1" t="s">
        <v>1276</v>
      </c>
      <c r="B5901" s="1" t="s">
        <v>1247</v>
      </c>
      <c r="C5901" s="5">
        <f>DATE(2024, 6, 12) + TIME(15, 51, 39)</f>
        <v>45455.660868055558</v>
      </c>
      <c r="D5901" s="1" t="s">
        <v>869</v>
      </c>
      <c r="E5901" s="1" t="s">
        <v>243</v>
      </c>
    </row>
    <row r="5902" spans="1:5" x14ac:dyDescent="0.2">
      <c r="A5902" s="1" t="s">
        <v>1276</v>
      </c>
      <c r="B5902" s="1" t="s">
        <v>651</v>
      </c>
      <c r="C5902" s="5">
        <f>DATE(2024, 6, 12) + TIME(15, 33, 9)</f>
        <v>45455.648020833331</v>
      </c>
      <c r="D5902" s="1" t="s">
        <v>754</v>
      </c>
      <c r="E5902" s="1" t="s">
        <v>1262</v>
      </c>
    </row>
    <row r="5903" spans="1:5" x14ac:dyDescent="0.2">
      <c r="A5903" s="1" t="s">
        <v>1276</v>
      </c>
      <c r="B5903" s="1" t="s">
        <v>69</v>
      </c>
      <c r="C5903" s="5">
        <f>DATE(2024, 6, 12) + TIME(15, 23, 52)</f>
        <v>45455.641574074078</v>
      </c>
      <c r="D5903" s="1" t="s">
        <v>320</v>
      </c>
      <c r="E5903" s="1" t="s">
        <v>845</v>
      </c>
    </row>
    <row r="5904" spans="1:5" x14ac:dyDescent="0.2">
      <c r="A5904" s="1" t="s">
        <v>1276</v>
      </c>
      <c r="B5904" s="1" t="s">
        <v>483</v>
      </c>
      <c r="C5904" s="5">
        <f>DATE(2024, 6, 12) + TIME(12, 58, 4)</f>
        <v>45455.540324074071</v>
      </c>
      <c r="D5904" s="1" t="s">
        <v>754</v>
      </c>
      <c r="E5904" s="1" t="s">
        <v>363</v>
      </c>
    </row>
    <row r="5905" spans="1:5" x14ac:dyDescent="0.2">
      <c r="A5905" s="1" t="s">
        <v>1276</v>
      </c>
      <c r="B5905" s="1" t="s">
        <v>272</v>
      </c>
      <c r="C5905" s="5">
        <f>DATE(2024, 6, 12) + TIME(12, 29, 53)</f>
        <v>45455.520752314813</v>
      </c>
      <c r="D5905" s="1" t="s">
        <v>506</v>
      </c>
      <c r="E5905" s="1" t="s">
        <v>635</v>
      </c>
    </row>
    <row r="5906" spans="1:5" x14ac:dyDescent="0.2">
      <c r="A5906" s="1" t="s">
        <v>1276</v>
      </c>
      <c r="B5906" s="1" t="s">
        <v>69</v>
      </c>
      <c r="C5906" s="5">
        <f>DATE(2024, 6, 12) + TIME(11, 19, 40)</f>
        <v>45455.471990740742</v>
      </c>
      <c r="D5906" s="1" t="s">
        <v>396</v>
      </c>
      <c r="E5906" s="1" t="s">
        <v>1009</v>
      </c>
    </row>
    <row r="5907" spans="1:5" x14ac:dyDescent="0.2">
      <c r="A5907" s="1" t="s">
        <v>470</v>
      </c>
      <c r="B5907" s="1" t="s">
        <v>60</v>
      </c>
      <c r="C5907" s="5">
        <f>DATE(2026, 1, 28) + TIME(10, 55, 23)</f>
        <v>46050.455127314817</v>
      </c>
      <c r="D5907" s="1" t="s">
        <v>3</v>
      </c>
      <c r="E5907" s="1" t="s">
        <v>584</v>
      </c>
    </row>
    <row r="5908" spans="1:5" x14ac:dyDescent="0.2">
      <c r="A5908" s="1" t="s">
        <v>470</v>
      </c>
      <c r="B5908" s="1" t="s">
        <v>415</v>
      </c>
      <c r="C5908" s="5">
        <f>DATE(2025, 2, 17) + TIME(8, 24, 42)</f>
        <v>45705.350486111114</v>
      </c>
      <c r="D5908" s="1" t="s">
        <v>921</v>
      </c>
      <c r="E5908" s="1" t="s">
        <v>1032</v>
      </c>
    </row>
    <row r="5909" spans="1:5" x14ac:dyDescent="0.2">
      <c r="A5909" s="1" t="s">
        <v>470</v>
      </c>
      <c r="B5909" s="1" t="s">
        <v>323</v>
      </c>
      <c r="C5909" s="5">
        <f>DATE(2024, 9, 5) + TIME(15, 50, 37)</f>
        <v>45540.660150462965</v>
      </c>
      <c r="D5909" s="1" t="s">
        <v>320</v>
      </c>
      <c r="E5909" s="1" t="s">
        <v>845</v>
      </c>
    </row>
    <row r="5910" spans="1:5" x14ac:dyDescent="0.2">
      <c r="A5910" s="1" t="s">
        <v>212</v>
      </c>
      <c r="B5910" s="1" t="s">
        <v>7</v>
      </c>
      <c r="C5910" s="5">
        <f>DATE(2026, 3, 11) + TIME(14, 11, 58)</f>
        <v>46092.591643518521</v>
      </c>
      <c r="D5910" s="1" t="s">
        <v>506</v>
      </c>
      <c r="E5910" s="1" t="s">
        <v>6</v>
      </c>
    </row>
    <row r="5911" spans="1:5" x14ac:dyDescent="0.2">
      <c r="A5911" s="1" t="s">
        <v>212</v>
      </c>
      <c r="B5911" s="1" t="s">
        <v>60</v>
      </c>
      <c r="C5911" s="5">
        <f>DATE(2026, 3, 3) + TIME(11, 21, 28)</f>
        <v>46084.473240740743</v>
      </c>
      <c r="D5911" s="1" t="s">
        <v>396</v>
      </c>
      <c r="E5911" s="1" t="s">
        <v>645</v>
      </c>
    </row>
    <row r="5912" spans="1:5" x14ac:dyDescent="0.2">
      <c r="A5912" s="1" t="s">
        <v>212</v>
      </c>
      <c r="B5912" s="1" t="s">
        <v>271</v>
      </c>
      <c r="C5912" s="5">
        <f>DATE(2026, 3, 3) + TIME(9, 10, 31)</f>
        <v>46084.382303240738</v>
      </c>
      <c r="D5912" s="1" t="s">
        <v>65</v>
      </c>
      <c r="E5912" s="1" t="s">
        <v>404</v>
      </c>
    </row>
    <row r="5913" spans="1:5" x14ac:dyDescent="0.2">
      <c r="A5913" s="1" t="s">
        <v>212</v>
      </c>
      <c r="B5913" s="1" t="s">
        <v>927</v>
      </c>
      <c r="C5913" s="5">
        <f>DATE(2026, 2, 26) + TIME(16, 11, 55)</f>
        <v>46079.674942129626</v>
      </c>
      <c r="D5913" s="1" t="s">
        <v>638</v>
      </c>
      <c r="E5913" s="1" t="s">
        <v>463</v>
      </c>
    </row>
    <row r="5914" spans="1:5" x14ac:dyDescent="0.2">
      <c r="A5914" s="1" t="s">
        <v>212</v>
      </c>
      <c r="B5914" s="1" t="s">
        <v>686</v>
      </c>
      <c r="C5914" s="5">
        <f>DATE(2026, 2, 25) + TIME(14, 30, 51)</f>
        <v>46078.604756944442</v>
      </c>
      <c r="D5914" s="1" t="s">
        <v>459</v>
      </c>
      <c r="E5914" s="1" t="s">
        <v>19</v>
      </c>
    </row>
    <row r="5915" spans="1:5" x14ac:dyDescent="0.2">
      <c r="A5915" s="1" t="s">
        <v>212</v>
      </c>
      <c r="B5915" s="1" t="s">
        <v>564</v>
      </c>
      <c r="C5915" s="5">
        <f>DATE(2026, 2, 18) + TIME(11, 36, 24)</f>
        <v>46071.483611111114</v>
      </c>
      <c r="D5915" s="1" t="s">
        <v>320</v>
      </c>
      <c r="E5915" s="1" t="s">
        <v>872</v>
      </c>
    </row>
    <row r="5916" spans="1:5" x14ac:dyDescent="0.2">
      <c r="A5916" s="1" t="s">
        <v>212</v>
      </c>
      <c r="B5916" s="1" t="s">
        <v>7</v>
      </c>
      <c r="C5916" s="5">
        <f>DATE(2026, 2, 11) + TIME(14, 6, 26)</f>
        <v>46064.587800925925</v>
      </c>
      <c r="D5916" s="1" t="s">
        <v>506</v>
      </c>
      <c r="E5916" s="1" t="s">
        <v>709</v>
      </c>
    </row>
    <row r="5917" spans="1:5" x14ac:dyDescent="0.2">
      <c r="A5917" s="1" t="s">
        <v>212</v>
      </c>
      <c r="B5917" s="1" t="s">
        <v>7</v>
      </c>
      <c r="C5917" s="5">
        <f>DATE(2026, 2, 11) + TIME(14, 6, 26)</f>
        <v>46064.587800925925</v>
      </c>
      <c r="D5917" s="1" t="s">
        <v>506</v>
      </c>
      <c r="E5917" s="1" t="s">
        <v>6</v>
      </c>
    </row>
    <row r="5918" spans="1:5" x14ac:dyDescent="0.2">
      <c r="A5918" s="1" t="s">
        <v>212</v>
      </c>
      <c r="B5918" s="1" t="s">
        <v>564</v>
      </c>
      <c r="C5918" s="5">
        <f>DATE(2026, 2, 10) + TIME(10, 3, 11)</f>
        <v>46063.418877314813</v>
      </c>
      <c r="D5918" s="1" t="s">
        <v>396</v>
      </c>
      <c r="E5918" s="1" t="s">
        <v>276</v>
      </c>
    </row>
    <row r="5919" spans="1:5" x14ac:dyDescent="0.2">
      <c r="A5919" s="1" t="s">
        <v>212</v>
      </c>
      <c r="B5919" s="1" t="s">
        <v>866</v>
      </c>
      <c r="C5919" s="5">
        <f>DATE(2026, 2, 9) + TIME(10, 48, 42)</f>
        <v>46062.450486111113</v>
      </c>
      <c r="D5919" s="1" t="s">
        <v>320</v>
      </c>
      <c r="E5919" s="1" t="s">
        <v>521</v>
      </c>
    </row>
    <row r="5920" spans="1:5" x14ac:dyDescent="0.2">
      <c r="A5920" s="1" t="s">
        <v>212</v>
      </c>
      <c r="B5920" s="1" t="s">
        <v>690</v>
      </c>
      <c r="C5920" s="5">
        <f>DATE(2026, 2, 5) + TIME(14, 11, 20)</f>
        <v>46058.591203703705</v>
      </c>
      <c r="D5920" s="1" t="s">
        <v>506</v>
      </c>
      <c r="E5920" s="1" t="s">
        <v>875</v>
      </c>
    </row>
    <row r="5921" spans="1:5" x14ac:dyDescent="0.2">
      <c r="A5921" s="1" t="s">
        <v>212</v>
      </c>
      <c r="B5921" s="1" t="s">
        <v>866</v>
      </c>
      <c r="C5921" s="5">
        <f>DATE(2026, 2, 4) + TIME(7, 43, 46)</f>
        <v>46057.322060185186</v>
      </c>
      <c r="D5921" s="1" t="s">
        <v>148</v>
      </c>
      <c r="E5921" s="1" t="s">
        <v>83</v>
      </c>
    </row>
    <row r="5922" spans="1:5" x14ac:dyDescent="0.2">
      <c r="A5922" s="1" t="s">
        <v>212</v>
      </c>
      <c r="B5922" s="1" t="s">
        <v>323</v>
      </c>
      <c r="C5922" s="5">
        <f>DATE(2026, 2, 3) + TIME(12, 35, 1)</f>
        <v>46056.524317129632</v>
      </c>
      <c r="D5922" s="1" t="s">
        <v>398</v>
      </c>
      <c r="E5922" s="1" t="s">
        <v>581</v>
      </c>
    </row>
    <row r="5923" spans="1:5" x14ac:dyDescent="0.2">
      <c r="A5923" s="1" t="s">
        <v>212</v>
      </c>
      <c r="B5923" s="1" t="s">
        <v>60</v>
      </c>
      <c r="C5923" s="5">
        <f>DATE(2026, 2, 3) + TIME(11, 13, 45)</f>
        <v>46056.467881944445</v>
      </c>
      <c r="D5923" s="1" t="s">
        <v>216</v>
      </c>
      <c r="E5923" s="1" t="s">
        <v>26</v>
      </c>
    </row>
    <row r="5924" spans="1:5" x14ac:dyDescent="0.2">
      <c r="A5924" s="1" t="s">
        <v>212</v>
      </c>
      <c r="B5924" s="1" t="s">
        <v>564</v>
      </c>
      <c r="C5924" s="5">
        <f>DATE(2026, 1, 28) + TIME(12, 24, 14)</f>
        <v>46050.516828703701</v>
      </c>
      <c r="D5924" s="1" t="s">
        <v>320</v>
      </c>
      <c r="E5924" s="1" t="s">
        <v>2</v>
      </c>
    </row>
    <row r="5925" spans="1:5" x14ac:dyDescent="0.2">
      <c r="A5925" s="1" t="s">
        <v>212</v>
      </c>
      <c r="B5925" s="1" t="s">
        <v>866</v>
      </c>
      <c r="C5925" s="5">
        <f>DATE(2026, 1, 27) + TIME(14, 12, 24)</f>
        <v>46049.591944444444</v>
      </c>
      <c r="D5925" s="1" t="s">
        <v>320</v>
      </c>
      <c r="E5925" s="1" t="s">
        <v>214</v>
      </c>
    </row>
    <row r="5926" spans="1:5" x14ac:dyDescent="0.2">
      <c r="A5926" s="1" t="s">
        <v>212</v>
      </c>
      <c r="B5926" s="1" t="s">
        <v>60</v>
      </c>
      <c r="C5926" s="5">
        <f>DATE(2026, 1, 22) + TIME(15, 32, 40)</f>
        <v>46044.647685185184</v>
      </c>
      <c r="D5926" s="1" t="s">
        <v>320</v>
      </c>
      <c r="E5926" s="1" t="s">
        <v>698</v>
      </c>
    </row>
    <row r="5927" spans="1:5" x14ac:dyDescent="0.2">
      <c r="A5927" s="1" t="s">
        <v>212</v>
      </c>
      <c r="B5927" s="1" t="s">
        <v>343</v>
      </c>
      <c r="C5927" s="5">
        <f>DATE(2026, 1, 21) + TIME(13, 59, 33)</f>
        <v>46043.583020833335</v>
      </c>
      <c r="D5927" s="1" t="s">
        <v>459</v>
      </c>
      <c r="E5927" s="1" t="s">
        <v>19</v>
      </c>
    </row>
    <row r="5928" spans="1:5" x14ac:dyDescent="0.2">
      <c r="A5928" s="1" t="s">
        <v>212</v>
      </c>
      <c r="B5928" s="1" t="s">
        <v>927</v>
      </c>
      <c r="C5928" s="5">
        <f>DATE(2026, 1, 20) + TIME(10, 28, 43)</f>
        <v>46042.436608796299</v>
      </c>
      <c r="D5928" s="1" t="s">
        <v>65</v>
      </c>
      <c r="E5928" s="1" t="s">
        <v>758</v>
      </c>
    </row>
    <row r="5929" spans="1:5" x14ac:dyDescent="0.2">
      <c r="A5929" s="1" t="s">
        <v>212</v>
      </c>
      <c r="B5929" s="1" t="s">
        <v>60</v>
      </c>
      <c r="C5929" s="5">
        <f>DATE(2026, 1, 19) + TIME(15, 10, 25)</f>
        <v>46041.632233796299</v>
      </c>
      <c r="D5929" s="1" t="s">
        <v>506</v>
      </c>
      <c r="E5929" s="1" t="s">
        <v>649</v>
      </c>
    </row>
    <row r="5930" spans="1:5" x14ac:dyDescent="0.2">
      <c r="A5930" s="1" t="s">
        <v>212</v>
      </c>
      <c r="B5930" s="1" t="s">
        <v>817</v>
      </c>
      <c r="C5930" s="5">
        <f>DATE(2026, 1, 19) + TIME(13, 9, 27)</f>
        <v>46041.548229166663</v>
      </c>
      <c r="D5930" s="1" t="s">
        <v>506</v>
      </c>
      <c r="E5930" s="1" t="s">
        <v>510</v>
      </c>
    </row>
    <row r="5931" spans="1:5" x14ac:dyDescent="0.2">
      <c r="A5931" s="1" t="s">
        <v>212</v>
      </c>
      <c r="B5931" s="1" t="s">
        <v>60</v>
      </c>
      <c r="C5931" s="5">
        <f>DATE(2026, 1, 15) + TIME(13, 3, 7)</f>
        <v>46037.54383101852</v>
      </c>
      <c r="D5931" s="1" t="s">
        <v>320</v>
      </c>
      <c r="E5931" s="1" t="s">
        <v>698</v>
      </c>
    </row>
    <row r="5932" spans="1:5" x14ac:dyDescent="0.2">
      <c r="A5932" s="1" t="s">
        <v>212</v>
      </c>
      <c r="B5932" s="1" t="s">
        <v>686</v>
      </c>
      <c r="C5932" s="5">
        <f>DATE(2026, 1, 8) + TIME(15, 34, 5)</f>
        <v>46030.648668981485</v>
      </c>
      <c r="D5932" s="1" t="s">
        <v>506</v>
      </c>
      <c r="E5932" s="1" t="s">
        <v>875</v>
      </c>
    </row>
    <row r="5933" spans="1:5" x14ac:dyDescent="0.2">
      <c r="A5933" s="1" t="s">
        <v>212</v>
      </c>
      <c r="B5933" s="1" t="s">
        <v>564</v>
      </c>
      <c r="C5933" s="5">
        <f>DATE(2026, 1, 8) + TIME(15, 1, 43)</f>
        <v>46030.626192129632</v>
      </c>
      <c r="D5933" s="1" t="s">
        <v>320</v>
      </c>
      <c r="E5933" s="1" t="s">
        <v>565</v>
      </c>
    </row>
    <row r="5934" spans="1:5" x14ac:dyDescent="0.2">
      <c r="A5934" s="1" t="s">
        <v>212</v>
      </c>
      <c r="B5934" s="1" t="s">
        <v>564</v>
      </c>
      <c r="C5934" s="5">
        <f>DATE(2026, 1, 8) + TIME(13, 40, 52)</f>
        <v>46030.5700462963</v>
      </c>
      <c r="D5934" s="1" t="s">
        <v>320</v>
      </c>
      <c r="E5934" s="1" t="s">
        <v>2</v>
      </c>
    </row>
    <row r="5935" spans="1:5" x14ac:dyDescent="0.2">
      <c r="A5935" s="1" t="s">
        <v>212</v>
      </c>
      <c r="B5935" s="1" t="s">
        <v>771</v>
      </c>
      <c r="C5935" s="5">
        <f>DATE(2026, 1, 7) + TIME(11, 47, 6)</f>
        <v>46029.491041666668</v>
      </c>
      <c r="D5935" s="1" t="s">
        <v>269</v>
      </c>
      <c r="E5935" s="1" t="s">
        <v>653</v>
      </c>
    </row>
    <row r="5936" spans="1:5" x14ac:dyDescent="0.2">
      <c r="A5936" s="1" t="s">
        <v>212</v>
      </c>
      <c r="B5936" s="1" t="s">
        <v>60</v>
      </c>
      <c r="C5936" s="5">
        <f>DATE(2026, 1, 7) + TIME(11, 42, 27)</f>
        <v>46029.487812500003</v>
      </c>
      <c r="D5936" s="1" t="s">
        <v>506</v>
      </c>
      <c r="E5936" s="1" t="s">
        <v>167</v>
      </c>
    </row>
    <row r="5937" spans="1:5" x14ac:dyDescent="0.2">
      <c r="A5937" s="1" t="s">
        <v>212</v>
      </c>
      <c r="B5937" s="1" t="s">
        <v>927</v>
      </c>
      <c r="C5937" s="5">
        <f>DATE(2026, 1, 6) + TIME(10, 22, 28)</f>
        <v>46028.432268518518</v>
      </c>
      <c r="D5937" s="1" t="s">
        <v>65</v>
      </c>
      <c r="E5937" s="1" t="s">
        <v>758</v>
      </c>
    </row>
    <row r="5938" spans="1:5" x14ac:dyDescent="0.2">
      <c r="A5938" s="1" t="s">
        <v>212</v>
      </c>
      <c r="B5938" s="1" t="s">
        <v>866</v>
      </c>
      <c r="C5938" s="5">
        <f>DATE(2026, 1, 5) + TIME(15, 32, 43)</f>
        <v>46027.647719907407</v>
      </c>
      <c r="D5938" s="1" t="s">
        <v>65</v>
      </c>
      <c r="E5938" s="1" t="s">
        <v>400</v>
      </c>
    </row>
    <row r="5939" spans="1:5" x14ac:dyDescent="0.2">
      <c r="A5939" s="1" t="s">
        <v>212</v>
      </c>
      <c r="B5939" s="1" t="s">
        <v>931</v>
      </c>
      <c r="C5939" s="5">
        <f>DATE(2026, 1, 5) + TIME(12, 22, 59)</f>
        <v>46027.515960648147</v>
      </c>
      <c r="D5939" s="1" t="s">
        <v>506</v>
      </c>
      <c r="E5939" s="1" t="s">
        <v>697</v>
      </c>
    </row>
    <row r="5940" spans="1:5" x14ac:dyDescent="0.2">
      <c r="A5940" s="1" t="s">
        <v>212</v>
      </c>
      <c r="B5940" s="1" t="s">
        <v>354</v>
      </c>
      <c r="C5940" s="5">
        <f>DATE(2025, 12, 31) + TIME(11, 8, 33)</f>
        <v>46022.464270833334</v>
      </c>
      <c r="D5940" s="1" t="s">
        <v>506</v>
      </c>
      <c r="E5940" s="1" t="s">
        <v>867</v>
      </c>
    </row>
    <row r="5941" spans="1:5" x14ac:dyDescent="0.2">
      <c r="A5941" s="1" t="s">
        <v>212</v>
      </c>
      <c r="B5941" s="1" t="s">
        <v>60</v>
      </c>
      <c r="C5941" s="5">
        <f>DATE(2025, 12, 30) + TIME(13, 29, 58)</f>
        <v>46021.562476851854</v>
      </c>
      <c r="D5941" s="1" t="s">
        <v>3</v>
      </c>
      <c r="E5941" s="1" t="s">
        <v>531</v>
      </c>
    </row>
    <row r="5942" spans="1:5" x14ac:dyDescent="0.2">
      <c r="A5942" s="1" t="s">
        <v>212</v>
      </c>
      <c r="B5942" s="1" t="s">
        <v>141</v>
      </c>
      <c r="C5942" s="5">
        <f>DATE(2025, 12, 30) + TIME(7, 29, 23)</f>
        <v>46021.312071759261</v>
      </c>
      <c r="D5942" s="1" t="s">
        <v>640</v>
      </c>
      <c r="E5942" s="1" t="s">
        <v>10</v>
      </c>
    </row>
    <row r="5943" spans="1:5" x14ac:dyDescent="0.2">
      <c r="A5943" s="1" t="s">
        <v>212</v>
      </c>
      <c r="B5943" s="1" t="s">
        <v>69</v>
      </c>
      <c r="C5943" s="5">
        <f>DATE(2025, 12, 29) + TIME(9, 13, 14)</f>
        <v>46020.384189814817</v>
      </c>
      <c r="D5943" s="1" t="s">
        <v>396</v>
      </c>
      <c r="E5943" s="1" t="s">
        <v>827</v>
      </c>
    </row>
    <row r="5944" spans="1:5" x14ac:dyDescent="0.2">
      <c r="A5944" s="1" t="s">
        <v>212</v>
      </c>
      <c r="B5944" s="1" t="s">
        <v>411</v>
      </c>
      <c r="C5944" s="5">
        <f>DATE(2025, 12, 23) + TIME(12, 54, 40)</f>
        <v>46014.537962962961</v>
      </c>
      <c r="D5944" s="1" t="s">
        <v>506</v>
      </c>
      <c r="E5944" s="1" t="s">
        <v>709</v>
      </c>
    </row>
    <row r="5945" spans="1:5" x14ac:dyDescent="0.2">
      <c r="A5945" s="1" t="s">
        <v>212</v>
      </c>
      <c r="B5945" s="1" t="s">
        <v>591</v>
      </c>
      <c r="C5945" s="5">
        <f>DATE(2025, 12, 23) + TIME(12, 21, 49)</f>
        <v>46014.515150462961</v>
      </c>
      <c r="D5945" s="1" t="s">
        <v>65</v>
      </c>
      <c r="E5945" s="1" t="s">
        <v>592</v>
      </c>
    </row>
    <row r="5946" spans="1:5" x14ac:dyDescent="0.2">
      <c r="A5946" s="1" t="s">
        <v>212</v>
      </c>
      <c r="B5946" s="1" t="s">
        <v>591</v>
      </c>
      <c r="C5946" s="5">
        <f>DATE(2025, 12, 23) + TIME(9, 27, 36)</f>
        <v>46014.394166666665</v>
      </c>
      <c r="D5946" s="1" t="s">
        <v>65</v>
      </c>
      <c r="E5946" s="1" t="s">
        <v>949</v>
      </c>
    </row>
    <row r="5947" spans="1:5" x14ac:dyDescent="0.2">
      <c r="A5947" s="1" t="s">
        <v>212</v>
      </c>
      <c r="B5947" s="1" t="s">
        <v>591</v>
      </c>
      <c r="C5947" s="5">
        <f>DATE(2025, 12, 23) + TIME(7, 22, 43)</f>
        <v>46014.307442129626</v>
      </c>
      <c r="D5947" s="1" t="s">
        <v>65</v>
      </c>
      <c r="E5947" s="1" t="s">
        <v>772</v>
      </c>
    </row>
    <row r="5948" spans="1:5" x14ac:dyDescent="0.2">
      <c r="A5948" s="1" t="s">
        <v>212</v>
      </c>
      <c r="B5948" s="1" t="s">
        <v>231</v>
      </c>
      <c r="C5948" s="5">
        <f>DATE(2025, 12, 18) + TIME(10, 18, 39)</f>
        <v>46009.429618055554</v>
      </c>
      <c r="D5948" s="1" t="s">
        <v>638</v>
      </c>
      <c r="E5948" s="1" t="s">
        <v>172</v>
      </c>
    </row>
    <row r="5949" spans="1:5" x14ac:dyDescent="0.2">
      <c r="A5949" s="1" t="s">
        <v>212</v>
      </c>
      <c r="B5949" s="1" t="s">
        <v>644</v>
      </c>
      <c r="C5949" s="5">
        <f>DATE(2025, 12, 18) + TIME(10, 18, 39)</f>
        <v>46009.429618055554</v>
      </c>
      <c r="D5949" s="1" t="s">
        <v>638</v>
      </c>
      <c r="E5949" s="1" t="s">
        <v>172</v>
      </c>
    </row>
    <row r="5950" spans="1:5" x14ac:dyDescent="0.2">
      <c r="A5950" s="1" t="s">
        <v>212</v>
      </c>
      <c r="B5950" s="1" t="s">
        <v>411</v>
      </c>
      <c r="C5950" s="5">
        <f>DATE(2025, 12, 17) + TIME(15, 59, 26)</f>
        <v>46008.666273148148</v>
      </c>
      <c r="D5950" s="1" t="s">
        <v>506</v>
      </c>
      <c r="E5950" s="1" t="s">
        <v>6</v>
      </c>
    </row>
    <row r="5951" spans="1:5" x14ac:dyDescent="0.2">
      <c r="A5951" s="1" t="s">
        <v>212</v>
      </c>
      <c r="B5951" s="1" t="s">
        <v>178</v>
      </c>
      <c r="C5951" s="5">
        <f>DATE(2025, 12, 15) + TIME(11, 21, 23)</f>
        <v>46006.473182870373</v>
      </c>
      <c r="D5951" s="1" t="s">
        <v>506</v>
      </c>
      <c r="E5951" s="1" t="s">
        <v>697</v>
      </c>
    </row>
    <row r="5952" spans="1:5" x14ac:dyDescent="0.2">
      <c r="A5952" s="1" t="s">
        <v>212</v>
      </c>
      <c r="B5952" s="1" t="s">
        <v>60</v>
      </c>
      <c r="C5952" s="5">
        <f>DATE(2025, 12, 10) + TIME(10, 8, 31)</f>
        <v>46001.422581018516</v>
      </c>
      <c r="D5952" s="1" t="s">
        <v>459</v>
      </c>
      <c r="E5952" s="1" t="s">
        <v>222</v>
      </c>
    </row>
    <row r="5953" spans="1:5" x14ac:dyDescent="0.2">
      <c r="A5953" s="1" t="s">
        <v>212</v>
      </c>
      <c r="B5953" s="1" t="s">
        <v>526</v>
      </c>
      <c r="C5953" s="5">
        <f>DATE(2025, 12, 10) + TIME(9, 1, 43)</f>
        <v>46001.376192129632</v>
      </c>
      <c r="D5953" s="1" t="s">
        <v>398</v>
      </c>
      <c r="E5953" s="1" t="s">
        <v>166</v>
      </c>
    </row>
    <row r="5954" spans="1:5" x14ac:dyDescent="0.2">
      <c r="A5954" s="1" t="s">
        <v>212</v>
      </c>
      <c r="B5954" s="1" t="s">
        <v>60</v>
      </c>
      <c r="C5954" s="5">
        <f>DATE(2025, 12, 4) + TIME(14, 53, 55)</f>
        <v>45995.620775462965</v>
      </c>
      <c r="D5954" s="1" t="s">
        <v>638</v>
      </c>
      <c r="E5954" s="1" t="s">
        <v>397</v>
      </c>
    </row>
    <row r="5955" spans="1:5" x14ac:dyDescent="0.2">
      <c r="A5955" s="1" t="s">
        <v>212</v>
      </c>
      <c r="B5955" s="1" t="s">
        <v>323</v>
      </c>
      <c r="C5955" s="5">
        <f>DATE(2025, 12, 4) + TIME(10, 18, 11)</f>
        <v>45995.429293981484</v>
      </c>
      <c r="D5955" s="1" t="s">
        <v>5</v>
      </c>
      <c r="E5955" s="1" t="s">
        <v>37</v>
      </c>
    </row>
    <row r="5956" spans="1:5" x14ac:dyDescent="0.2">
      <c r="A5956" s="1" t="s">
        <v>212</v>
      </c>
      <c r="B5956" s="1" t="s">
        <v>178</v>
      </c>
      <c r="C5956" s="5">
        <f>DATE(2025, 12, 3) + TIME(14, 34, 57)</f>
        <v>45994.607604166667</v>
      </c>
      <c r="D5956" s="1" t="s">
        <v>506</v>
      </c>
      <c r="E5956" s="1" t="s">
        <v>6</v>
      </c>
    </row>
    <row r="5957" spans="1:5" x14ac:dyDescent="0.2">
      <c r="A5957" s="1" t="s">
        <v>212</v>
      </c>
      <c r="B5957" s="1" t="s">
        <v>526</v>
      </c>
      <c r="C5957" s="5">
        <f>DATE(2025, 12, 1) + TIME(15, 4, 34)</f>
        <v>45992.628171296295</v>
      </c>
      <c r="D5957" s="1" t="s">
        <v>216</v>
      </c>
      <c r="E5957" s="1" t="s">
        <v>94</v>
      </c>
    </row>
    <row r="5958" spans="1:5" x14ac:dyDescent="0.2">
      <c r="A5958" s="1" t="s">
        <v>212</v>
      </c>
      <c r="B5958" s="1" t="s">
        <v>60</v>
      </c>
      <c r="C5958" s="5">
        <f>DATE(2025, 12, 1) + TIME(9, 26, 52)</f>
        <v>45992.393657407411</v>
      </c>
      <c r="D5958" s="1" t="s">
        <v>640</v>
      </c>
      <c r="E5958" s="1" t="s">
        <v>40</v>
      </c>
    </row>
    <row r="5959" spans="1:5" x14ac:dyDescent="0.2">
      <c r="A5959" s="1" t="s">
        <v>212</v>
      </c>
      <c r="B5959" s="1" t="s">
        <v>178</v>
      </c>
      <c r="C5959" s="5">
        <f>DATE(2025, 11, 26) + TIME(12, 38, 37)</f>
        <v>45987.526817129627</v>
      </c>
      <c r="D5959" s="1" t="s">
        <v>506</v>
      </c>
      <c r="E5959" s="1" t="s">
        <v>875</v>
      </c>
    </row>
    <row r="5960" spans="1:5" x14ac:dyDescent="0.2">
      <c r="A5960" s="1" t="s">
        <v>212</v>
      </c>
      <c r="B5960" s="1" t="s">
        <v>178</v>
      </c>
      <c r="C5960" s="5">
        <f>DATE(2025, 11, 26) + TIME(10, 12, 39)</f>
        <v>45987.425451388888</v>
      </c>
      <c r="D5960" s="1" t="s">
        <v>506</v>
      </c>
      <c r="E5960" s="1" t="s">
        <v>6</v>
      </c>
    </row>
    <row r="5961" spans="1:5" x14ac:dyDescent="0.2">
      <c r="A5961" s="1" t="s">
        <v>212</v>
      </c>
      <c r="B5961" s="1" t="s">
        <v>60</v>
      </c>
      <c r="C5961" s="5">
        <f>DATE(2025, 11, 25) + TIME(12, 25, 4)</f>
        <v>45986.517407407409</v>
      </c>
      <c r="D5961" s="1" t="s">
        <v>459</v>
      </c>
      <c r="E5961" s="1" t="s">
        <v>19</v>
      </c>
    </row>
    <row r="5962" spans="1:5" x14ac:dyDescent="0.2">
      <c r="A5962" s="1" t="s">
        <v>212</v>
      </c>
      <c r="B5962" s="1" t="s">
        <v>564</v>
      </c>
      <c r="C5962" s="5">
        <f>DATE(2025, 11, 22) + TIME(10, 31, 30)</f>
        <v>45983.43854166667</v>
      </c>
      <c r="D5962" s="1" t="s">
        <v>459</v>
      </c>
      <c r="E5962" s="1" t="s">
        <v>428</v>
      </c>
    </row>
    <row r="5963" spans="1:5" x14ac:dyDescent="0.2">
      <c r="A5963" s="1" t="s">
        <v>212</v>
      </c>
      <c r="B5963" s="1" t="s">
        <v>866</v>
      </c>
      <c r="C5963" s="5">
        <f>DATE(2025, 11, 22) + TIME(10, 31, 30)</f>
        <v>45983.43854166667</v>
      </c>
      <c r="D5963" s="1" t="s">
        <v>459</v>
      </c>
      <c r="E5963" s="1" t="s">
        <v>428</v>
      </c>
    </row>
    <row r="5964" spans="1:5" x14ac:dyDescent="0.2">
      <c r="A5964" s="1" t="s">
        <v>212</v>
      </c>
      <c r="B5964" s="1" t="s">
        <v>60</v>
      </c>
      <c r="C5964" s="5">
        <f>DATE(2025, 11, 22) + TIME(10, 31, 29)</f>
        <v>45983.438530092593</v>
      </c>
      <c r="D5964" s="1" t="s">
        <v>459</v>
      </c>
      <c r="E5964" s="1" t="s">
        <v>428</v>
      </c>
    </row>
    <row r="5965" spans="1:5" x14ac:dyDescent="0.2">
      <c r="A5965" s="1" t="s">
        <v>212</v>
      </c>
      <c r="B5965" s="1" t="s">
        <v>866</v>
      </c>
      <c r="C5965" s="5">
        <f>DATE(2025, 11, 20) + TIME(9, 49, 42)</f>
        <v>45981.409513888888</v>
      </c>
      <c r="D5965" s="1" t="s">
        <v>65</v>
      </c>
      <c r="E5965" s="1" t="s">
        <v>164</v>
      </c>
    </row>
    <row r="5966" spans="1:5" x14ac:dyDescent="0.2">
      <c r="A5966" s="1" t="s">
        <v>212</v>
      </c>
      <c r="B5966" s="1" t="s">
        <v>60</v>
      </c>
      <c r="C5966" s="5">
        <f>DATE(2025, 11, 20) + TIME(6, 4, 49)</f>
        <v>45981.253344907411</v>
      </c>
      <c r="D5966" s="1" t="s">
        <v>65</v>
      </c>
      <c r="E5966" s="1" t="s">
        <v>429</v>
      </c>
    </row>
    <row r="5967" spans="1:5" x14ac:dyDescent="0.2">
      <c r="A5967" s="1" t="s">
        <v>212</v>
      </c>
      <c r="B5967" s="1" t="s">
        <v>60</v>
      </c>
      <c r="C5967" s="5">
        <f>DATE(2025, 11, 18) + TIME(9, 36, 16)</f>
        <v>45979.400185185186</v>
      </c>
      <c r="D5967" s="1" t="s">
        <v>3</v>
      </c>
      <c r="E5967" s="1" t="s">
        <v>953</v>
      </c>
    </row>
    <row r="5968" spans="1:5" x14ac:dyDescent="0.2">
      <c r="A5968" s="1" t="s">
        <v>212</v>
      </c>
      <c r="B5968" s="1" t="s">
        <v>60</v>
      </c>
      <c r="C5968" s="5">
        <f>DATE(2025, 11, 13) + TIME(15, 39, 36)</f>
        <v>45974.652499999997</v>
      </c>
      <c r="D5968" s="1" t="s">
        <v>506</v>
      </c>
      <c r="E5968" s="1" t="s">
        <v>538</v>
      </c>
    </row>
    <row r="5969" spans="1:5" x14ac:dyDescent="0.2">
      <c r="A5969" s="1" t="s">
        <v>212</v>
      </c>
      <c r="B5969" s="1" t="s">
        <v>951</v>
      </c>
      <c r="C5969" s="5">
        <f>DATE(2025, 11, 13) + TIME(12, 53, 42)</f>
        <v>45974.537291666667</v>
      </c>
      <c r="D5969" s="1" t="s">
        <v>506</v>
      </c>
      <c r="E5969" s="1" t="s">
        <v>867</v>
      </c>
    </row>
    <row r="5970" spans="1:5" x14ac:dyDescent="0.2">
      <c r="A5970" s="1" t="s">
        <v>212</v>
      </c>
      <c r="B5970" s="1" t="s">
        <v>29</v>
      </c>
      <c r="C5970" s="5">
        <f>DATE(2025, 11, 12) + TIME(16, 24, 2)</f>
        <v>45973.683356481481</v>
      </c>
      <c r="D5970" s="1" t="s">
        <v>506</v>
      </c>
      <c r="E5970" s="1" t="s">
        <v>158</v>
      </c>
    </row>
    <row r="5971" spans="1:5" x14ac:dyDescent="0.2">
      <c r="A5971" s="1" t="s">
        <v>212</v>
      </c>
      <c r="B5971" s="1" t="s">
        <v>955</v>
      </c>
      <c r="C5971" s="5">
        <f>DATE(2025, 11, 11) + TIME(12, 27, 26)</f>
        <v>45972.519050925926</v>
      </c>
      <c r="D5971" s="1" t="s">
        <v>320</v>
      </c>
      <c r="E5971" s="1" t="s">
        <v>366</v>
      </c>
    </row>
    <row r="5972" spans="1:5" x14ac:dyDescent="0.2">
      <c r="A5972" s="1" t="s">
        <v>212</v>
      </c>
      <c r="B5972" s="1" t="s">
        <v>29</v>
      </c>
      <c r="C5972" s="5">
        <f>DATE(2025, 11, 5) + TIME(13, 54, 36)</f>
        <v>45966.579583333332</v>
      </c>
      <c r="D5972" s="1" t="s">
        <v>506</v>
      </c>
      <c r="E5972" s="1" t="s">
        <v>158</v>
      </c>
    </row>
    <row r="5973" spans="1:5" x14ac:dyDescent="0.2">
      <c r="A5973" s="1" t="s">
        <v>212</v>
      </c>
      <c r="B5973" s="1" t="s">
        <v>178</v>
      </c>
      <c r="C5973" s="5">
        <f>DATE(2025, 11, 4) + TIME(15, 9, 46)</f>
        <v>45965.631782407407</v>
      </c>
      <c r="D5973" s="1" t="s">
        <v>506</v>
      </c>
      <c r="E5973" s="1" t="s">
        <v>823</v>
      </c>
    </row>
    <row r="5974" spans="1:5" x14ac:dyDescent="0.2">
      <c r="A5974" s="1" t="s">
        <v>212</v>
      </c>
      <c r="B5974" s="1" t="s">
        <v>271</v>
      </c>
      <c r="C5974" s="5">
        <f>DATE(2025, 11, 4) + TIME(11, 43, 23)</f>
        <v>45965.48846064815</v>
      </c>
      <c r="D5974" s="1" t="s">
        <v>226</v>
      </c>
      <c r="E5974" s="1" t="s">
        <v>490</v>
      </c>
    </row>
    <row r="5975" spans="1:5" x14ac:dyDescent="0.2">
      <c r="A5975" s="1" t="s">
        <v>212</v>
      </c>
      <c r="B5975" s="1" t="s">
        <v>951</v>
      </c>
      <c r="C5975" s="5">
        <f>DATE(2025, 11, 3) + TIME(11, 23, 44)</f>
        <v>45964.474814814814</v>
      </c>
      <c r="D5975" s="1" t="s">
        <v>506</v>
      </c>
      <c r="E5975" s="1" t="s">
        <v>697</v>
      </c>
    </row>
    <row r="5976" spans="1:5" x14ac:dyDescent="0.2">
      <c r="A5976" s="1" t="s">
        <v>212</v>
      </c>
      <c r="B5976" s="1" t="s">
        <v>60</v>
      </c>
      <c r="C5976" s="5">
        <f>DATE(2025, 10, 30) + TIME(14, 10, 21)</f>
        <v>45960.590520833335</v>
      </c>
      <c r="D5976" s="1" t="s">
        <v>65</v>
      </c>
      <c r="E5976" s="1" t="s">
        <v>606</v>
      </c>
    </row>
    <row r="5977" spans="1:5" x14ac:dyDescent="0.2">
      <c r="A5977" s="1" t="s">
        <v>212</v>
      </c>
      <c r="B5977" s="1" t="s">
        <v>178</v>
      </c>
      <c r="C5977" s="5">
        <f>DATE(2025, 10, 30) + TIME(13, 45, 30)</f>
        <v>45960.573263888888</v>
      </c>
      <c r="D5977" s="1" t="s">
        <v>506</v>
      </c>
      <c r="E5977" s="1" t="s">
        <v>867</v>
      </c>
    </row>
    <row r="5978" spans="1:5" x14ac:dyDescent="0.2">
      <c r="A5978" s="1" t="s">
        <v>212</v>
      </c>
      <c r="B5978" s="1" t="s">
        <v>60</v>
      </c>
      <c r="C5978" s="5">
        <f>DATE(2025, 10, 28) + TIME(12, 10, 46)</f>
        <v>45958.507476851853</v>
      </c>
      <c r="D5978" s="1" t="s">
        <v>863</v>
      </c>
      <c r="E5978" s="1" t="s">
        <v>365</v>
      </c>
    </row>
    <row r="5979" spans="1:5" x14ac:dyDescent="0.2">
      <c r="A5979" s="1" t="s">
        <v>212</v>
      </c>
      <c r="B5979" s="1" t="s">
        <v>951</v>
      </c>
      <c r="C5979" s="5">
        <f>DATE(2025, 10, 23) + TIME(12, 13, 13)</f>
        <v>45953.50917824074</v>
      </c>
      <c r="D5979" s="1" t="s">
        <v>506</v>
      </c>
      <c r="E5979" s="1" t="s">
        <v>709</v>
      </c>
    </row>
    <row r="5980" spans="1:5" x14ac:dyDescent="0.2">
      <c r="A5980" s="1" t="s">
        <v>212</v>
      </c>
      <c r="B5980" s="1" t="s">
        <v>526</v>
      </c>
      <c r="C5980" s="5">
        <f>DATE(2025, 10, 20) + TIME(7, 25, 2)</f>
        <v>45950.309050925927</v>
      </c>
      <c r="D5980" s="1" t="s">
        <v>226</v>
      </c>
      <c r="E5980" s="1" t="s">
        <v>45</v>
      </c>
    </row>
    <row r="5981" spans="1:5" x14ac:dyDescent="0.2">
      <c r="A5981" s="1" t="s">
        <v>212</v>
      </c>
      <c r="B5981" s="1" t="s">
        <v>614</v>
      </c>
      <c r="C5981" s="5">
        <f>DATE(2025, 10, 16) + TIME(12, 50, 13)</f>
        <v>45946.534872685188</v>
      </c>
      <c r="D5981" s="1" t="s">
        <v>320</v>
      </c>
      <c r="E5981" s="1" t="s">
        <v>732</v>
      </c>
    </row>
    <row r="5982" spans="1:5" x14ac:dyDescent="0.2">
      <c r="A5982" s="1" t="s">
        <v>212</v>
      </c>
      <c r="B5982" s="1" t="s">
        <v>955</v>
      </c>
      <c r="C5982" s="5">
        <f>DATE(2025, 10, 16) + TIME(12, 50, 13)</f>
        <v>45946.534872685188</v>
      </c>
      <c r="D5982" s="1" t="s">
        <v>320</v>
      </c>
      <c r="E5982" s="1" t="s">
        <v>732</v>
      </c>
    </row>
    <row r="5983" spans="1:5" x14ac:dyDescent="0.2">
      <c r="A5983" s="1" t="s">
        <v>212</v>
      </c>
      <c r="B5983" s="1" t="s">
        <v>866</v>
      </c>
      <c r="C5983" s="5">
        <f>DATE(2025, 10, 16) + TIME(11, 18, 54)</f>
        <v>45946.471458333333</v>
      </c>
      <c r="D5983" s="1" t="s">
        <v>506</v>
      </c>
      <c r="E5983" s="1" t="s">
        <v>488</v>
      </c>
    </row>
    <row r="5984" spans="1:5" x14ac:dyDescent="0.2">
      <c r="A5984" s="1" t="s">
        <v>212</v>
      </c>
      <c r="B5984" s="1" t="s">
        <v>866</v>
      </c>
      <c r="C5984" s="5">
        <f>DATE(2025, 10, 15) + TIME(11, 8, 5)</f>
        <v>45945.463946759257</v>
      </c>
      <c r="D5984" s="1" t="s">
        <v>506</v>
      </c>
      <c r="E5984" s="1" t="s">
        <v>353</v>
      </c>
    </row>
    <row r="5985" spans="1:5" x14ac:dyDescent="0.2">
      <c r="A5985" s="1" t="s">
        <v>212</v>
      </c>
      <c r="B5985" s="1" t="s">
        <v>323</v>
      </c>
      <c r="C5985" s="5">
        <f>DATE(2025, 10, 15) + TIME(10, 23, 48)</f>
        <v>45945.433194444442</v>
      </c>
      <c r="D5985" s="1" t="s">
        <v>506</v>
      </c>
      <c r="E5985" s="1" t="s">
        <v>83</v>
      </c>
    </row>
    <row r="5986" spans="1:5" x14ac:dyDescent="0.2">
      <c r="A5986" s="1" t="s">
        <v>212</v>
      </c>
      <c r="B5986" s="1" t="s">
        <v>272</v>
      </c>
      <c r="C5986" s="5">
        <f>DATE(2025, 10, 13) + TIME(12, 38, 59)</f>
        <v>45943.527071759258</v>
      </c>
      <c r="D5986" s="1" t="s">
        <v>216</v>
      </c>
      <c r="E5986" s="1" t="s">
        <v>665</v>
      </c>
    </row>
    <row r="5987" spans="1:5" x14ac:dyDescent="0.2">
      <c r="A5987" s="1" t="s">
        <v>212</v>
      </c>
      <c r="B5987" s="1" t="s">
        <v>141</v>
      </c>
      <c r="C5987" s="5">
        <f>DATE(2025, 10, 9) + TIME(15, 46, 15)</f>
        <v>45939.657118055555</v>
      </c>
      <c r="D5987" s="1" t="s">
        <v>398</v>
      </c>
      <c r="E5987" s="1" t="s">
        <v>895</v>
      </c>
    </row>
    <row r="5988" spans="1:5" x14ac:dyDescent="0.2">
      <c r="A5988" s="1" t="s">
        <v>212</v>
      </c>
      <c r="B5988" s="1" t="s">
        <v>707</v>
      </c>
      <c r="C5988" s="5">
        <f>DATE(2025, 10, 9) + TIME(14, 49, 4)</f>
        <v>45939.617407407408</v>
      </c>
      <c r="D5988" s="1" t="s">
        <v>563</v>
      </c>
      <c r="E5988" s="1" t="s">
        <v>475</v>
      </c>
    </row>
    <row r="5989" spans="1:5" x14ac:dyDescent="0.2">
      <c r="A5989" s="1" t="s">
        <v>212</v>
      </c>
      <c r="B5989" s="1" t="s">
        <v>927</v>
      </c>
      <c r="C5989" s="5">
        <f>DATE(2025, 10, 9) + TIME(13, 37, 49)</f>
        <v>45939.567928240744</v>
      </c>
      <c r="D5989" s="1" t="s">
        <v>269</v>
      </c>
      <c r="E5989" s="1" t="s">
        <v>492</v>
      </c>
    </row>
    <row r="5990" spans="1:5" x14ac:dyDescent="0.2">
      <c r="A5990" s="1" t="s">
        <v>212</v>
      </c>
      <c r="B5990" s="1" t="s">
        <v>562</v>
      </c>
      <c r="C5990" s="5">
        <f>DATE(2025, 10, 9) + TIME(13, 37, 27)</f>
        <v>45939.567673611113</v>
      </c>
      <c r="D5990" s="1" t="s">
        <v>269</v>
      </c>
      <c r="E5990" s="1" t="s">
        <v>487</v>
      </c>
    </row>
    <row r="5991" spans="1:5" x14ac:dyDescent="0.2">
      <c r="A5991" s="1" t="s">
        <v>212</v>
      </c>
      <c r="B5991" s="1" t="s">
        <v>139</v>
      </c>
      <c r="C5991" s="5">
        <f>DATE(2025, 10, 9) + TIME(8, 54, 43)</f>
        <v>45939.371331018519</v>
      </c>
      <c r="D5991" s="1" t="s">
        <v>640</v>
      </c>
      <c r="E5991" s="1" t="s">
        <v>333</v>
      </c>
    </row>
    <row r="5992" spans="1:5" x14ac:dyDescent="0.2">
      <c r="A5992" s="1" t="s">
        <v>212</v>
      </c>
      <c r="B5992" s="1" t="s">
        <v>47</v>
      </c>
      <c r="C5992" s="5">
        <f>DATE(2025, 10, 8) + TIME(12, 53, 9)</f>
        <v>45938.536909722221</v>
      </c>
      <c r="D5992" s="1" t="s">
        <v>506</v>
      </c>
      <c r="E5992" s="1" t="s">
        <v>867</v>
      </c>
    </row>
    <row r="5993" spans="1:5" x14ac:dyDescent="0.2">
      <c r="A5993" s="1" t="s">
        <v>212</v>
      </c>
      <c r="B5993" s="1" t="s">
        <v>866</v>
      </c>
      <c r="C5993" s="5">
        <f>DATE(2025, 10, 7) + TIME(13, 45, 6)</f>
        <v>45937.57298611111</v>
      </c>
      <c r="D5993" s="1" t="s">
        <v>65</v>
      </c>
      <c r="E5993" s="1" t="s">
        <v>227</v>
      </c>
    </row>
    <row r="5994" spans="1:5" x14ac:dyDescent="0.2">
      <c r="A5994" s="1" t="s">
        <v>212</v>
      </c>
      <c r="B5994" s="1" t="s">
        <v>60</v>
      </c>
      <c r="C5994" s="5">
        <f>DATE(2025, 10, 7) + TIME(12, 3, 1)</f>
        <v>45937.50209490741</v>
      </c>
      <c r="D5994" s="1" t="s">
        <v>506</v>
      </c>
      <c r="E5994" s="1" t="s">
        <v>930</v>
      </c>
    </row>
    <row r="5995" spans="1:5" x14ac:dyDescent="0.2">
      <c r="A5995" s="1" t="s">
        <v>212</v>
      </c>
      <c r="B5995" s="1" t="s">
        <v>644</v>
      </c>
      <c r="C5995" s="5">
        <f>DATE(2025, 10, 2) + TIME(12, 56, 5)</f>
        <v>45932.538946759261</v>
      </c>
      <c r="D5995" s="1" t="s">
        <v>506</v>
      </c>
      <c r="E5995" s="1" t="s">
        <v>875</v>
      </c>
    </row>
    <row r="5996" spans="1:5" x14ac:dyDescent="0.2">
      <c r="A5996" s="1" t="s">
        <v>212</v>
      </c>
      <c r="B5996" s="1" t="s">
        <v>139</v>
      </c>
      <c r="C5996" s="5">
        <f>DATE(2025, 10, 2) + TIME(7, 59, 54)</f>
        <v>45932.33326388889</v>
      </c>
      <c r="D5996" s="1" t="s">
        <v>640</v>
      </c>
      <c r="E5996" s="1" t="s">
        <v>333</v>
      </c>
    </row>
    <row r="5997" spans="1:5" x14ac:dyDescent="0.2">
      <c r="A5997" s="1" t="s">
        <v>212</v>
      </c>
      <c r="B5997" s="1" t="s">
        <v>866</v>
      </c>
      <c r="C5997" s="5">
        <f>DATE(2025, 10, 1) + TIME(15, 0, 16)</f>
        <v>45931.625185185185</v>
      </c>
      <c r="D5997" s="1" t="s">
        <v>269</v>
      </c>
      <c r="E5997" s="1" t="s">
        <v>781</v>
      </c>
    </row>
    <row r="5998" spans="1:5" x14ac:dyDescent="0.2">
      <c r="A5998" s="1" t="s">
        <v>212</v>
      </c>
      <c r="B5998" s="1" t="s">
        <v>60</v>
      </c>
      <c r="C5998" s="5">
        <f>DATE(2025, 10, 1) + TIME(14, 13, 54)</f>
        <v>45931.592986111114</v>
      </c>
      <c r="D5998" s="1" t="s">
        <v>269</v>
      </c>
      <c r="E5998" s="1" t="s">
        <v>653</v>
      </c>
    </row>
    <row r="5999" spans="1:5" x14ac:dyDescent="0.2">
      <c r="A5999" s="1" t="s">
        <v>212</v>
      </c>
      <c r="B5999" s="1" t="s">
        <v>294</v>
      </c>
      <c r="C5999" s="5">
        <f>DATE(2025, 9, 30) + TIME(12, 6, 51)</f>
        <v>45930.504756944443</v>
      </c>
      <c r="D5999" s="1" t="s">
        <v>459</v>
      </c>
      <c r="E5999" s="1" t="s">
        <v>116</v>
      </c>
    </row>
    <row r="6000" spans="1:5" x14ac:dyDescent="0.2">
      <c r="A6000" s="1" t="s">
        <v>212</v>
      </c>
      <c r="B6000" s="1" t="s">
        <v>163</v>
      </c>
      <c r="C6000" s="5">
        <f>DATE(2025, 9, 29) + TIME(13, 19, 4)</f>
        <v>45929.554907407408</v>
      </c>
      <c r="D6000" s="1" t="s">
        <v>65</v>
      </c>
      <c r="E6000" s="1" t="s">
        <v>219</v>
      </c>
    </row>
    <row r="6001" spans="1:5" x14ac:dyDescent="0.2">
      <c r="A6001" s="1" t="s">
        <v>212</v>
      </c>
      <c r="B6001" s="1" t="s">
        <v>251</v>
      </c>
      <c r="C6001" s="5">
        <f>DATE(2025, 9, 29) + TIME(10, 8, 9)</f>
        <v>45929.422326388885</v>
      </c>
      <c r="D6001" s="1" t="s">
        <v>65</v>
      </c>
      <c r="E6001" s="1" t="s">
        <v>546</v>
      </c>
    </row>
    <row r="6002" spans="1:5" x14ac:dyDescent="0.2">
      <c r="A6002" s="1" t="s">
        <v>212</v>
      </c>
      <c r="B6002" s="1" t="s">
        <v>69</v>
      </c>
      <c r="C6002" s="5">
        <f>DATE(2025, 9, 24) + TIME(15, 19, 27)</f>
        <v>45924.638506944444</v>
      </c>
      <c r="D6002" s="1" t="s">
        <v>65</v>
      </c>
      <c r="E6002" s="1" t="s">
        <v>918</v>
      </c>
    </row>
    <row r="6003" spans="1:5" x14ac:dyDescent="0.2">
      <c r="A6003" s="1" t="s">
        <v>212</v>
      </c>
      <c r="B6003" s="1" t="s">
        <v>69</v>
      </c>
      <c r="C6003" s="5">
        <f>DATE(2025, 9, 22) + TIME(13, 42, 30)</f>
        <v>45922.571180555555</v>
      </c>
      <c r="D6003" s="1" t="s">
        <v>65</v>
      </c>
      <c r="E6003" s="1" t="s">
        <v>219</v>
      </c>
    </row>
    <row r="6004" spans="1:5" x14ac:dyDescent="0.2">
      <c r="A6004" s="1" t="s">
        <v>212</v>
      </c>
      <c r="B6004" s="1" t="s">
        <v>436</v>
      </c>
      <c r="C6004" s="5">
        <f>DATE(2025, 9, 22) + TIME(13, 23, 25)</f>
        <v>45922.557928240742</v>
      </c>
      <c r="D6004" s="1" t="s">
        <v>754</v>
      </c>
      <c r="E6004" s="1" t="s">
        <v>75</v>
      </c>
    </row>
    <row r="6005" spans="1:5" x14ac:dyDescent="0.2">
      <c r="A6005" s="1" t="s">
        <v>212</v>
      </c>
      <c r="B6005" s="1" t="s">
        <v>374</v>
      </c>
      <c r="C6005" s="5">
        <f>DATE(2025, 9, 22) + TIME(10, 15, 13)</f>
        <v>45922.427233796298</v>
      </c>
      <c r="D6005" s="1" t="s">
        <v>65</v>
      </c>
      <c r="E6005" s="1" t="s">
        <v>546</v>
      </c>
    </row>
    <row r="6006" spans="1:5" x14ac:dyDescent="0.2">
      <c r="A6006" s="1" t="s">
        <v>212</v>
      </c>
      <c r="B6006" s="1" t="s">
        <v>139</v>
      </c>
      <c r="C6006" s="5">
        <f>DATE(2025, 9, 22) + TIME(9, 49, 22)</f>
        <v>45922.409282407411</v>
      </c>
      <c r="D6006" s="1" t="s">
        <v>563</v>
      </c>
      <c r="E6006" s="1" t="s">
        <v>145</v>
      </c>
    </row>
    <row r="6007" spans="1:5" x14ac:dyDescent="0.2">
      <c r="A6007" s="1" t="s">
        <v>212</v>
      </c>
      <c r="B6007" s="1" t="s">
        <v>866</v>
      </c>
      <c r="C6007" s="5">
        <f>DATE(2025, 9, 18) + TIME(13, 22, 19)</f>
        <v>45918.557164351849</v>
      </c>
      <c r="D6007" s="1" t="s">
        <v>269</v>
      </c>
      <c r="E6007" s="1" t="s">
        <v>511</v>
      </c>
    </row>
    <row r="6008" spans="1:5" x14ac:dyDescent="0.2">
      <c r="A6008" s="1" t="s">
        <v>212</v>
      </c>
      <c r="B6008" s="1" t="s">
        <v>60</v>
      </c>
      <c r="C6008" s="5">
        <f>DATE(2025, 9, 18) + TIME(13, 11, 10)</f>
        <v>45918.549421296295</v>
      </c>
      <c r="D6008" s="1" t="s">
        <v>638</v>
      </c>
      <c r="E6008" s="1" t="s">
        <v>147</v>
      </c>
    </row>
    <row r="6009" spans="1:5" x14ac:dyDescent="0.2">
      <c r="A6009" s="1" t="s">
        <v>212</v>
      </c>
      <c r="B6009" s="1" t="s">
        <v>927</v>
      </c>
      <c r="C6009" s="5">
        <f>DATE(2025, 9, 18) + TIME(11, 26, 11)</f>
        <v>45918.4765162037</v>
      </c>
      <c r="D6009" s="1" t="s">
        <v>506</v>
      </c>
      <c r="E6009" s="1" t="s">
        <v>82</v>
      </c>
    </row>
    <row r="6010" spans="1:5" x14ac:dyDescent="0.2">
      <c r="A6010" s="1" t="s">
        <v>212</v>
      </c>
      <c r="B6010" s="1" t="s">
        <v>60</v>
      </c>
      <c r="C6010" s="5">
        <f>DATE(2025, 9, 11) + TIME(12, 9, 17)</f>
        <v>45911.50644675926</v>
      </c>
      <c r="D6010" s="1" t="s">
        <v>5</v>
      </c>
      <c r="E6010" s="1" t="s">
        <v>763</v>
      </c>
    </row>
    <row r="6011" spans="1:5" x14ac:dyDescent="0.2">
      <c r="A6011" s="1" t="s">
        <v>212</v>
      </c>
      <c r="B6011" s="1" t="s">
        <v>866</v>
      </c>
      <c r="C6011" s="5">
        <f>DATE(2025, 9, 10) + TIME(11, 37, 27)</f>
        <v>45910.484340277777</v>
      </c>
      <c r="D6011" s="1" t="s">
        <v>320</v>
      </c>
      <c r="E6011" s="1" t="s">
        <v>698</v>
      </c>
    </row>
    <row r="6012" spans="1:5" x14ac:dyDescent="0.2">
      <c r="A6012" s="1" t="s">
        <v>212</v>
      </c>
      <c r="B6012" s="1" t="s">
        <v>69</v>
      </c>
      <c r="C6012" s="5">
        <f>DATE(2025, 9, 5) + TIME(12, 47, 6)</f>
        <v>45905.532708333332</v>
      </c>
      <c r="D6012" s="1" t="s">
        <v>65</v>
      </c>
      <c r="E6012" s="1" t="s">
        <v>400</v>
      </c>
    </row>
    <row r="6013" spans="1:5" x14ac:dyDescent="0.2">
      <c r="A6013" s="1" t="s">
        <v>212</v>
      </c>
      <c r="B6013" s="1" t="s">
        <v>664</v>
      </c>
      <c r="C6013" s="5">
        <f>DATE(2025, 9, 2) + TIME(14, 28, 21)</f>
        <v>45902.603020833332</v>
      </c>
      <c r="D6013" s="1" t="s">
        <v>398</v>
      </c>
      <c r="E6013" s="1" t="s">
        <v>895</v>
      </c>
    </row>
    <row r="6014" spans="1:5" x14ac:dyDescent="0.2">
      <c r="A6014" s="1" t="s">
        <v>212</v>
      </c>
      <c r="B6014" s="1" t="s">
        <v>664</v>
      </c>
      <c r="C6014" s="5">
        <f>DATE(2025, 9, 2) + TIME(14, 28, 21)</f>
        <v>45902.603020833332</v>
      </c>
      <c r="D6014" s="1" t="s">
        <v>398</v>
      </c>
      <c r="E6014" s="1" t="s">
        <v>895</v>
      </c>
    </row>
    <row r="6015" spans="1:5" x14ac:dyDescent="0.2">
      <c r="A6015" s="1" t="s">
        <v>212</v>
      </c>
      <c r="B6015" s="1" t="s">
        <v>866</v>
      </c>
      <c r="C6015" s="5">
        <f>DATE(2025, 9, 2) + TIME(12, 2, 21)</f>
        <v>45902.501631944448</v>
      </c>
      <c r="D6015" s="1" t="s">
        <v>320</v>
      </c>
      <c r="E6015" s="1" t="s">
        <v>95</v>
      </c>
    </row>
    <row r="6016" spans="1:5" x14ac:dyDescent="0.2">
      <c r="A6016" s="1" t="s">
        <v>212</v>
      </c>
      <c r="B6016" s="1" t="s">
        <v>69</v>
      </c>
      <c r="C6016" s="5">
        <f>DATE(2025, 9, 1) + TIME(12, 1, 56)</f>
        <v>45901.501342592594</v>
      </c>
      <c r="D6016" s="1" t="s">
        <v>65</v>
      </c>
      <c r="E6016" s="1" t="s">
        <v>400</v>
      </c>
    </row>
    <row r="6017" spans="1:5" x14ac:dyDescent="0.2">
      <c r="A6017" s="1" t="s">
        <v>212</v>
      </c>
      <c r="B6017" s="1" t="s">
        <v>323</v>
      </c>
      <c r="C6017" s="5">
        <f>DATE(2025, 8, 31) + TIME(9, 30, 14)</f>
        <v>45900.395995370367</v>
      </c>
      <c r="D6017" s="1" t="s">
        <v>65</v>
      </c>
      <c r="E6017" s="1" t="s">
        <v>546</v>
      </c>
    </row>
    <row r="6018" spans="1:5" x14ac:dyDescent="0.2">
      <c r="A6018" s="1" t="s">
        <v>212</v>
      </c>
      <c r="B6018" s="1" t="s">
        <v>60</v>
      </c>
      <c r="C6018" s="5">
        <f>DATE(2025, 8, 27) + TIME(11, 58, 45)</f>
        <v>45896.499131944445</v>
      </c>
      <c r="D6018" s="1" t="s">
        <v>459</v>
      </c>
      <c r="E6018" s="1" t="s">
        <v>777</v>
      </c>
    </row>
    <row r="6019" spans="1:5" x14ac:dyDescent="0.2">
      <c r="A6019" s="1" t="s">
        <v>212</v>
      </c>
      <c r="B6019" s="1" t="s">
        <v>194</v>
      </c>
      <c r="C6019" s="5">
        <f>DATE(2025, 8, 27) + TIME(9, 35, 51)</f>
        <v>45896.399895833332</v>
      </c>
      <c r="D6019" s="1" t="s">
        <v>3</v>
      </c>
      <c r="E6019" s="1" t="s">
        <v>311</v>
      </c>
    </row>
    <row r="6020" spans="1:5" x14ac:dyDescent="0.2">
      <c r="A6020" s="1" t="s">
        <v>212</v>
      </c>
      <c r="B6020" s="1" t="s">
        <v>60</v>
      </c>
      <c r="C6020" s="5">
        <f>DATE(2025, 8, 26) + TIME(13, 37, 24)</f>
        <v>45895.56763888889</v>
      </c>
      <c r="D6020" s="1" t="s">
        <v>65</v>
      </c>
      <c r="E6020" s="1" t="s">
        <v>227</v>
      </c>
    </row>
    <row r="6021" spans="1:5" x14ac:dyDescent="0.2">
      <c r="A6021" s="1" t="s">
        <v>212</v>
      </c>
      <c r="B6021" s="1" t="s">
        <v>69</v>
      </c>
      <c r="C6021" s="5">
        <f>DATE(2025, 8, 26) + TIME(12, 33, 25)</f>
        <v>45895.523206018515</v>
      </c>
      <c r="D6021" s="1" t="s">
        <v>148</v>
      </c>
      <c r="E6021" s="1" t="s">
        <v>929</v>
      </c>
    </row>
    <row r="6022" spans="1:5" x14ac:dyDescent="0.2">
      <c r="A6022" s="1" t="s">
        <v>212</v>
      </c>
      <c r="B6022" s="1" t="s">
        <v>69</v>
      </c>
      <c r="C6022" s="5">
        <f>DATE(2025, 8, 26) + TIME(12, 33, 25)</f>
        <v>45895.523206018515</v>
      </c>
      <c r="D6022" s="1" t="s">
        <v>148</v>
      </c>
      <c r="E6022" s="1" t="s">
        <v>929</v>
      </c>
    </row>
    <row r="6023" spans="1:5" x14ac:dyDescent="0.2">
      <c r="A6023" s="1" t="s">
        <v>212</v>
      </c>
      <c r="B6023" s="1" t="s">
        <v>664</v>
      </c>
      <c r="C6023" s="5">
        <f>DATE(2025, 8, 21) + TIME(8, 23, 3)</f>
        <v>45890.349340277775</v>
      </c>
      <c r="D6023" s="1" t="s">
        <v>398</v>
      </c>
      <c r="E6023" s="1" t="s">
        <v>895</v>
      </c>
    </row>
    <row r="6024" spans="1:5" ht="16" x14ac:dyDescent="0.2">
      <c r="A6024" s="1" t="s">
        <v>212</v>
      </c>
      <c r="B6024" s="1" t="s">
        <v>124</v>
      </c>
      <c r="C6024" s="5">
        <f>DATE(2025, 8, 18) + TIME(13, 6, 2)</f>
        <v>45887.545856481483</v>
      </c>
      <c r="D6024" s="1" t="s">
        <v>50</v>
      </c>
      <c r="E6024" s="2" t="s">
        <v>312</v>
      </c>
    </row>
    <row r="6025" spans="1:5" x14ac:dyDescent="0.2">
      <c r="A6025" s="1" t="s">
        <v>212</v>
      </c>
      <c r="B6025" s="1" t="s">
        <v>194</v>
      </c>
      <c r="C6025" s="5">
        <f>DATE(2025, 8, 14) + TIME(13, 33, 45)</f>
        <v>45883.565104166664</v>
      </c>
      <c r="D6025" s="1" t="s">
        <v>3</v>
      </c>
      <c r="E6025" s="1" t="s">
        <v>313</v>
      </c>
    </row>
    <row r="6026" spans="1:5" x14ac:dyDescent="0.2">
      <c r="A6026" s="1" t="s">
        <v>212</v>
      </c>
      <c r="B6026" s="1" t="s">
        <v>664</v>
      </c>
      <c r="C6026" s="5">
        <f>DATE(2025, 8, 14) + TIME(9, 30, 1)</f>
        <v>45883.395844907405</v>
      </c>
      <c r="D6026" s="1" t="s">
        <v>638</v>
      </c>
      <c r="E6026" s="1" t="s">
        <v>172</v>
      </c>
    </row>
    <row r="6027" spans="1:5" x14ac:dyDescent="0.2">
      <c r="A6027" s="1" t="s">
        <v>212</v>
      </c>
      <c r="B6027" s="1" t="s">
        <v>60</v>
      </c>
      <c r="C6027" s="5">
        <f>DATE(2025, 8, 12) + TIME(14, 58, 49)</f>
        <v>45881.624178240738</v>
      </c>
      <c r="D6027" s="1" t="s">
        <v>65</v>
      </c>
      <c r="E6027" s="1" t="s">
        <v>379</v>
      </c>
    </row>
    <row r="6028" spans="1:5" x14ac:dyDescent="0.2">
      <c r="A6028" s="1" t="s">
        <v>212</v>
      </c>
      <c r="B6028" s="1" t="s">
        <v>564</v>
      </c>
      <c r="C6028" s="5">
        <f>DATE(2025, 8, 12) + TIME(12, 18, 16)</f>
        <v>45881.512685185182</v>
      </c>
      <c r="D6028" s="1" t="s">
        <v>320</v>
      </c>
      <c r="E6028" s="1" t="s">
        <v>95</v>
      </c>
    </row>
    <row r="6029" spans="1:5" x14ac:dyDescent="0.2">
      <c r="A6029" s="1" t="s">
        <v>212</v>
      </c>
      <c r="B6029" s="1" t="s">
        <v>60</v>
      </c>
      <c r="C6029" s="5">
        <f>DATE(2025, 8, 8) + TIME(14, 13, 35)</f>
        <v>45877.592766203707</v>
      </c>
      <c r="D6029" s="1" t="s">
        <v>398</v>
      </c>
      <c r="E6029" s="1" t="s">
        <v>895</v>
      </c>
    </row>
    <row r="6030" spans="1:5" x14ac:dyDescent="0.2">
      <c r="A6030" s="1" t="s">
        <v>212</v>
      </c>
      <c r="B6030" s="1" t="s">
        <v>60</v>
      </c>
      <c r="C6030" s="5">
        <f>DATE(2025, 8, 7) + TIME(12, 1, 26)</f>
        <v>45876.50099537037</v>
      </c>
      <c r="D6030" s="1" t="s">
        <v>5</v>
      </c>
      <c r="E6030" s="1" t="s">
        <v>763</v>
      </c>
    </row>
    <row r="6031" spans="1:5" x14ac:dyDescent="0.2">
      <c r="A6031" s="1" t="s">
        <v>212</v>
      </c>
      <c r="B6031" s="1" t="s">
        <v>323</v>
      </c>
      <c r="C6031" s="5">
        <f>DATE(2025, 7, 24) + TIME(15, 55, 1)</f>
        <v>45862.663206018522</v>
      </c>
      <c r="D6031" s="1" t="s">
        <v>750</v>
      </c>
      <c r="E6031" s="1" t="s">
        <v>260</v>
      </c>
    </row>
    <row r="6032" spans="1:5" x14ac:dyDescent="0.2">
      <c r="A6032" s="1" t="s">
        <v>212</v>
      </c>
      <c r="B6032" s="1" t="s">
        <v>564</v>
      </c>
      <c r="C6032" s="5">
        <f>DATE(2025, 7, 24) + TIME(14, 21, 35)</f>
        <v>45862.598321759258</v>
      </c>
      <c r="D6032" s="1" t="s">
        <v>320</v>
      </c>
      <c r="E6032" s="1" t="s">
        <v>623</v>
      </c>
    </row>
    <row r="6033" spans="1:5" x14ac:dyDescent="0.2">
      <c r="A6033" s="1" t="s">
        <v>212</v>
      </c>
      <c r="B6033" s="1" t="s">
        <v>564</v>
      </c>
      <c r="C6033" s="5">
        <f>DATE(2025, 7, 21) + TIME(13, 49, 7)</f>
        <v>45859.575775462959</v>
      </c>
      <c r="D6033" s="1" t="s">
        <v>320</v>
      </c>
      <c r="E6033" s="1" t="s">
        <v>698</v>
      </c>
    </row>
    <row r="6034" spans="1:5" x14ac:dyDescent="0.2">
      <c r="A6034" s="1" t="s">
        <v>212</v>
      </c>
      <c r="B6034" s="1" t="s">
        <v>141</v>
      </c>
      <c r="C6034" s="5">
        <f>DATE(2025, 7, 21) + TIME(6, 57, 37)</f>
        <v>45859.290011574078</v>
      </c>
      <c r="D6034" s="1" t="s">
        <v>398</v>
      </c>
      <c r="E6034" s="1" t="s">
        <v>854</v>
      </c>
    </row>
    <row r="6035" spans="1:5" x14ac:dyDescent="0.2">
      <c r="A6035" s="1" t="s">
        <v>212</v>
      </c>
      <c r="B6035" s="1" t="s">
        <v>866</v>
      </c>
      <c r="C6035" s="5">
        <f>DATE(2025, 7, 17) + TIME(14, 42, 17)</f>
        <v>45855.612696759257</v>
      </c>
      <c r="D6035" s="1" t="s">
        <v>65</v>
      </c>
      <c r="E6035" s="1" t="s">
        <v>615</v>
      </c>
    </row>
    <row r="6036" spans="1:5" x14ac:dyDescent="0.2">
      <c r="A6036" s="1" t="s">
        <v>212</v>
      </c>
      <c r="B6036" s="1" t="s">
        <v>866</v>
      </c>
      <c r="C6036" s="5">
        <f>DATE(2025, 7, 16) + TIME(17, 40, 39)</f>
        <v>45854.736562500002</v>
      </c>
      <c r="D6036" s="1" t="s">
        <v>320</v>
      </c>
      <c r="E6036" s="1" t="s">
        <v>201</v>
      </c>
    </row>
    <row r="6037" spans="1:5" x14ac:dyDescent="0.2">
      <c r="A6037" s="1" t="s">
        <v>212</v>
      </c>
      <c r="B6037" s="1" t="s">
        <v>771</v>
      </c>
      <c r="C6037" s="5">
        <f>DATE(2025, 7, 15) + TIME(11, 30, 2)</f>
        <v>45853.479189814818</v>
      </c>
      <c r="D6037" s="1" t="s">
        <v>269</v>
      </c>
      <c r="E6037" s="1" t="s">
        <v>588</v>
      </c>
    </row>
    <row r="6038" spans="1:5" x14ac:dyDescent="0.2">
      <c r="A6038" s="1" t="s">
        <v>212</v>
      </c>
      <c r="B6038" s="1" t="s">
        <v>60</v>
      </c>
      <c r="C6038" s="5">
        <f>DATE(2025, 7, 8) + TIME(15, 37, 31)</f>
        <v>45846.651053240741</v>
      </c>
      <c r="D6038" s="1" t="s">
        <v>120</v>
      </c>
      <c r="E6038" s="1" t="s">
        <v>672</v>
      </c>
    </row>
    <row r="6039" spans="1:5" x14ac:dyDescent="0.2">
      <c r="A6039" s="1" t="s">
        <v>212</v>
      </c>
      <c r="B6039" s="1" t="s">
        <v>866</v>
      </c>
      <c r="C6039" s="5">
        <f>DATE(2025, 7, 8) + TIME(12, 15, 19)</f>
        <v>45846.510636574072</v>
      </c>
      <c r="D6039" s="1" t="s">
        <v>226</v>
      </c>
      <c r="E6039" s="1" t="s">
        <v>758</v>
      </c>
    </row>
    <row r="6040" spans="1:5" x14ac:dyDescent="0.2">
      <c r="A6040" s="1" t="s">
        <v>212</v>
      </c>
      <c r="B6040" s="1" t="s">
        <v>60</v>
      </c>
      <c r="C6040" s="5">
        <f>DATE(2025, 7, 3) + TIME(13, 1, 56)</f>
        <v>45841.543009259258</v>
      </c>
      <c r="D6040" s="1" t="s">
        <v>638</v>
      </c>
      <c r="E6040" s="1" t="s">
        <v>384</v>
      </c>
    </row>
    <row r="6041" spans="1:5" x14ac:dyDescent="0.2">
      <c r="A6041" s="1" t="s">
        <v>212</v>
      </c>
      <c r="B6041" s="1" t="s">
        <v>316</v>
      </c>
      <c r="C6041" s="5">
        <f>DATE(2025, 7, 2) + TIME(9, 47, 18)</f>
        <v>45840.407847222225</v>
      </c>
      <c r="D6041" s="1" t="s">
        <v>396</v>
      </c>
      <c r="E6041" s="1" t="s">
        <v>970</v>
      </c>
    </row>
    <row r="6042" spans="1:5" x14ac:dyDescent="0.2">
      <c r="A6042" s="1" t="s">
        <v>212</v>
      </c>
      <c r="B6042" s="1" t="s">
        <v>271</v>
      </c>
      <c r="C6042" s="5">
        <f>DATE(2025, 7, 1) + TIME(15, 56, 21)</f>
        <v>45839.664131944446</v>
      </c>
      <c r="D6042" s="1" t="s">
        <v>320</v>
      </c>
      <c r="E6042" s="1" t="s">
        <v>687</v>
      </c>
    </row>
    <row r="6043" spans="1:5" x14ac:dyDescent="0.2">
      <c r="A6043" s="1" t="s">
        <v>212</v>
      </c>
      <c r="B6043" s="1" t="s">
        <v>866</v>
      </c>
      <c r="C6043" s="5">
        <f>DATE(2025, 7, 1) + TIME(15, 56, 21)</f>
        <v>45839.664131944446</v>
      </c>
      <c r="D6043" s="1" t="s">
        <v>320</v>
      </c>
      <c r="E6043" s="1" t="s">
        <v>687</v>
      </c>
    </row>
    <row r="6044" spans="1:5" x14ac:dyDescent="0.2">
      <c r="A6044" s="1" t="s">
        <v>212</v>
      </c>
      <c r="B6044" s="1" t="s">
        <v>141</v>
      </c>
      <c r="C6044" s="5">
        <f>DATE(2025, 6, 30) + TIME(11, 27, 3)</f>
        <v>45838.477118055554</v>
      </c>
      <c r="D6044" s="1" t="s">
        <v>320</v>
      </c>
      <c r="E6044" s="1" t="s">
        <v>521</v>
      </c>
    </row>
    <row r="6045" spans="1:5" x14ac:dyDescent="0.2">
      <c r="A6045" s="1" t="s">
        <v>212</v>
      </c>
      <c r="B6045" s="1" t="s">
        <v>564</v>
      </c>
      <c r="C6045" s="5">
        <f>DATE(2025, 6, 26) + TIME(14, 19, 4)</f>
        <v>45834.596574074072</v>
      </c>
      <c r="D6045" s="1" t="s">
        <v>566</v>
      </c>
      <c r="E6045" s="1" t="s">
        <v>922</v>
      </c>
    </row>
    <row r="6046" spans="1:5" x14ac:dyDescent="0.2">
      <c r="A6046" s="1" t="s">
        <v>212</v>
      </c>
      <c r="B6046" s="1" t="s">
        <v>564</v>
      </c>
      <c r="C6046" s="5">
        <f>DATE(2025, 6, 25) + TIME(4, 38, 5)</f>
        <v>45833.193113425928</v>
      </c>
      <c r="D6046" s="1" t="s">
        <v>3</v>
      </c>
      <c r="E6046" s="1" t="s">
        <v>73</v>
      </c>
    </row>
    <row r="6047" spans="1:5" x14ac:dyDescent="0.2">
      <c r="A6047" s="1" t="s">
        <v>212</v>
      </c>
      <c r="B6047" s="1" t="s">
        <v>866</v>
      </c>
      <c r="C6047" s="5">
        <f>DATE(2025, 6, 23) + TIME(15, 35, 54)</f>
        <v>45831.649930555555</v>
      </c>
      <c r="D6047" s="1" t="s">
        <v>320</v>
      </c>
      <c r="E6047" s="1" t="s">
        <v>687</v>
      </c>
    </row>
    <row r="6048" spans="1:5" x14ac:dyDescent="0.2">
      <c r="A6048" s="1" t="s">
        <v>212</v>
      </c>
      <c r="B6048" s="1" t="s">
        <v>866</v>
      </c>
      <c r="C6048" s="5">
        <f>DATE(2025, 6, 23) + TIME(11, 1, 36)</f>
        <v>45831.459444444445</v>
      </c>
      <c r="D6048" s="1" t="s">
        <v>320</v>
      </c>
      <c r="E6048" s="1" t="s">
        <v>698</v>
      </c>
    </row>
    <row r="6049" spans="1:5" x14ac:dyDescent="0.2">
      <c r="A6049" s="1" t="s">
        <v>212</v>
      </c>
      <c r="B6049" s="1" t="s">
        <v>866</v>
      </c>
      <c r="C6049" s="5">
        <f>DATE(2025, 6, 18) + TIME(12, 15, 42)</f>
        <v>45826.51090277778</v>
      </c>
      <c r="D6049" s="1" t="s">
        <v>65</v>
      </c>
      <c r="E6049" s="1" t="s">
        <v>918</v>
      </c>
    </row>
    <row r="6050" spans="1:5" x14ac:dyDescent="0.2">
      <c r="A6050" s="1" t="s">
        <v>212</v>
      </c>
      <c r="B6050" s="1" t="s">
        <v>927</v>
      </c>
      <c r="C6050" s="5">
        <f>DATE(2025, 6, 17) + TIME(13, 29, 57)</f>
        <v>45825.562465277777</v>
      </c>
      <c r="D6050" s="1" t="s">
        <v>506</v>
      </c>
      <c r="E6050" s="1" t="s">
        <v>702</v>
      </c>
    </row>
    <row r="6051" spans="1:5" x14ac:dyDescent="0.2">
      <c r="A6051" s="1" t="s">
        <v>212</v>
      </c>
      <c r="B6051" s="1" t="s">
        <v>866</v>
      </c>
      <c r="C6051" s="5">
        <f>DATE(2025, 6, 17) + TIME(13, 2, 7)</f>
        <v>45825.543136574073</v>
      </c>
      <c r="D6051" s="1" t="s">
        <v>64</v>
      </c>
      <c r="E6051" s="1" t="s">
        <v>433</v>
      </c>
    </row>
    <row r="6052" spans="1:5" x14ac:dyDescent="0.2">
      <c r="A6052" s="1" t="s">
        <v>212</v>
      </c>
      <c r="B6052" s="1" t="s">
        <v>866</v>
      </c>
      <c r="C6052" s="5">
        <f>DATE(2025, 6, 17) + TIME(9, 20, 3)</f>
        <v>45825.388923611114</v>
      </c>
      <c r="D6052" s="1" t="s">
        <v>396</v>
      </c>
      <c r="E6052" s="1" t="s">
        <v>276</v>
      </c>
    </row>
    <row r="6053" spans="1:5" x14ac:dyDescent="0.2">
      <c r="A6053" s="1" t="s">
        <v>212</v>
      </c>
      <c r="B6053" s="1" t="s">
        <v>141</v>
      </c>
      <c r="C6053" s="5">
        <f>DATE(2025, 6, 16) + TIME(13, 16, 35)</f>
        <v>45824.553182870368</v>
      </c>
      <c r="D6053" s="1" t="s">
        <v>320</v>
      </c>
      <c r="E6053" s="1" t="s">
        <v>332</v>
      </c>
    </row>
    <row r="6054" spans="1:5" x14ac:dyDescent="0.2">
      <c r="A6054" s="1" t="s">
        <v>212</v>
      </c>
      <c r="B6054" s="1" t="s">
        <v>60</v>
      </c>
      <c r="C6054" s="5">
        <f>DATE(2025, 6, 12) + TIME(14, 35, 15)</f>
        <v>45820.607812499999</v>
      </c>
      <c r="D6054" s="1" t="s">
        <v>65</v>
      </c>
      <c r="E6054" s="1" t="s">
        <v>615</v>
      </c>
    </row>
    <row r="6055" spans="1:5" x14ac:dyDescent="0.2">
      <c r="A6055" s="1" t="s">
        <v>212</v>
      </c>
      <c r="B6055" s="1" t="s">
        <v>866</v>
      </c>
      <c r="C6055" s="5">
        <f>DATE(2025, 6, 12) + TIME(14, 16, 32)</f>
        <v>45820.594814814816</v>
      </c>
      <c r="D6055" s="1" t="s">
        <v>506</v>
      </c>
      <c r="E6055" s="1" t="s">
        <v>867</v>
      </c>
    </row>
    <row r="6056" spans="1:5" x14ac:dyDescent="0.2">
      <c r="A6056" s="1" t="s">
        <v>212</v>
      </c>
      <c r="B6056" s="1" t="s">
        <v>564</v>
      </c>
      <c r="C6056" s="5">
        <f>DATE(2025, 6, 12) + TIME(13, 17, 13)</f>
        <v>45820.553622685184</v>
      </c>
      <c r="D6056" s="1" t="s">
        <v>269</v>
      </c>
      <c r="E6056" s="1" t="s">
        <v>110</v>
      </c>
    </row>
    <row r="6057" spans="1:5" x14ac:dyDescent="0.2">
      <c r="A6057" s="1" t="s">
        <v>212</v>
      </c>
      <c r="B6057" s="1" t="s">
        <v>60</v>
      </c>
      <c r="C6057" s="5">
        <f>DATE(2025, 6, 12) + TIME(12, 49, 56)</f>
        <v>45820.534675925926</v>
      </c>
      <c r="D6057" s="1" t="s">
        <v>396</v>
      </c>
      <c r="E6057" s="1" t="s">
        <v>567</v>
      </c>
    </row>
    <row r="6058" spans="1:5" x14ac:dyDescent="0.2">
      <c r="A6058" s="1" t="s">
        <v>212</v>
      </c>
      <c r="B6058" s="1" t="s">
        <v>526</v>
      </c>
      <c r="C6058" s="5">
        <f>DATE(2025, 6, 12) + TIME(12, 13, 58)</f>
        <v>45820.509699074071</v>
      </c>
      <c r="D6058" s="1" t="s">
        <v>467</v>
      </c>
      <c r="E6058" s="1" t="s">
        <v>628</v>
      </c>
    </row>
    <row r="6059" spans="1:5" x14ac:dyDescent="0.2">
      <c r="A6059" s="1" t="s">
        <v>212</v>
      </c>
      <c r="B6059" s="1" t="s">
        <v>323</v>
      </c>
      <c r="C6059" s="5">
        <f>DATE(2025, 6, 11) + TIME(17, 30, 49)</f>
        <v>45819.729733796295</v>
      </c>
      <c r="D6059" s="1" t="s">
        <v>576</v>
      </c>
      <c r="E6059" s="1" t="s">
        <v>646</v>
      </c>
    </row>
    <row r="6060" spans="1:5" x14ac:dyDescent="0.2">
      <c r="A6060" s="1" t="s">
        <v>212</v>
      </c>
      <c r="B6060" s="1" t="s">
        <v>69</v>
      </c>
      <c r="C6060" s="5">
        <f>DATE(2025, 6, 11) + TIME(11, 46, 50)</f>
        <v>45819.490856481483</v>
      </c>
      <c r="D6060" s="1" t="s">
        <v>576</v>
      </c>
      <c r="E6060" s="1" t="s">
        <v>972</v>
      </c>
    </row>
    <row r="6061" spans="1:5" x14ac:dyDescent="0.2">
      <c r="A6061" s="1" t="s">
        <v>212</v>
      </c>
      <c r="B6061" s="1" t="s">
        <v>69</v>
      </c>
      <c r="C6061" s="5">
        <f>DATE(2025, 6, 11) + TIME(11, 46, 49)</f>
        <v>45819.490844907406</v>
      </c>
      <c r="D6061" s="1" t="s">
        <v>576</v>
      </c>
      <c r="E6061" s="1" t="s">
        <v>972</v>
      </c>
    </row>
    <row r="6062" spans="1:5" x14ac:dyDescent="0.2">
      <c r="A6062" s="1" t="s">
        <v>212</v>
      </c>
      <c r="B6062" s="1" t="s">
        <v>526</v>
      </c>
      <c r="C6062" s="5">
        <f>DATE(2025, 6, 11) + TIME(11, 19, 4)</f>
        <v>45819.471574074072</v>
      </c>
      <c r="D6062" s="1" t="s">
        <v>467</v>
      </c>
      <c r="E6062" s="1" t="s">
        <v>798</v>
      </c>
    </row>
    <row r="6063" spans="1:5" x14ac:dyDescent="0.2">
      <c r="A6063" s="1" t="s">
        <v>212</v>
      </c>
      <c r="B6063" s="1" t="s">
        <v>614</v>
      </c>
      <c r="C6063" s="5">
        <f>DATE(2025, 6, 11) + TIME(7, 37, 50)</f>
        <v>45819.317939814813</v>
      </c>
      <c r="D6063" s="1" t="s">
        <v>65</v>
      </c>
      <c r="E6063" s="1" t="s">
        <v>204</v>
      </c>
    </row>
    <row r="6064" spans="1:5" x14ac:dyDescent="0.2">
      <c r="A6064" s="1" t="s">
        <v>212</v>
      </c>
      <c r="B6064" s="1" t="s">
        <v>963</v>
      </c>
      <c r="C6064" s="5">
        <f>DATE(2025, 6, 10) + TIME(13, 35, 12)</f>
        <v>45818.566111111111</v>
      </c>
      <c r="D6064" s="1" t="s">
        <v>216</v>
      </c>
      <c r="E6064" s="1" t="s">
        <v>610</v>
      </c>
    </row>
    <row r="6065" spans="1:5" x14ac:dyDescent="0.2">
      <c r="A6065" s="1" t="s">
        <v>212</v>
      </c>
      <c r="B6065" s="1" t="s">
        <v>323</v>
      </c>
      <c r="C6065" s="5">
        <f>DATE(2025, 6, 9) + TIME(14, 20, 32)</f>
        <v>45817.597592592596</v>
      </c>
      <c r="D6065" s="1" t="s">
        <v>65</v>
      </c>
      <c r="E6065" s="1" t="s">
        <v>329</v>
      </c>
    </row>
    <row r="6066" spans="1:5" x14ac:dyDescent="0.2">
      <c r="A6066" s="1" t="s">
        <v>212</v>
      </c>
      <c r="B6066" s="1" t="s">
        <v>927</v>
      </c>
      <c r="C6066" s="5">
        <f>DATE(2025, 6, 9) + TIME(12, 41, 17)</f>
        <v>45817.528668981482</v>
      </c>
      <c r="D6066" s="1" t="s">
        <v>216</v>
      </c>
      <c r="E6066" s="1" t="s">
        <v>519</v>
      </c>
    </row>
    <row r="6067" spans="1:5" x14ac:dyDescent="0.2">
      <c r="A6067" s="1" t="s">
        <v>212</v>
      </c>
      <c r="B6067" s="1" t="s">
        <v>913</v>
      </c>
      <c r="C6067" s="5">
        <f>DATE(2025, 6, 5) + TIME(13, 28, 18)</f>
        <v>45813.561319444445</v>
      </c>
      <c r="D6067" s="1" t="s">
        <v>320</v>
      </c>
      <c r="E6067" s="1" t="s">
        <v>732</v>
      </c>
    </row>
    <row r="6068" spans="1:5" x14ac:dyDescent="0.2">
      <c r="A6068" s="1" t="s">
        <v>212</v>
      </c>
      <c r="B6068" s="1" t="s">
        <v>60</v>
      </c>
      <c r="C6068" s="5">
        <f>DATE(2025, 6, 5) + TIME(11, 42, 21)</f>
        <v>45813.487743055557</v>
      </c>
      <c r="D6068" s="1" t="s">
        <v>65</v>
      </c>
      <c r="E6068" s="1" t="s">
        <v>910</v>
      </c>
    </row>
    <row r="6069" spans="1:5" x14ac:dyDescent="0.2">
      <c r="A6069" s="1" t="s">
        <v>212</v>
      </c>
      <c r="B6069" s="1" t="s">
        <v>60</v>
      </c>
      <c r="C6069" s="5">
        <f>DATE(2025, 6, 3) + TIME(12, 4, 14)</f>
        <v>45811.502939814818</v>
      </c>
      <c r="D6069" s="1" t="s">
        <v>64</v>
      </c>
      <c r="E6069" s="1" t="s">
        <v>433</v>
      </c>
    </row>
    <row r="6070" spans="1:5" x14ac:dyDescent="0.2">
      <c r="A6070" s="1" t="s">
        <v>212</v>
      </c>
      <c r="B6070" s="1" t="s">
        <v>866</v>
      </c>
      <c r="C6070" s="5">
        <f>DATE(2025, 6, 2) + TIME(16, 0, 8)</f>
        <v>45810.666759259257</v>
      </c>
      <c r="D6070" s="1" t="s">
        <v>65</v>
      </c>
      <c r="E6070" s="1" t="s">
        <v>960</v>
      </c>
    </row>
    <row r="6071" spans="1:5" x14ac:dyDescent="0.2">
      <c r="A6071" s="1" t="s">
        <v>212</v>
      </c>
      <c r="B6071" s="1" t="s">
        <v>564</v>
      </c>
      <c r="C6071" s="5">
        <f>DATE(2025, 5, 22) + TIME(11, 57, 23)</f>
        <v>45799.498182870368</v>
      </c>
      <c r="D6071" s="1" t="s">
        <v>640</v>
      </c>
      <c r="E6071" s="1" t="s">
        <v>667</v>
      </c>
    </row>
    <row r="6072" spans="1:5" x14ac:dyDescent="0.2">
      <c r="A6072" s="1" t="s">
        <v>212</v>
      </c>
      <c r="B6072" s="1" t="s">
        <v>60</v>
      </c>
      <c r="C6072" s="5">
        <f>DATE(2025, 5, 19) + TIME(13, 13, 2)</f>
        <v>45796.550717592596</v>
      </c>
      <c r="D6072" s="1" t="s">
        <v>65</v>
      </c>
      <c r="E6072" s="1" t="s">
        <v>219</v>
      </c>
    </row>
    <row r="6073" spans="1:5" x14ac:dyDescent="0.2">
      <c r="A6073" s="1" t="s">
        <v>212</v>
      </c>
      <c r="B6073" s="1" t="s">
        <v>69</v>
      </c>
      <c r="C6073" s="5">
        <f>DATE(2025, 5, 15) + TIME(14, 35, 32)</f>
        <v>45792.60800925926</v>
      </c>
      <c r="D6073" s="1" t="s">
        <v>65</v>
      </c>
      <c r="E6073" s="1" t="s">
        <v>615</v>
      </c>
    </row>
    <row r="6074" spans="1:5" x14ac:dyDescent="0.2">
      <c r="A6074" s="1" t="s">
        <v>212</v>
      </c>
      <c r="B6074" s="1" t="s">
        <v>526</v>
      </c>
      <c r="C6074" s="5">
        <f>DATE(2025, 5, 15) + TIME(13, 55, 3)</f>
        <v>45792.579895833333</v>
      </c>
      <c r="D6074" s="1" t="s">
        <v>65</v>
      </c>
      <c r="E6074" s="1" t="s">
        <v>606</v>
      </c>
    </row>
    <row r="6075" spans="1:5" x14ac:dyDescent="0.2">
      <c r="A6075" s="1" t="s">
        <v>212</v>
      </c>
      <c r="B6075" s="1" t="s">
        <v>60</v>
      </c>
      <c r="C6075" s="5">
        <f>DATE(2025, 5, 15) + TIME(11, 8, 17)</f>
        <v>45792.464085648149</v>
      </c>
      <c r="D6075" s="1" t="s">
        <v>216</v>
      </c>
      <c r="E6075" s="1" t="s">
        <v>503</v>
      </c>
    </row>
    <row r="6076" spans="1:5" x14ac:dyDescent="0.2">
      <c r="A6076" s="1" t="s">
        <v>212</v>
      </c>
      <c r="B6076" s="1" t="s">
        <v>866</v>
      </c>
      <c r="C6076" s="5">
        <f>DATE(2025, 5, 7) + TIME(12, 28, 21)</f>
        <v>45784.519687499997</v>
      </c>
      <c r="D6076" s="1" t="s">
        <v>506</v>
      </c>
      <c r="E6076" s="1" t="s">
        <v>267</v>
      </c>
    </row>
    <row r="6077" spans="1:5" x14ac:dyDescent="0.2">
      <c r="A6077" s="1" t="s">
        <v>212</v>
      </c>
      <c r="B6077" s="1" t="s">
        <v>927</v>
      </c>
      <c r="C6077" s="5">
        <f>DATE(2025, 5, 6) + TIME(13, 34, 50)</f>
        <v>45783.56585648148</v>
      </c>
      <c r="D6077" s="1" t="s">
        <v>506</v>
      </c>
      <c r="E6077" s="1" t="s">
        <v>712</v>
      </c>
    </row>
    <row r="6078" spans="1:5" x14ac:dyDescent="0.2">
      <c r="A6078" s="1" t="s">
        <v>212</v>
      </c>
      <c r="B6078" s="1" t="s">
        <v>866</v>
      </c>
      <c r="C6078" s="5">
        <f>DATE(2025, 5, 6) + TIME(9, 39, 31)</f>
        <v>45783.402442129627</v>
      </c>
      <c r="D6078" s="1" t="s">
        <v>506</v>
      </c>
      <c r="E6078" s="1" t="s">
        <v>525</v>
      </c>
    </row>
    <row r="6079" spans="1:5" x14ac:dyDescent="0.2">
      <c r="A6079" s="1" t="s">
        <v>212</v>
      </c>
      <c r="B6079" s="1" t="s">
        <v>69</v>
      </c>
      <c r="C6079" s="5">
        <f>DATE(2025, 5, 1) + TIME(14, 36, 21)</f>
        <v>45778.608576388891</v>
      </c>
      <c r="D6079" s="1" t="s">
        <v>566</v>
      </c>
      <c r="E6079" s="1" t="s">
        <v>922</v>
      </c>
    </row>
    <row r="6080" spans="1:5" x14ac:dyDescent="0.2">
      <c r="A6080" s="1" t="s">
        <v>212</v>
      </c>
      <c r="B6080" s="1" t="s">
        <v>141</v>
      </c>
      <c r="C6080" s="5">
        <f>DATE(2025, 5, 1) + TIME(13, 24, 46)</f>
        <v>45778.558865740742</v>
      </c>
      <c r="D6080" s="1" t="s">
        <v>65</v>
      </c>
      <c r="E6080" s="1" t="s">
        <v>910</v>
      </c>
    </row>
    <row r="6081" spans="1:5" x14ac:dyDescent="0.2">
      <c r="A6081" s="1" t="s">
        <v>212</v>
      </c>
      <c r="B6081" s="1" t="s">
        <v>60</v>
      </c>
      <c r="C6081" s="5">
        <f>DATE(2025, 5, 1) + TIME(11, 59, 42)</f>
        <v>45778.499791666669</v>
      </c>
      <c r="D6081" s="1" t="s">
        <v>640</v>
      </c>
      <c r="E6081" s="1" t="s">
        <v>834</v>
      </c>
    </row>
    <row r="6082" spans="1:5" x14ac:dyDescent="0.2">
      <c r="A6082" s="1" t="s">
        <v>212</v>
      </c>
      <c r="B6082" s="1" t="s">
        <v>747</v>
      </c>
      <c r="C6082" s="5">
        <f>DATE(2025, 4, 29) + TIME(14, 41, 57)</f>
        <v>45776.61246527778</v>
      </c>
      <c r="D6082" s="1" t="s">
        <v>506</v>
      </c>
      <c r="E6082" s="1" t="s">
        <v>867</v>
      </c>
    </row>
    <row r="6083" spans="1:5" x14ac:dyDescent="0.2">
      <c r="A6083" s="1" t="s">
        <v>212</v>
      </c>
      <c r="B6083" s="1" t="s">
        <v>564</v>
      </c>
      <c r="C6083" s="5">
        <f>DATE(2025, 4, 29) + TIME(13, 30, 30)</f>
        <v>45776.562847222223</v>
      </c>
      <c r="D6083" s="1" t="s">
        <v>320</v>
      </c>
      <c r="E6083" s="1" t="s">
        <v>687</v>
      </c>
    </row>
    <row r="6084" spans="1:5" x14ac:dyDescent="0.2">
      <c r="A6084" s="1" t="s">
        <v>212</v>
      </c>
      <c r="B6084" s="1" t="s">
        <v>323</v>
      </c>
      <c r="C6084" s="5">
        <f>DATE(2025, 4, 27) + TIME(10, 9, 44)</f>
        <v>45774.423425925925</v>
      </c>
      <c r="D6084" s="1" t="s">
        <v>65</v>
      </c>
      <c r="E6084" s="1" t="s">
        <v>546</v>
      </c>
    </row>
    <row r="6085" spans="1:5" x14ac:dyDescent="0.2">
      <c r="A6085" s="1" t="s">
        <v>212</v>
      </c>
      <c r="B6085" s="1" t="s">
        <v>7</v>
      </c>
      <c r="C6085" s="5">
        <f>DATE(2025, 4, 24) + TIME(14, 32, 55)</f>
        <v>45771.606192129628</v>
      </c>
      <c r="D6085" s="1" t="s">
        <v>506</v>
      </c>
      <c r="E6085" s="1" t="s">
        <v>370</v>
      </c>
    </row>
    <row r="6086" spans="1:5" x14ac:dyDescent="0.2">
      <c r="A6086" s="1" t="s">
        <v>212</v>
      </c>
      <c r="B6086" s="1" t="s">
        <v>651</v>
      </c>
      <c r="C6086" s="5">
        <f>DATE(2025, 4, 24) + TIME(9, 32, 52)</f>
        <v>45771.397824074076</v>
      </c>
      <c r="D6086" s="1" t="s">
        <v>640</v>
      </c>
      <c r="E6086" s="1" t="s">
        <v>975</v>
      </c>
    </row>
    <row r="6087" spans="1:5" x14ac:dyDescent="0.2">
      <c r="A6087" s="1" t="s">
        <v>212</v>
      </c>
      <c r="B6087" s="1" t="s">
        <v>644</v>
      </c>
      <c r="C6087" s="5">
        <f>DATE(2025, 4, 23) + TIME(10, 34, 37)</f>
        <v>45770.440706018519</v>
      </c>
      <c r="D6087" s="1" t="s">
        <v>65</v>
      </c>
      <c r="E6087" s="1" t="s">
        <v>918</v>
      </c>
    </row>
    <row r="6088" spans="1:5" x14ac:dyDescent="0.2">
      <c r="A6088" s="1" t="s">
        <v>212</v>
      </c>
      <c r="B6088" s="1" t="s">
        <v>194</v>
      </c>
      <c r="C6088" s="5">
        <f>DATE(2025, 4, 23) + TIME(8, 44, 16)</f>
        <v>45770.364074074074</v>
      </c>
      <c r="D6088" s="1" t="s">
        <v>3</v>
      </c>
      <c r="E6088" s="1" t="s">
        <v>311</v>
      </c>
    </row>
    <row r="6089" spans="1:5" x14ac:dyDescent="0.2">
      <c r="A6089" s="1" t="s">
        <v>212</v>
      </c>
      <c r="B6089" s="1" t="s">
        <v>69</v>
      </c>
      <c r="C6089" s="5">
        <f>DATE(2025, 4, 22) + TIME(10, 38, 39)</f>
        <v>45769.443506944444</v>
      </c>
      <c r="D6089" s="1" t="s">
        <v>148</v>
      </c>
      <c r="E6089" s="1" t="s">
        <v>471</v>
      </c>
    </row>
    <row r="6090" spans="1:5" x14ac:dyDescent="0.2">
      <c r="A6090" s="1" t="s">
        <v>212</v>
      </c>
      <c r="B6090" s="1" t="s">
        <v>564</v>
      </c>
      <c r="C6090" s="5">
        <f>DATE(2025, 4, 22) + TIME(10, 38, 38)</f>
        <v>45769.443495370368</v>
      </c>
      <c r="D6090" s="1" t="s">
        <v>148</v>
      </c>
      <c r="E6090" s="1" t="s">
        <v>471</v>
      </c>
    </row>
    <row r="6091" spans="1:5" x14ac:dyDescent="0.2">
      <c r="A6091" s="1" t="s">
        <v>212</v>
      </c>
      <c r="B6091" s="1" t="s">
        <v>60</v>
      </c>
      <c r="C6091" s="5">
        <f>DATE(2025, 4, 21) + TIME(15, 56, 2)</f>
        <v>45768.663912037038</v>
      </c>
      <c r="D6091" s="1" t="s">
        <v>320</v>
      </c>
      <c r="E6091" s="1" t="s">
        <v>687</v>
      </c>
    </row>
    <row r="6092" spans="1:5" x14ac:dyDescent="0.2">
      <c r="A6092" s="1" t="s">
        <v>212</v>
      </c>
      <c r="B6092" s="1" t="s">
        <v>271</v>
      </c>
      <c r="C6092" s="5">
        <f>DATE(2025, 4, 17) + TIME(15, 6, 44)</f>
        <v>45764.629675925928</v>
      </c>
      <c r="D6092" s="1" t="s">
        <v>640</v>
      </c>
      <c r="E6092" s="1" t="s">
        <v>667</v>
      </c>
    </row>
    <row r="6093" spans="1:5" x14ac:dyDescent="0.2">
      <c r="A6093" s="1" t="s">
        <v>212</v>
      </c>
      <c r="B6093" s="1" t="s">
        <v>713</v>
      </c>
      <c r="C6093" s="5">
        <f>DATE(2025, 4, 17) + TIME(12, 47, 30)</f>
        <v>45764.532986111109</v>
      </c>
      <c r="D6093" s="1" t="s">
        <v>65</v>
      </c>
      <c r="E6093" s="1" t="s">
        <v>615</v>
      </c>
    </row>
    <row r="6094" spans="1:5" x14ac:dyDescent="0.2">
      <c r="A6094" s="1" t="s">
        <v>212</v>
      </c>
      <c r="B6094" s="1" t="s">
        <v>60</v>
      </c>
      <c r="C6094" s="5">
        <f>DATE(2025, 4, 14) + TIME(15, 27, 5)</f>
        <v>45761.643807870372</v>
      </c>
      <c r="D6094" s="1" t="s">
        <v>320</v>
      </c>
      <c r="E6094" s="1" t="s">
        <v>981</v>
      </c>
    </row>
    <row r="6095" spans="1:5" x14ac:dyDescent="0.2">
      <c r="A6095" s="1" t="s">
        <v>212</v>
      </c>
      <c r="B6095" s="1" t="s">
        <v>408</v>
      </c>
      <c r="C6095" s="5">
        <f>DATE(2025, 4, 14) + TIME(12, 43, 47)</f>
        <v>45761.530405092592</v>
      </c>
      <c r="D6095" s="1" t="s">
        <v>754</v>
      </c>
      <c r="E6095" s="1" t="s">
        <v>441</v>
      </c>
    </row>
    <row r="6096" spans="1:5" x14ac:dyDescent="0.2">
      <c r="A6096" s="1" t="s">
        <v>212</v>
      </c>
      <c r="B6096" s="1" t="s">
        <v>714</v>
      </c>
      <c r="C6096" s="5">
        <f>DATE(2025, 4, 10) + TIME(11, 6, 9)</f>
        <v>45757.462604166663</v>
      </c>
      <c r="D6096" s="1" t="s">
        <v>65</v>
      </c>
      <c r="E6096" s="1" t="s">
        <v>615</v>
      </c>
    </row>
    <row r="6097" spans="1:5" x14ac:dyDescent="0.2">
      <c r="A6097" s="1" t="s">
        <v>212</v>
      </c>
      <c r="B6097" s="1" t="s">
        <v>866</v>
      </c>
      <c r="C6097" s="5">
        <f>DATE(2025, 4, 9) + TIME(15, 4, 1)</f>
        <v>45756.627789351849</v>
      </c>
      <c r="D6097" s="1" t="s">
        <v>506</v>
      </c>
      <c r="E6097" s="1" t="s">
        <v>6</v>
      </c>
    </row>
    <row r="6098" spans="1:5" x14ac:dyDescent="0.2">
      <c r="A6098" s="1" t="s">
        <v>212</v>
      </c>
      <c r="B6098" s="1" t="s">
        <v>4</v>
      </c>
      <c r="C6098" s="5">
        <f>DATE(2025, 4, 9) + TIME(15, 4, 1)</f>
        <v>45756.627789351849</v>
      </c>
      <c r="D6098" s="1" t="s">
        <v>506</v>
      </c>
      <c r="E6098" s="1" t="s">
        <v>6</v>
      </c>
    </row>
    <row r="6099" spans="1:5" x14ac:dyDescent="0.2">
      <c r="A6099" s="1" t="s">
        <v>212</v>
      </c>
      <c r="B6099" s="1" t="s">
        <v>794</v>
      </c>
      <c r="C6099" s="5">
        <f>DATE(2025, 4, 9) + TIME(15, 4, 1)</f>
        <v>45756.627789351849</v>
      </c>
      <c r="D6099" s="1" t="s">
        <v>506</v>
      </c>
      <c r="E6099" s="1" t="s">
        <v>6</v>
      </c>
    </row>
    <row r="6100" spans="1:5" x14ac:dyDescent="0.2">
      <c r="A6100" s="1" t="s">
        <v>212</v>
      </c>
      <c r="B6100" s="1" t="s">
        <v>866</v>
      </c>
      <c r="C6100" s="5">
        <f>DATE(2025, 4, 9) + TIME(10, 58, 57)</f>
        <v>45756.457604166666</v>
      </c>
      <c r="D6100" s="1" t="s">
        <v>506</v>
      </c>
      <c r="E6100" s="1" t="s">
        <v>353</v>
      </c>
    </row>
    <row r="6101" spans="1:5" x14ac:dyDescent="0.2">
      <c r="A6101" s="1" t="s">
        <v>212</v>
      </c>
      <c r="B6101" s="1" t="s">
        <v>986</v>
      </c>
      <c r="C6101" s="5">
        <f>DATE(2025, 4, 9) + TIME(8, 58, 23)</f>
        <v>45756.373877314814</v>
      </c>
      <c r="D6101" s="1" t="s">
        <v>320</v>
      </c>
      <c r="E6101" s="1" t="s">
        <v>521</v>
      </c>
    </row>
    <row r="6102" spans="1:5" x14ac:dyDescent="0.2">
      <c r="A6102" s="1" t="s">
        <v>212</v>
      </c>
      <c r="B6102" s="1" t="s">
        <v>866</v>
      </c>
      <c r="C6102" s="5">
        <f>DATE(2025, 4, 8) + TIME(15, 14, 39)</f>
        <v>45755.63517361111</v>
      </c>
      <c r="D6102" s="1" t="s">
        <v>506</v>
      </c>
      <c r="E6102" s="1" t="s">
        <v>509</v>
      </c>
    </row>
    <row r="6103" spans="1:5" x14ac:dyDescent="0.2">
      <c r="A6103" s="1" t="s">
        <v>212</v>
      </c>
      <c r="B6103" s="1" t="s">
        <v>866</v>
      </c>
      <c r="C6103" s="5">
        <f>DATE(2025, 4, 7) + TIME(15, 46, 38)</f>
        <v>45754.657384259262</v>
      </c>
      <c r="D6103" s="1" t="s">
        <v>459</v>
      </c>
      <c r="E6103" s="1" t="s">
        <v>984</v>
      </c>
    </row>
    <row r="6104" spans="1:5" x14ac:dyDescent="0.2">
      <c r="A6104" s="1" t="s">
        <v>212</v>
      </c>
      <c r="B6104" s="1" t="s">
        <v>60</v>
      </c>
      <c r="C6104" s="5">
        <f>DATE(2025, 4, 7) + TIME(15, 46, 38)</f>
        <v>45754.657384259262</v>
      </c>
      <c r="D6104" s="1" t="s">
        <v>459</v>
      </c>
      <c r="E6104" s="1" t="s">
        <v>984</v>
      </c>
    </row>
    <row r="6105" spans="1:5" x14ac:dyDescent="0.2">
      <c r="A6105" s="1" t="s">
        <v>212</v>
      </c>
      <c r="B6105" s="1" t="s">
        <v>866</v>
      </c>
      <c r="C6105" s="5">
        <f>DATE(2025, 4, 3) + TIME(11, 34, 26)</f>
        <v>45750.482245370367</v>
      </c>
      <c r="D6105" s="1" t="s">
        <v>450</v>
      </c>
      <c r="E6105" s="1" t="s">
        <v>442</v>
      </c>
    </row>
    <row r="6106" spans="1:5" x14ac:dyDescent="0.2">
      <c r="A6106" s="1" t="s">
        <v>212</v>
      </c>
      <c r="B6106" s="1" t="s">
        <v>564</v>
      </c>
      <c r="C6106" s="5">
        <f>DATE(2025, 4, 3) + TIME(10, 9, 57)</f>
        <v>45750.423576388886</v>
      </c>
      <c r="D6106" s="1" t="s">
        <v>216</v>
      </c>
      <c r="E6106" s="1" t="s">
        <v>610</v>
      </c>
    </row>
    <row r="6107" spans="1:5" x14ac:dyDescent="0.2">
      <c r="A6107" s="1" t="s">
        <v>212</v>
      </c>
      <c r="B6107" s="1" t="s">
        <v>794</v>
      </c>
      <c r="C6107" s="5">
        <f>DATE(2025, 4, 2) + TIME(14, 35, 51)</f>
        <v>45749.608229166668</v>
      </c>
      <c r="D6107" s="1" t="s">
        <v>506</v>
      </c>
      <c r="E6107" s="1" t="s">
        <v>6</v>
      </c>
    </row>
    <row r="6108" spans="1:5" x14ac:dyDescent="0.2">
      <c r="A6108" s="1" t="s">
        <v>212</v>
      </c>
      <c r="B6108" s="1" t="s">
        <v>323</v>
      </c>
      <c r="C6108" s="5">
        <f>DATE(2025, 4, 2) + TIME(12, 41, 18)</f>
        <v>45749.528680555559</v>
      </c>
      <c r="D6108" s="1" t="s">
        <v>459</v>
      </c>
      <c r="E6108" s="1" t="s">
        <v>777</v>
      </c>
    </row>
    <row r="6109" spans="1:5" x14ac:dyDescent="0.2">
      <c r="A6109" s="1" t="s">
        <v>212</v>
      </c>
      <c r="B6109" s="1" t="s">
        <v>794</v>
      </c>
      <c r="C6109" s="5">
        <f>DATE(2025, 4, 1) + TIME(12, 33, 35)</f>
        <v>45748.523321759261</v>
      </c>
      <c r="D6109" s="1" t="s">
        <v>506</v>
      </c>
      <c r="E6109" s="1" t="s">
        <v>823</v>
      </c>
    </row>
    <row r="6110" spans="1:5" x14ac:dyDescent="0.2">
      <c r="A6110" s="1" t="s">
        <v>212</v>
      </c>
      <c r="B6110" s="1" t="s">
        <v>866</v>
      </c>
      <c r="C6110" s="5">
        <f>DATE(2025, 4, 1) + TIME(11, 53, 50)</f>
        <v>45748.495717592596</v>
      </c>
      <c r="D6110" s="1" t="s">
        <v>566</v>
      </c>
      <c r="E6110" s="1" t="s">
        <v>998</v>
      </c>
    </row>
    <row r="6111" spans="1:5" x14ac:dyDescent="0.2">
      <c r="A6111" s="1" t="s">
        <v>212</v>
      </c>
      <c r="B6111" s="1" t="s">
        <v>323</v>
      </c>
      <c r="C6111" s="5">
        <f>DATE(2025, 3, 31) + TIME(14, 37, 58)</f>
        <v>45747.609699074077</v>
      </c>
      <c r="D6111" s="1" t="s">
        <v>396</v>
      </c>
      <c r="E6111" s="1" t="s">
        <v>482</v>
      </c>
    </row>
    <row r="6112" spans="1:5" x14ac:dyDescent="0.2">
      <c r="A6112" s="1" t="s">
        <v>212</v>
      </c>
      <c r="B6112" s="1" t="s">
        <v>866</v>
      </c>
      <c r="C6112" s="5">
        <f>DATE(2025, 3, 31) + TIME(9, 53, 34)</f>
        <v>45747.412199074075</v>
      </c>
      <c r="D6112" s="1" t="s">
        <v>320</v>
      </c>
      <c r="E6112" s="1" t="s">
        <v>332</v>
      </c>
    </row>
    <row r="6113" spans="1:5" x14ac:dyDescent="0.2">
      <c r="A6113" s="1" t="s">
        <v>212</v>
      </c>
      <c r="B6113" s="1" t="s">
        <v>323</v>
      </c>
      <c r="C6113" s="5">
        <f>DATE(2025, 3, 31) + TIME(8, 55, 3)</f>
        <v>45747.371562499997</v>
      </c>
      <c r="D6113" s="1" t="s">
        <v>65</v>
      </c>
      <c r="E6113" s="1" t="s">
        <v>546</v>
      </c>
    </row>
    <row r="6114" spans="1:5" x14ac:dyDescent="0.2">
      <c r="A6114" s="1" t="s">
        <v>212</v>
      </c>
      <c r="B6114" s="1" t="s">
        <v>562</v>
      </c>
      <c r="C6114" s="5">
        <f>DATE(2025, 3, 27) + TIME(15, 13, 52)</f>
        <v>45743.634629629632</v>
      </c>
      <c r="D6114" s="1" t="s">
        <v>269</v>
      </c>
      <c r="E6114" s="1" t="s">
        <v>299</v>
      </c>
    </row>
    <row r="6115" spans="1:5" x14ac:dyDescent="0.2">
      <c r="A6115" s="1" t="s">
        <v>212</v>
      </c>
      <c r="B6115" s="1" t="s">
        <v>60</v>
      </c>
      <c r="C6115" s="5">
        <f>DATE(2025, 3, 27) + TIME(10, 48, 4)</f>
        <v>45743.450046296297</v>
      </c>
      <c r="D6115" s="1" t="s">
        <v>320</v>
      </c>
      <c r="E6115" s="1" t="s">
        <v>683</v>
      </c>
    </row>
    <row r="6116" spans="1:5" x14ac:dyDescent="0.2">
      <c r="A6116" s="1" t="s">
        <v>212</v>
      </c>
      <c r="B6116" s="1" t="s">
        <v>60</v>
      </c>
      <c r="C6116" s="5">
        <f>DATE(2025, 3, 25) + TIME(12, 51, 41)</f>
        <v>45741.535891203705</v>
      </c>
      <c r="D6116" s="1" t="s">
        <v>640</v>
      </c>
      <c r="E6116" s="1" t="s">
        <v>761</v>
      </c>
    </row>
    <row r="6117" spans="1:5" x14ac:dyDescent="0.2">
      <c r="A6117" s="1" t="s">
        <v>212</v>
      </c>
      <c r="B6117" s="1" t="s">
        <v>60</v>
      </c>
      <c r="C6117" s="5">
        <f>DATE(2025, 3, 20) + TIME(11, 40, 49)</f>
        <v>45736.486678240741</v>
      </c>
      <c r="D6117" s="1" t="s">
        <v>269</v>
      </c>
      <c r="E6117" s="1" t="s">
        <v>1006</v>
      </c>
    </row>
    <row r="6118" spans="1:5" x14ac:dyDescent="0.2">
      <c r="A6118" s="1" t="s">
        <v>212</v>
      </c>
      <c r="B6118" s="1" t="s">
        <v>866</v>
      </c>
      <c r="C6118" s="5">
        <f>DATE(2025, 3, 19) + TIME(11, 55, 12)</f>
        <v>45735.496666666666</v>
      </c>
      <c r="D6118" s="1" t="s">
        <v>459</v>
      </c>
      <c r="E6118" s="1" t="s">
        <v>777</v>
      </c>
    </row>
    <row r="6119" spans="1:5" x14ac:dyDescent="0.2">
      <c r="A6119" s="1" t="s">
        <v>212</v>
      </c>
      <c r="B6119" s="1" t="s">
        <v>60</v>
      </c>
      <c r="C6119" s="5">
        <f>DATE(2025, 3, 19) + TIME(11, 55, 12)</f>
        <v>45735.496666666666</v>
      </c>
      <c r="D6119" s="1" t="s">
        <v>459</v>
      </c>
      <c r="E6119" s="1" t="s">
        <v>777</v>
      </c>
    </row>
    <row r="6120" spans="1:5" x14ac:dyDescent="0.2">
      <c r="A6120" s="1" t="s">
        <v>212</v>
      </c>
      <c r="B6120" s="1" t="s">
        <v>60</v>
      </c>
      <c r="C6120" s="5">
        <f>DATE(2025, 3, 18) + TIME(15, 58, 30)</f>
        <v>45734.665625000001</v>
      </c>
      <c r="D6120" s="1" t="s">
        <v>459</v>
      </c>
      <c r="E6120" s="1" t="s">
        <v>49</v>
      </c>
    </row>
    <row r="6121" spans="1:5" x14ac:dyDescent="0.2">
      <c r="A6121" s="1" t="s">
        <v>212</v>
      </c>
      <c r="B6121" s="1" t="s">
        <v>60</v>
      </c>
      <c r="C6121" s="5">
        <f>DATE(2025, 3, 18) + TIME(14, 47, 0)</f>
        <v>45734.615972222222</v>
      </c>
      <c r="D6121" s="1" t="s">
        <v>64</v>
      </c>
      <c r="E6121" s="1" t="s">
        <v>253</v>
      </c>
    </row>
    <row r="6122" spans="1:5" x14ac:dyDescent="0.2">
      <c r="A6122" s="1" t="s">
        <v>212</v>
      </c>
      <c r="B6122" s="1" t="s">
        <v>60</v>
      </c>
      <c r="C6122" s="5">
        <f>DATE(2025, 3, 18) + TIME(13, 55, 38)</f>
        <v>45734.580300925925</v>
      </c>
      <c r="D6122" s="1" t="s">
        <v>126</v>
      </c>
      <c r="E6122" s="1" t="s">
        <v>1013</v>
      </c>
    </row>
    <row r="6123" spans="1:5" x14ac:dyDescent="0.2">
      <c r="A6123" s="1" t="s">
        <v>212</v>
      </c>
      <c r="B6123" s="1" t="s">
        <v>7</v>
      </c>
      <c r="C6123" s="5">
        <f>DATE(2025, 3, 12) + TIME(10, 32, 49)</f>
        <v>45728.439456018517</v>
      </c>
      <c r="D6123" s="1" t="s">
        <v>506</v>
      </c>
      <c r="E6123" s="1" t="s">
        <v>6</v>
      </c>
    </row>
    <row r="6124" spans="1:5" x14ac:dyDescent="0.2">
      <c r="A6124" s="1" t="s">
        <v>212</v>
      </c>
      <c r="B6124" s="1" t="s">
        <v>60</v>
      </c>
      <c r="C6124" s="5">
        <f>DATE(2025, 3, 10) + TIME(9, 13, 20)</f>
        <v>45726.384259259263</v>
      </c>
      <c r="D6124" s="1" t="s">
        <v>356</v>
      </c>
      <c r="E6124" s="1" t="s">
        <v>1017</v>
      </c>
    </row>
    <row r="6125" spans="1:5" x14ac:dyDescent="0.2">
      <c r="A6125" s="1" t="s">
        <v>212</v>
      </c>
      <c r="B6125" s="1" t="s">
        <v>323</v>
      </c>
      <c r="C6125" s="5">
        <f>DATE(2025, 3, 10) + TIME(8, 39, 25)</f>
        <v>45726.360706018517</v>
      </c>
      <c r="D6125" s="1" t="s">
        <v>506</v>
      </c>
      <c r="E6125" s="1" t="s">
        <v>509</v>
      </c>
    </row>
    <row r="6126" spans="1:5" x14ac:dyDescent="0.2">
      <c r="A6126" s="1" t="s">
        <v>212</v>
      </c>
      <c r="B6126" s="1" t="s">
        <v>323</v>
      </c>
      <c r="C6126" s="5">
        <f>DATE(2025, 3, 9) + TIME(19, 31, 33)</f>
        <v>45725.813576388886</v>
      </c>
      <c r="D6126" s="1" t="s">
        <v>506</v>
      </c>
      <c r="E6126" s="1" t="s">
        <v>710</v>
      </c>
    </row>
    <row r="6127" spans="1:5" x14ac:dyDescent="0.2">
      <c r="A6127" s="1" t="s">
        <v>212</v>
      </c>
      <c r="B6127" s="1" t="s">
        <v>564</v>
      </c>
      <c r="C6127" s="5">
        <f>DATE(2025, 3, 4) + TIME(8, 47, 48)</f>
        <v>45720.366527777776</v>
      </c>
      <c r="D6127" s="1" t="s">
        <v>65</v>
      </c>
      <c r="E6127" s="1" t="s">
        <v>152</v>
      </c>
    </row>
    <row r="6128" spans="1:5" x14ac:dyDescent="0.2">
      <c r="A6128" s="1" t="s">
        <v>212</v>
      </c>
      <c r="B6128" s="1" t="s">
        <v>323</v>
      </c>
      <c r="C6128" s="5">
        <f>DATE(2025, 2, 25) + TIME(11, 58, 8)</f>
        <v>45713.498703703706</v>
      </c>
      <c r="D6128" s="1" t="s">
        <v>3</v>
      </c>
      <c r="E6128" s="1" t="s">
        <v>248</v>
      </c>
    </row>
    <row r="6129" spans="1:5" x14ac:dyDescent="0.2">
      <c r="A6129" s="1" t="s">
        <v>212</v>
      </c>
      <c r="B6129" s="1" t="s">
        <v>141</v>
      </c>
      <c r="C6129" s="5">
        <f>DATE(2025, 2, 24) + TIME(4, 47, 30)</f>
        <v>45712.199652777781</v>
      </c>
      <c r="D6129" s="1" t="s">
        <v>3</v>
      </c>
      <c r="E6129" s="1" t="s">
        <v>481</v>
      </c>
    </row>
    <row r="6130" spans="1:5" x14ac:dyDescent="0.2">
      <c r="A6130" s="1" t="s">
        <v>212</v>
      </c>
      <c r="B6130" s="1" t="s">
        <v>866</v>
      </c>
      <c r="C6130" s="5">
        <f>DATE(2025, 2, 20) + TIME(15, 1, 11)</f>
        <v>45708.625821759262</v>
      </c>
      <c r="D6130" s="1" t="s">
        <v>320</v>
      </c>
      <c r="E6130" s="1" t="s">
        <v>698</v>
      </c>
    </row>
    <row r="6131" spans="1:5" x14ac:dyDescent="0.2">
      <c r="A6131" s="1" t="s">
        <v>212</v>
      </c>
      <c r="B6131" s="1" t="s">
        <v>765</v>
      </c>
      <c r="C6131" s="5">
        <f>DATE(2025, 2, 20) + TIME(14, 1, 39)</f>
        <v>45708.584479166668</v>
      </c>
      <c r="D6131" s="1" t="s">
        <v>750</v>
      </c>
      <c r="E6131" s="1" t="s">
        <v>709</v>
      </c>
    </row>
    <row r="6132" spans="1:5" x14ac:dyDescent="0.2">
      <c r="A6132" s="1" t="s">
        <v>212</v>
      </c>
      <c r="B6132" s="1" t="s">
        <v>60</v>
      </c>
      <c r="C6132" s="5">
        <f>DATE(2025, 2, 13) + TIME(14, 4, 57)</f>
        <v>45701.586770833332</v>
      </c>
      <c r="D6132" s="1" t="s">
        <v>640</v>
      </c>
      <c r="E6132" s="1" t="s">
        <v>834</v>
      </c>
    </row>
    <row r="6133" spans="1:5" x14ac:dyDescent="0.2">
      <c r="A6133" s="1" t="s">
        <v>212</v>
      </c>
      <c r="B6133" s="1" t="s">
        <v>771</v>
      </c>
      <c r="C6133" s="5">
        <f>DATE(2025, 2, 12) + TIME(15, 47, 21)</f>
        <v>45700.657881944448</v>
      </c>
      <c r="D6133" s="1" t="s">
        <v>269</v>
      </c>
      <c r="E6133" s="1" t="s">
        <v>1034</v>
      </c>
    </row>
    <row r="6134" spans="1:5" x14ac:dyDescent="0.2">
      <c r="A6134" s="1" t="s">
        <v>212</v>
      </c>
      <c r="B6134" s="1" t="s">
        <v>60</v>
      </c>
      <c r="C6134" s="5">
        <f>DATE(2025, 2, 10) + TIME(9, 18, 27)</f>
        <v>45698.387812499997</v>
      </c>
      <c r="D6134" s="1" t="s">
        <v>320</v>
      </c>
      <c r="E6134" s="1" t="s">
        <v>521</v>
      </c>
    </row>
    <row r="6135" spans="1:5" x14ac:dyDescent="0.2">
      <c r="A6135" s="1" t="s">
        <v>212</v>
      </c>
      <c r="B6135" s="1" t="s">
        <v>866</v>
      </c>
      <c r="C6135" s="5">
        <f>DATE(2025, 2, 6) + TIME(12, 45, 40)</f>
        <v>45694.531712962962</v>
      </c>
      <c r="D6135" s="1" t="s">
        <v>320</v>
      </c>
      <c r="E6135" s="1" t="s">
        <v>689</v>
      </c>
    </row>
    <row r="6136" spans="1:5" x14ac:dyDescent="0.2">
      <c r="A6136" s="1" t="s">
        <v>212</v>
      </c>
      <c r="B6136" s="1" t="s">
        <v>272</v>
      </c>
      <c r="C6136" s="5">
        <f>DATE(2025, 2, 5) + TIME(14, 45, 38)</f>
        <v>45693.615023148152</v>
      </c>
      <c r="D6136" s="1" t="s">
        <v>506</v>
      </c>
      <c r="E6136" s="1" t="s">
        <v>6</v>
      </c>
    </row>
    <row r="6137" spans="1:5" x14ac:dyDescent="0.2">
      <c r="A6137" s="1" t="s">
        <v>212</v>
      </c>
      <c r="B6137" s="1" t="s">
        <v>866</v>
      </c>
      <c r="C6137" s="5">
        <f>DATE(2025, 2, 5) + TIME(11, 9, 11)</f>
        <v>45693.46471064815</v>
      </c>
      <c r="D6137" s="1" t="s">
        <v>320</v>
      </c>
      <c r="E6137" s="1" t="s">
        <v>689</v>
      </c>
    </row>
    <row r="6138" spans="1:5" ht="16" x14ac:dyDescent="0.2">
      <c r="A6138" s="1" t="s">
        <v>212</v>
      </c>
      <c r="B6138" s="1" t="s">
        <v>247</v>
      </c>
      <c r="C6138" s="5">
        <f>DATE(2025, 2, 4) + TIME(11, 50, 46)</f>
        <v>45692.493587962963</v>
      </c>
      <c r="D6138" s="1" t="s">
        <v>754</v>
      </c>
      <c r="E6138" s="2" t="s">
        <v>87</v>
      </c>
    </row>
    <row r="6139" spans="1:5" x14ac:dyDescent="0.2">
      <c r="A6139" s="1" t="s">
        <v>212</v>
      </c>
      <c r="B6139" s="1" t="s">
        <v>7</v>
      </c>
      <c r="C6139" s="5">
        <f>DATE(2025, 1, 29) + TIME(14, 25, 33)</f>
        <v>45686.601076388892</v>
      </c>
      <c r="D6139" s="1" t="s">
        <v>506</v>
      </c>
      <c r="E6139" s="1" t="s">
        <v>867</v>
      </c>
    </row>
    <row r="6140" spans="1:5" x14ac:dyDescent="0.2">
      <c r="A6140" s="1" t="s">
        <v>212</v>
      </c>
      <c r="B6140" s="1" t="s">
        <v>7</v>
      </c>
      <c r="C6140" s="5">
        <f>DATE(2025, 1, 29) + TIME(14, 4, 11)</f>
        <v>45686.586238425924</v>
      </c>
      <c r="D6140" s="1" t="s">
        <v>506</v>
      </c>
      <c r="E6140" s="1" t="s">
        <v>370</v>
      </c>
    </row>
    <row r="6141" spans="1:5" x14ac:dyDescent="0.2">
      <c r="A6141" s="1" t="s">
        <v>212</v>
      </c>
      <c r="B6141" s="1" t="s">
        <v>60</v>
      </c>
      <c r="C6141" s="5">
        <f>DATE(2025, 1, 29) + TIME(7, 26, 50)</f>
        <v>45686.310300925928</v>
      </c>
      <c r="D6141" s="1" t="s">
        <v>640</v>
      </c>
      <c r="E6141" s="1" t="s">
        <v>426</v>
      </c>
    </row>
    <row r="6142" spans="1:5" x14ac:dyDescent="0.2">
      <c r="A6142" s="1" t="s">
        <v>212</v>
      </c>
      <c r="B6142" s="1" t="s">
        <v>60</v>
      </c>
      <c r="C6142" s="5">
        <f>DATE(2025, 1, 28) + TIME(10, 48, 49)</f>
        <v>45685.450567129628</v>
      </c>
      <c r="D6142" s="1" t="s">
        <v>65</v>
      </c>
      <c r="E6142" s="1" t="s">
        <v>1051</v>
      </c>
    </row>
    <row r="6143" spans="1:5" x14ac:dyDescent="0.2">
      <c r="A6143" s="1" t="s">
        <v>212</v>
      </c>
      <c r="B6143" s="1" t="s">
        <v>60</v>
      </c>
      <c r="C6143" s="5">
        <f>DATE(2025, 1, 28) + TIME(10, 48, 49)</f>
        <v>45685.450567129628</v>
      </c>
      <c r="D6143" s="1" t="s">
        <v>65</v>
      </c>
      <c r="E6143" s="1" t="s">
        <v>1051</v>
      </c>
    </row>
    <row r="6144" spans="1:5" x14ac:dyDescent="0.2">
      <c r="A6144" s="1" t="s">
        <v>212</v>
      </c>
      <c r="B6144" s="1" t="s">
        <v>1053</v>
      </c>
      <c r="C6144" s="5">
        <f>DATE(2025, 1, 28) + TIME(8, 12, 9)</f>
        <v>45685.341770833336</v>
      </c>
      <c r="D6144" s="1" t="s">
        <v>506</v>
      </c>
      <c r="E6144" s="1" t="s">
        <v>509</v>
      </c>
    </row>
    <row r="6145" spans="1:5" x14ac:dyDescent="0.2">
      <c r="A6145" s="1" t="s">
        <v>212</v>
      </c>
      <c r="B6145" s="1" t="s">
        <v>7</v>
      </c>
      <c r="C6145" s="5">
        <f>DATE(2025, 1, 27) + TIME(11, 39, 56)</f>
        <v>45684.486064814817</v>
      </c>
      <c r="D6145" s="1" t="s">
        <v>506</v>
      </c>
      <c r="E6145" s="1" t="s">
        <v>697</v>
      </c>
    </row>
    <row r="6146" spans="1:5" x14ac:dyDescent="0.2">
      <c r="A6146" s="1" t="s">
        <v>212</v>
      </c>
      <c r="B6146" s="1" t="s">
        <v>713</v>
      </c>
      <c r="C6146" s="5">
        <f>DATE(2025, 1, 23) + TIME(10, 54, 12)</f>
        <v>45680.454305555555</v>
      </c>
      <c r="D6146" s="1" t="s">
        <v>65</v>
      </c>
      <c r="E6146" s="1" t="s">
        <v>615</v>
      </c>
    </row>
    <row r="6147" spans="1:5" x14ac:dyDescent="0.2">
      <c r="A6147" s="1" t="s">
        <v>212</v>
      </c>
      <c r="B6147" s="1" t="s">
        <v>231</v>
      </c>
      <c r="C6147" s="5">
        <f>DATE(2025, 1, 23) + TIME(10, 30, 26)</f>
        <v>45680.437800925924</v>
      </c>
      <c r="D6147" s="1" t="s">
        <v>320</v>
      </c>
      <c r="E6147" s="1" t="s">
        <v>689</v>
      </c>
    </row>
    <row r="6148" spans="1:5" x14ac:dyDescent="0.2">
      <c r="A6148" s="1" t="s">
        <v>212</v>
      </c>
      <c r="B6148" s="1" t="s">
        <v>866</v>
      </c>
      <c r="C6148" s="5">
        <f>DATE(2025, 1, 20) + TIME(12, 30, 48)</f>
        <v>45677.52138888889</v>
      </c>
      <c r="D6148" s="1" t="s">
        <v>640</v>
      </c>
      <c r="E6148" s="1" t="s">
        <v>500</v>
      </c>
    </row>
    <row r="6149" spans="1:5" x14ac:dyDescent="0.2">
      <c r="A6149" s="1" t="s">
        <v>212</v>
      </c>
      <c r="B6149" s="1" t="s">
        <v>60</v>
      </c>
      <c r="C6149" s="5">
        <f>DATE(2025, 1, 17) + TIME(11, 52, 27)</f>
        <v>45674.494756944441</v>
      </c>
      <c r="D6149" s="1" t="s">
        <v>5</v>
      </c>
      <c r="E6149" s="1" t="s">
        <v>405</v>
      </c>
    </row>
    <row r="6150" spans="1:5" x14ac:dyDescent="0.2">
      <c r="A6150" s="1" t="s">
        <v>212</v>
      </c>
      <c r="B6150" s="1" t="s">
        <v>60</v>
      </c>
      <c r="C6150" s="5">
        <f>DATE(2025, 1, 16) + TIME(15, 19, 37)</f>
        <v>45673.638622685183</v>
      </c>
      <c r="D6150" s="1" t="s">
        <v>459</v>
      </c>
      <c r="E6150" s="1" t="s">
        <v>164</v>
      </c>
    </row>
    <row r="6151" spans="1:5" x14ac:dyDescent="0.2">
      <c r="A6151" s="1" t="s">
        <v>212</v>
      </c>
      <c r="B6151" s="1" t="s">
        <v>1021</v>
      </c>
      <c r="C6151" s="5">
        <f>DATE(2025, 1, 16) + TIME(14, 51, 3)</f>
        <v>45673.618784722225</v>
      </c>
      <c r="D6151" s="1" t="s">
        <v>506</v>
      </c>
      <c r="E6151" s="1" t="s">
        <v>867</v>
      </c>
    </row>
    <row r="6152" spans="1:5" x14ac:dyDescent="0.2">
      <c r="A6152" s="1" t="s">
        <v>212</v>
      </c>
      <c r="B6152" s="1" t="s">
        <v>60</v>
      </c>
      <c r="C6152" s="5">
        <f>DATE(2025, 1, 16) + TIME(13, 18, 12)</f>
        <v>45673.554305555554</v>
      </c>
      <c r="D6152" s="1" t="s">
        <v>638</v>
      </c>
      <c r="E6152" s="1" t="s">
        <v>1062</v>
      </c>
    </row>
    <row r="6153" spans="1:5" x14ac:dyDescent="0.2">
      <c r="A6153" s="1" t="s">
        <v>212</v>
      </c>
      <c r="B6153" s="1" t="s">
        <v>1060</v>
      </c>
      <c r="C6153" s="5">
        <f>DATE(2025, 1, 15) + TIME(15, 8, 28)</f>
        <v>45672.630879629629</v>
      </c>
      <c r="D6153" s="1" t="s">
        <v>506</v>
      </c>
      <c r="E6153" s="1" t="s">
        <v>158</v>
      </c>
    </row>
    <row r="6154" spans="1:5" x14ac:dyDescent="0.2">
      <c r="A6154" s="1" t="s">
        <v>212</v>
      </c>
      <c r="B6154" s="1" t="s">
        <v>60</v>
      </c>
      <c r="C6154" s="5">
        <f>DATE(2025, 1, 9) + TIME(12, 8, 57)</f>
        <v>45666.506215277775</v>
      </c>
      <c r="D6154" s="1" t="s">
        <v>320</v>
      </c>
      <c r="E6154" s="1" t="s">
        <v>521</v>
      </c>
    </row>
    <row r="6155" spans="1:5" x14ac:dyDescent="0.2">
      <c r="A6155" s="1" t="s">
        <v>212</v>
      </c>
      <c r="B6155" s="1" t="s">
        <v>60</v>
      </c>
      <c r="C6155" s="5">
        <f>DATE(2025, 1, 7) + TIME(13, 52, 30)</f>
        <v>45664.578125</v>
      </c>
      <c r="D6155" s="1" t="s">
        <v>396</v>
      </c>
      <c r="E6155" s="1" t="s">
        <v>1072</v>
      </c>
    </row>
    <row r="6156" spans="1:5" x14ac:dyDescent="0.2">
      <c r="A6156" s="1" t="s">
        <v>212</v>
      </c>
      <c r="B6156" s="1" t="s">
        <v>866</v>
      </c>
      <c r="C6156" s="5">
        <f>DATE(2025, 1, 7) + TIME(13, 11, 30)</f>
        <v>45664.54965277778</v>
      </c>
      <c r="D6156" s="1" t="s">
        <v>65</v>
      </c>
      <c r="E6156" s="1" t="s">
        <v>694</v>
      </c>
    </row>
    <row r="6157" spans="1:5" x14ac:dyDescent="0.2">
      <c r="A6157" s="1" t="s">
        <v>212</v>
      </c>
      <c r="B6157" s="1" t="s">
        <v>927</v>
      </c>
      <c r="C6157" s="5">
        <f>DATE(2025, 1, 7) + TIME(13, 11, 30)</f>
        <v>45664.54965277778</v>
      </c>
      <c r="D6157" s="1" t="s">
        <v>65</v>
      </c>
      <c r="E6157" s="1" t="s">
        <v>694</v>
      </c>
    </row>
    <row r="6158" spans="1:5" x14ac:dyDescent="0.2">
      <c r="A6158" s="1" t="s">
        <v>212</v>
      </c>
      <c r="B6158" s="1" t="s">
        <v>866</v>
      </c>
      <c r="C6158" s="5">
        <f>DATE(2025, 1, 6) + TIME(10, 10, 36)</f>
        <v>45663.424027777779</v>
      </c>
      <c r="D6158" s="1" t="s">
        <v>638</v>
      </c>
      <c r="E6158" s="1" t="s">
        <v>172</v>
      </c>
    </row>
    <row r="6159" spans="1:5" x14ac:dyDescent="0.2">
      <c r="A6159" s="1" t="s">
        <v>212</v>
      </c>
      <c r="B6159" s="1" t="s">
        <v>231</v>
      </c>
      <c r="C6159" s="5">
        <f>DATE(2025, 1, 6) + TIME(10, 10, 36)</f>
        <v>45663.424027777779</v>
      </c>
      <c r="D6159" s="1" t="s">
        <v>638</v>
      </c>
      <c r="E6159" s="1" t="s">
        <v>172</v>
      </c>
    </row>
    <row r="6160" spans="1:5" x14ac:dyDescent="0.2">
      <c r="A6160" s="1" t="s">
        <v>212</v>
      </c>
      <c r="B6160" s="1" t="s">
        <v>409</v>
      </c>
      <c r="C6160" s="5">
        <f>DATE(2024, 12, 31) + TIME(12, 13, 52)</f>
        <v>45657.509629629632</v>
      </c>
      <c r="D6160" s="1" t="s">
        <v>65</v>
      </c>
      <c r="E6160" s="1" t="s">
        <v>432</v>
      </c>
    </row>
    <row r="6161" spans="1:5" x14ac:dyDescent="0.2">
      <c r="A6161" s="1" t="s">
        <v>212</v>
      </c>
      <c r="B6161" s="1" t="s">
        <v>139</v>
      </c>
      <c r="C6161" s="5">
        <f>DATE(2024, 12, 29) + TIME(15, 6, 16)</f>
        <v>45655.629351851851</v>
      </c>
      <c r="D6161" s="1" t="s">
        <v>640</v>
      </c>
      <c r="E6161" s="1" t="s">
        <v>70</v>
      </c>
    </row>
    <row r="6162" spans="1:5" x14ac:dyDescent="0.2">
      <c r="A6162" s="1" t="s">
        <v>212</v>
      </c>
      <c r="B6162" s="1" t="s">
        <v>139</v>
      </c>
      <c r="C6162" s="5">
        <f>DATE(2024, 12, 26) + TIME(16, 16, 20)</f>
        <v>45652.67800925926</v>
      </c>
      <c r="D6162" s="1" t="s">
        <v>640</v>
      </c>
      <c r="E6162" s="1" t="s">
        <v>70</v>
      </c>
    </row>
    <row r="6163" spans="1:5" x14ac:dyDescent="0.2">
      <c r="A6163" s="1" t="s">
        <v>212</v>
      </c>
      <c r="B6163" s="1" t="s">
        <v>1080</v>
      </c>
      <c r="C6163" s="5">
        <f>DATE(2024, 12, 23) + TIME(13, 59, 44)</f>
        <v>45649.583148148151</v>
      </c>
      <c r="D6163" s="1" t="s">
        <v>396</v>
      </c>
      <c r="E6163" s="1" t="s">
        <v>1081</v>
      </c>
    </row>
    <row r="6164" spans="1:5" x14ac:dyDescent="0.2">
      <c r="A6164" s="1" t="s">
        <v>212</v>
      </c>
      <c r="B6164" s="1" t="s">
        <v>60</v>
      </c>
      <c r="C6164" s="5">
        <f>DATE(2024, 12, 19) + TIME(12, 20, 27)</f>
        <v>45645.514201388891</v>
      </c>
      <c r="D6164" s="1" t="s">
        <v>5</v>
      </c>
      <c r="E6164" s="1" t="s">
        <v>1085</v>
      </c>
    </row>
    <row r="6165" spans="1:5" x14ac:dyDescent="0.2">
      <c r="A6165" s="1" t="s">
        <v>212</v>
      </c>
      <c r="B6165" s="1" t="s">
        <v>139</v>
      </c>
      <c r="C6165" s="5">
        <f>DATE(2024, 12, 19) + TIME(11, 8, 6)</f>
        <v>45645.463958333334</v>
      </c>
      <c r="D6165" s="1" t="s">
        <v>506</v>
      </c>
      <c r="E6165" s="1" t="s">
        <v>867</v>
      </c>
    </row>
    <row r="6166" spans="1:5" x14ac:dyDescent="0.2">
      <c r="A6166" s="1" t="s">
        <v>212</v>
      </c>
      <c r="B6166" s="1" t="s">
        <v>866</v>
      </c>
      <c r="C6166" s="5">
        <f>DATE(2024, 12, 17) + TIME(14, 14, 31)</f>
        <v>45643.593414351853</v>
      </c>
      <c r="D6166" s="1" t="s">
        <v>640</v>
      </c>
      <c r="E6166" s="1" t="s">
        <v>1090</v>
      </c>
    </row>
    <row r="6167" spans="1:5" x14ac:dyDescent="0.2">
      <c r="A6167" s="1" t="s">
        <v>212</v>
      </c>
      <c r="B6167" s="1" t="s">
        <v>564</v>
      </c>
      <c r="C6167" s="5">
        <f>DATE(2024, 12, 17) + TIME(13, 35, 5)</f>
        <v>45643.566030092596</v>
      </c>
      <c r="D6167" s="1" t="s">
        <v>65</v>
      </c>
      <c r="E6167" s="1" t="s">
        <v>227</v>
      </c>
    </row>
    <row r="6168" spans="1:5" x14ac:dyDescent="0.2">
      <c r="A6168" s="1" t="s">
        <v>212</v>
      </c>
      <c r="B6168" s="1" t="s">
        <v>564</v>
      </c>
      <c r="C6168" s="5">
        <f>DATE(2024, 12, 17) + TIME(13, 35, 5)</f>
        <v>45643.566030092596</v>
      </c>
      <c r="D6168" s="1" t="s">
        <v>65</v>
      </c>
      <c r="E6168" s="1" t="s">
        <v>227</v>
      </c>
    </row>
    <row r="6169" spans="1:5" x14ac:dyDescent="0.2">
      <c r="A6169" s="1" t="s">
        <v>212</v>
      </c>
      <c r="B6169" s="1" t="s">
        <v>866</v>
      </c>
      <c r="C6169" s="5">
        <f>DATE(2024, 12, 17) + TIME(13, 35, 5)</f>
        <v>45643.566030092596</v>
      </c>
      <c r="D6169" s="1" t="s">
        <v>65</v>
      </c>
      <c r="E6169" s="1" t="s">
        <v>227</v>
      </c>
    </row>
    <row r="6170" spans="1:5" x14ac:dyDescent="0.2">
      <c r="A6170" s="1" t="s">
        <v>212</v>
      </c>
      <c r="B6170" s="1" t="s">
        <v>866</v>
      </c>
      <c r="C6170" s="5">
        <f>DATE(2024, 12, 16) + TIME(11, 18, 21)</f>
        <v>45642.471076388887</v>
      </c>
      <c r="D6170" s="1" t="s">
        <v>65</v>
      </c>
      <c r="E6170" s="1" t="s">
        <v>219</v>
      </c>
    </row>
    <row r="6171" spans="1:5" x14ac:dyDescent="0.2">
      <c r="A6171" s="1" t="s">
        <v>212</v>
      </c>
      <c r="B6171" s="1" t="s">
        <v>409</v>
      </c>
      <c r="C6171" s="5">
        <f>DATE(2024, 12, 16) + TIME(11, 18, 21)</f>
        <v>45642.471076388887</v>
      </c>
      <c r="D6171" s="1" t="s">
        <v>65</v>
      </c>
      <c r="E6171" s="1" t="s">
        <v>219</v>
      </c>
    </row>
    <row r="6172" spans="1:5" x14ac:dyDescent="0.2">
      <c r="A6172" s="1" t="s">
        <v>212</v>
      </c>
      <c r="B6172" s="1" t="s">
        <v>60</v>
      </c>
      <c r="C6172" s="5">
        <f>DATE(2024, 12, 16) + TIME(11, 18, 20)</f>
        <v>45642.471064814818</v>
      </c>
      <c r="D6172" s="1" t="s">
        <v>65</v>
      </c>
      <c r="E6172" s="1" t="s">
        <v>219</v>
      </c>
    </row>
    <row r="6173" spans="1:5" x14ac:dyDescent="0.2">
      <c r="A6173" s="1" t="s">
        <v>212</v>
      </c>
      <c r="B6173" s="1" t="s">
        <v>866</v>
      </c>
      <c r="C6173" s="5">
        <f>DATE(2024, 12, 16) + TIME(11, 18, 20)</f>
        <v>45642.471064814818</v>
      </c>
      <c r="D6173" s="1" t="s">
        <v>65</v>
      </c>
      <c r="E6173" s="1" t="s">
        <v>219</v>
      </c>
    </row>
    <row r="6174" spans="1:5" x14ac:dyDescent="0.2">
      <c r="A6174" s="1" t="s">
        <v>212</v>
      </c>
      <c r="B6174" s="1" t="s">
        <v>951</v>
      </c>
      <c r="C6174" s="5">
        <f>DATE(2024, 12, 12) + TIME(11, 39, 46)</f>
        <v>45638.485949074071</v>
      </c>
      <c r="D6174" s="1" t="s">
        <v>506</v>
      </c>
      <c r="E6174" s="1" t="s">
        <v>867</v>
      </c>
    </row>
    <row r="6175" spans="1:5" x14ac:dyDescent="0.2">
      <c r="A6175" s="1" t="s">
        <v>212</v>
      </c>
      <c r="B6175" s="1" t="s">
        <v>231</v>
      </c>
      <c r="C6175" s="5">
        <f>DATE(2024, 12, 11) + TIME(10, 39, 1)</f>
        <v>45637.443761574075</v>
      </c>
      <c r="D6175" s="1" t="s">
        <v>320</v>
      </c>
      <c r="E6175" s="1" t="s">
        <v>689</v>
      </c>
    </row>
    <row r="6176" spans="1:5" x14ac:dyDescent="0.2">
      <c r="A6176" s="1" t="s">
        <v>212</v>
      </c>
      <c r="B6176" s="1" t="s">
        <v>1097</v>
      </c>
      <c r="C6176" s="5">
        <f>DATE(2024, 12, 9) + TIME(12, 3, 51)</f>
        <v>45635.50267361111</v>
      </c>
      <c r="D6176" s="1" t="s">
        <v>640</v>
      </c>
      <c r="E6176" s="1" t="s">
        <v>500</v>
      </c>
    </row>
    <row r="6177" spans="1:5" x14ac:dyDescent="0.2">
      <c r="A6177" s="1" t="s">
        <v>212</v>
      </c>
      <c r="B6177" s="1" t="s">
        <v>60</v>
      </c>
      <c r="C6177" s="5">
        <f>DATE(2024, 12, 9) + TIME(11, 41, 31)</f>
        <v>45635.487164351849</v>
      </c>
      <c r="D6177" s="1" t="s">
        <v>65</v>
      </c>
      <c r="E6177" s="1" t="s">
        <v>219</v>
      </c>
    </row>
    <row r="6178" spans="1:5" x14ac:dyDescent="0.2">
      <c r="A6178" s="1" t="s">
        <v>212</v>
      </c>
      <c r="B6178" s="1" t="s">
        <v>178</v>
      </c>
      <c r="C6178" s="5">
        <f>DATE(2024, 12, 5) + TIME(13, 35, 31)</f>
        <v>45631.566331018519</v>
      </c>
      <c r="D6178" s="1" t="s">
        <v>506</v>
      </c>
      <c r="E6178" s="1" t="s">
        <v>867</v>
      </c>
    </row>
    <row r="6179" spans="1:5" x14ac:dyDescent="0.2">
      <c r="A6179" s="1" t="s">
        <v>212</v>
      </c>
      <c r="B6179" s="1" t="s">
        <v>178</v>
      </c>
      <c r="C6179" s="5">
        <f>DATE(2024, 12, 4) + TIME(13, 23, 32)</f>
        <v>45630.558009259257</v>
      </c>
      <c r="D6179" s="1" t="s">
        <v>506</v>
      </c>
      <c r="E6179" s="1" t="s">
        <v>370</v>
      </c>
    </row>
    <row r="6180" spans="1:5" x14ac:dyDescent="0.2">
      <c r="A6180" s="1" t="s">
        <v>212</v>
      </c>
      <c r="B6180" s="1" t="s">
        <v>866</v>
      </c>
      <c r="C6180" s="5">
        <f>DATE(2024, 12, 3) + TIME(13, 2, 3)</f>
        <v>45629.543090277781</v>
      </c>
      <c r="D6180" s="1" t="s">
        <v>640</v>
      </c>
      <c r="E6180" s="1" t="s">
        <v>761</v>
      </c>
    </row>
    <row r="6181" spans="1:5" x14ac:dyDescent="0.2">
      <c r="A6181" s="1" t="s">
        <v>212</v>
      </c>
      <c r="B6181" s="1" t="s">
        <v>411</v>
      </c>
      <c r="C6181" s="5">
        <f>DATE(2024, 11, 27) + TIME(15, 11, 51)</f>
        <v>45623.633229166669</v>
      </c>
      <c r="D6181" s="1" t="s">
        <v>506</v>
      </c>
      <c r="E6181" s="1" t="s">
        <v>875</v>
      </c>
    </row>
    <row r="6182" spans="1:5" x14ac:dyDescent="0.2">
      <c r="A6182" s="1" t="s">
        <v>212</v>
      </c>
      <c r="B6182" s="1" t="s">
        <v>713</v>
      </c>
      <c r="C6182" s="5">
        <f>DATE(2024, 11, 26) + TIME(15, 36, 29)</f>
        <v>45622.650335648148</v>
      </c>
      <c r="D6182" s="1" t="s">
        <v>65</v>
      </c>
      <c r="E6182" s="1" t="s">
        <v>615</v>
      </c>
    </row>
    <row r="6183" spans="1:5" x14ac:dyDescent="0.2">
      <c r="A6183" s="1" t="s">
        <v>212</v>
      </c>
      <c r="B6183" s="1" t="s">
        <v>323</v>
      </c>
      <c r="C6183" s="5">
        <f>DATE(2024, 11, 26) + TIME(10, 51, 8)</f>
        <v>45622.452175925922</v>
      </c>
      <c r="D6183" s="1" t="s">
        <v>459</v>
      </c>
      <c r="E6183" s="1" t="s">
        <v>777</v>
      </c>
    </row>
    <row r="6184" spans="1:5" x14ac:dyDescent="0.2">
      <c r="A6184" s="1" t="s">
        <v>212</v>
      </c>
      <c r="B6184" s="1" t="s">
        <v>60</v>
      </c>
      <c r="C6184" s="5">
        <f>DATE(2024, 11, 25) + TIME(11, 57, 33)</f>
        <v>45621.498298611114</v>
      </c>
      <c r="D6184" s="1" t="s">
        <v>144</v>
      </c>
      <c r="E6184" s="1" t="s">
        <v>946</v>
      </c>
    </row>
    <row r="6185" spans="1:5" x14ac:dyDescent="0.2">
      <c r="A6185" s="1" t="s">
        <v>212</v>
      </c>
      <c r="B6185" s="1" t="s">
        <v>60</v>
      </c>
      <c r="C6185" s="5">
        <f>DATE(2024, 11, 24) + TIME(15, 22, 39)</f>
        <v>45620.640729166669</v>
      </c>
      <c r="D6185" s="1" t="s">
        <v>320</v>
      </c>
      <c r="E6185" s="1" t="s">
        <v>687</v>
      </c>
    </row>
    <row r="6186" spans="1:5" x14ac:dyDescent="0.2">
      <c r="A6186" s="1" t="s">
        <v>212</v>
      </c>
      <c r="B6186" s="1" t="s">
        <v>202</v>
      </c>
      <c r="C6186" s="5">
        <f>DATE(2024, 11, 20) + TIME(12, 1, 50)</f>
        <v>45616.501273148147</v>
      </c>
      <c r="D6186" s="1" t="s">
        <v>459</v>
      </c>
      <c r="E6186" s="1" t="s">
        <v>777</v>
      </c>
    </row>
    <row r="6187" spans="1:5" x14ac:dyDescent="0.2">
      <c r="A6187" s="1" t="s">
        <v>212</v>
      </c>
      <c r="B6187" s="1" t="s">
        <v>1080</v>
      </c>
      <c r="C6187" s="5">
        <f>DATE(2024, 11, 19) + TIME(14, 8, 4)</f>
        <v>45615.588935185187</v>
      </c>
      <c r="D6187" s="1" t="s">
        <v>148</v>
      </c>
      <c r="E6187" s="1" t="s">
        <v>929</v>
      </c>
    </row>
    <row r="6188" spans="1:5" x14ac:dyDescent="0.2">
      <c r="A6188" s="1" t="s">
        <v>212</v>
      </c>
      <c r="B6188" s="1" t="s">
        <v>60</v>
      </c>
      <c r="C6188" s="5">
        <f>DATE(2024, 11, 14) + TIME(12, 18, 45)</f>
        <v>45610.513020833336</v>
      </c>
      <c r="D6188" s="1" t="s">
        <v>320</v>
      </c>
      <c r="E6188" s="1" t="s">
        <v>698</v>
      </c>
    </row>
    <row r="6189" spans="1:5" x14ac:dyDescent="0.2">
      <c r="A6189" s="1" t="s">
        <v>212</v>
      </c>
      <c r="B6189" s="1" t="s">
        <v>1117</v>
      </c>
      <c r="C6189" s="5">
        <f>DATE(2024, 11, 14) + TIME(11, 13, 51)</f>
        <v>45610.467951388891</v>
      </c>
      <c r="D6189" s="1" t="s">
        <v>148</v>
      </c>
      <c r="E6189" s="1" t="s">
        <v>961</v>
      </c>
    </row>
    <row r="6190" spans="1:5" x14ac:dyDescent="0.2">
      <c r="A6190" s="1" t="s">
        <v>212</v>
      </c>
      <c r="B6190" s="1" t="s">
        <v>411</v>
      </c>
      <c r="C6190" s="5">
        <f>DATE(2024, 11, 7) + TIME(14, 41, 52)</f>
        <v>45603.612407407411</v>
      </c>
      <c r="D6190" s="1" t="s">
        <v>506</v>
      </c>
      <c r="E6190" s="1" t="s">
        <v>867</v>
      </c>
    </row>
    <row r="6191" spans="1:5" x14ac:dyDescent="0.2">
      <c r="A6191" s="1" t="s">
        <v>212</v>
      </c>
      <c r="B6191" s="1" t="s">
        <v>139</v>
      </c>
      <c r="C6191" s="5">
        <f>DATE(2024, 11, 7) + TIME(10, 7, 6)</f>
        <v>45603.421597222223</v>
      </c>
      <c r="D6191" s="1" t="s">
        <v>640</v>
      </c>
      <c r="E6191" s="1" t="s">
        <v>838</v>
      </c>
    </row>
    <row r="6192" spans="1:5" x14ac:dyDescent="0.2">
      <c r="A6192" s="1" t="s">
        <v>212</v>
      </c>
      <c r="B6192" s="1" t="s">
        <v>60</v>
      </c>
      <c r="C6192" s="5">
        <f>DATE(2024, 11, 6) + TIME(15, 53, 49)</f>
        <v>45602.662372685183</v>
      </c>
      <c r="D6192" s="1" t="s">
        <v>640</v>
      </c>
      <c r="E6192" s="1" t="s">
        <v>10</v>
      </c>
    </row>
    <row r="6193" spans="1:5" x14ac:dyDescent="0.2">
      <c r="A6193" s="1" t="s">
        <v>212</v>
      </c>
      <c r="B6193" s="1" t="s">
        <v>654</v>
      </c>
      <c r="C6193" s="5">
        <f>DATE(2024, 11, 6) + TIME(15, 19, 40)</f>
        <v>45602.638657407406</v>
      </c>
      <c r="D6193" s="1" t="s">
        <v>506</v>
      </c>
      <c r="E6193" s="1" t="s">
        <v>158</v>
      </c>
    </row>
    <row r="6194" spans="1:5" x14ac:dyDescent="0.2">
      <c r="A6194" s="1" t="s">
        <v>212</v>
      </c>
      <c r="B6194" s="1" t="s">
        <v>231</v>
      </c>
      <c r="C6194" s="5">
        <f>DATE(2024, 11, 6) + TIME(12, 20, 5)</f>
        <v>45602.51394675926</v>
      </c>
      <c r="D6194" s="1" t="s">
        <v>450</v>
      </c>
      <c r="E6194" s="1" t="s">
        <v>176</v>
      </c>
    </row>
    <row r="6195" spans="1:5" x14ac:dyDescent="0.2">
      <c r="A6195" s="1" t="s">
        <v>212</v>
      </c>
      <c r="B6195" s="1" t="s">
        <v>60</v>
      </c>
      <c r="C6195" s="5">
        <f>DATE(2024, 11, 4) + TIME(13, 41, 5)</f>
        <v>45600.570196759261</v>
      </c>
      <c r="D6195" s="1" t="s">
        <v>638</v>
      </c>
      <c r="E6195" s="1" t="s">
        <v>172</v>
      </c>
    </row>
    <row r="6196" spans="1:5" x14ac:dyDescent="0.2">
      <c r="A6196" s="1" t="s">
        <v>212</v>
      </c>
      <c r="B6196" s="1" t="s">
        <v>234</v>
      </c>
      <c r="C6196" s="5">
        <f>DATE(2024, 10, 31) + TIME(12, 2, 6)</f>
        <v>45596.501458333332</v>
      </c>
      <c r="D6196" s="1" t="s">
        <v>506</v>
      </c>
      <c r="E6196" s="1" t="s">
        <v>867</v>
      </c>
    </row>
    <row r="6197" spans="1:5" x14ac:dyDescent="0.2">
      <c r="A6197" s="1" t="s">
        <v>212</v>
      </c>
      <c r="B6197" s="1" t="s">
        <v>323</v>
      </c>
      <c r="C6197" s="5">
        <f>DATE(2024, 10, 29) + TIME(15, 42, 18)</f>
        <v>45594.654374999998</v>
      </c>
      <c r="D6197" s="1" t="s">
        <v>65</v>
      </c>
      <c r="E6197" s="1" t="s">
        <v>555</v>
      </c>
    </row>
    <row r="6198" spans="1:5" x14ac:dyDescent="0.2">
      <c r="A6198" s="1" t="s">
        <v>212</v>
      </c>
      <c r="B6198" s="1" t="s">
        <v>866</v>
      </c>
      <c r="C6198" s="5">
        <f>DATE(2024, 10, 28) + TIME(17, 24, 35)</f>
        <v>45593.725405092591</v>
      </c>
      <c r="D6198" s="1" t="s">
        <v>459</v>
      </c>
      <c r="E6198" s="1" t="s">
        <v>1145</v>
      </c>
    </row>
    <row r="6199" spans="1:5" x14ac:dyDescent="0.2">
      <c r="A6199" s="1" t="s">
        <v>212</v>
      </c>
      <c r="B6199" s="1" t="s">
        <v>323</v>
      </c>
      <c r="C6199" s="5">
        <f>DATE(2024, 10, 28) + TIME(17, 24, 35)</f>
        <v>45593.725405092591</v>
      </c>
      <c r="D6199" s="1" t="s">
        <v>459</v>
      </c>
      <c r="E6199" s="1" t="s">
        <v>1145</v>
      </c>
    </row>
    <row r="6200" spans="1:5" x14ac:dyDescent="0.2">
      <c r="A6200" s="1" t="s">
        <v>212</v>
      </c>
      <c r="B6200" s="1" t="s">
        <v>60</v>
      </c>
      <c r="C6200" s="5">
        <f>DATE(2024, 10, 28) + TIME(17, 24, 35)</f>
        <v>45593.725405092591</v>
      </c>
      <c r="D6200" s="1" t="s">
        <v>459</v>
      </c>
      <c r="E6200" s="1" t="s">
        <v>1145</v>
      </c>
    </row>
    <row r="6201" spans="1:5" x14ac:dyDescent="0.2">
      <c r="A6201" s="1" t="s">
        <v>212</v>
      </c>
      <c r="B6201" s="1" t="s">
        <v>526</v>
      </c>
      <c r="C6201" s="5">
        <f>DATE(2024, 10, 25) + TIME(11, 19, 12)</f>
        <v>45590.471666666665</v>
      </c>
      <c r="D6201" s="1" t="s">
        <v>398</v>
      </c>
      <c r="E6201" s="1" t="s">
        <v>895</v>
      </c>
    </row>
    <row r="6202" spans="1:5" x14ac:dyDescent="0.2">
      <c r="A6202" s="1" t="s">
        <v>212</v>
      </c>
      <c r="B6202" s="1" t="s">
        <v>411</v>
      </c>
      <c r="C6202" s="5">
        <f>DATE(2024, 10, 24) + TIME(14, 30, 56)</f>
        <v>45589.604814814818</v>
      </c>
      <c r="D6202" s="1" t="s">
        <v>506</v>
      </c>
      <c r="E6202" s="1" t="s">
        <v>709</v>
      </c>
    </row>
    <row r="6203" spans="1:5" x14ac:dyDescent="0.2">
      <c r="A6203" s="1" t="s">
        <v>212</v>
      </c>
      <c r="B6203" s="1" t="s">
        <v>713</v>
      </c>
      <c r="C6203" s="5">
        <f>DATE(2024, 10, 24) + TIME(12, 13, 34)</f>
        <v>45589.509421296294</v>
      </c>
      <c r="D6203" s="1" t="s">
        <v>65</v>
      </c>
      <c r="E6203" s="1" t="s">
        <v>615</v>
      </c>
    </row>
    <row r="6204" spans="1:5" x14ac:dyDescent="0.2">
      <c r="A6204" s="1" t="s">
        <v>212</v>
      </c>
      <c r="B6204" s="1" t="s">
        <v>323</v>
      </c>
      <c r="C6204" s="5">
        <f>DATE(2024, 10, 22) + TIME(14, 13, 27)</f>
        <v>45587.592673611114</v>
      </c>
      <c r="D6204" s="1" t="s">
        <v>398</v>
      </c>
      <c r="E6204" s="1" t="s">
        <v>142</v>
      </c>
    </row>
    <row r="6205" spans="1:5" x14ac:dyDescent="0.2">
      <c r="A6205" s="1" t="s">
        <v>212</v>
      </c>
      <c r="B6205" s="1" t="s">
        <v>713</v>
      </c>
      <c r="C6205" s="5">
        <f>DATE(2024, 10, 17) + TIME(12, 27, 46)</f>
        <v>45582.519282407404</v>
      </c>
      <c r="D6205" s="1" t="s">
        <v>65</v>
      </c>
      <c r="E6205" s="1" t="s">
        <v>615</v>
      </c>
    </row>
    <row r="6206" spans="1:5" x14ac:dyDescent="0.2">
      <c r="A6206" s="1" t="s">
        <v>212</v>
      </c>
      <c r="B6206" s="1" t="s">
        <v>178</v>
      </c>
      <c r="C6206" s="5">
        <f>DATE(2024, 10, 16) + TIME(15, 37, 1)</f>
        <v>45581.650706018518</v>
      </c>
      <c r="D6206" s="1" t="s">
        <v>506</v>
      </c>
      <c r="E6206" s="1" t="s">
        <v>709</v>
      </c>
    </row>
    <row r="6207" spans="1:5" x14ac:dyDescent="0.2">
      <c r="A6207" s="1" t="s">
        <v>212</v>
      </c>
      <c r="B6207" s="1" t="s">
        <v>664</v>
      </c>
      <c r="C6207" s="5">
        <f>DATE(2024, 10, 16) + TIME(14, 7, 32)</f>
        <v>45581.588564814818</v>
      </c>
      <c r="D6207" s="1" t="s">
        <v>638</v>
      </c>
      <c r="E6207" s="1" t="s">
        <v>258</v>
      </c>
    </row>
    <row r="6208" spans="1:5" x14ac:dyDescent="0.2">
      <c r="A6208" s="1" t="s">
        <v>212</v>
      </c>
      <c r="B6208" s="1" t="s">
        <v>411</v>
      </c>
      <c r="C6208" s="5">
        <f>DATE(2024, 10, 16) + TIME(10, 15, 25)</f>
        <v>45581.427372685182</v>
      </c>
      <c r="D6208" s="1" t="s">
        <v>320</v>
      </c>
      <c r="E6208" s="1" t="s">
        <v>521</v>
      </c>
    </row>
    <row r="6209" spans="1:5" x14ac:dyDescent="0.2">
      <c r="A6209" s="1" t="s">
        <v>212</v>
      </c>
      <c r="B6209" s="1" t="s">
        <v>765</v>
      </c>
      <c r="C6209" s="5">
        <f>DATE(2024, 10, 15) + TIME(15, 23, 43)</f>
        <v>45580.641469907408</v>
      </c>
      <c r="D6209" s="1" t="s">
        <v>506</v>
      </c>
      <c r="E6209" s="1" t="s">
        <v>823</v>
      </c>
    </row>
    <row r="6210" spans="1:5" x14ac:dyDescent="0.2">
      <c r="A6210" s="1" t="s">
        <v>212</v>
      </c>
      <c r="B6210" s="1" t="s">
        <v>60</v>
      </c>
      <c r="C6210" s="5">
        <f>DATE(2024, 10, 15) + TIME(13, 59, 49)</f>
        <v>45580.58320601852</v>
      </c>
      <c r="D6210" s="1" t="s">
        <v>65</v>
      </c>
      <c r="E6210" s="1" t="s">
        <v>555</v>
      </c>
    </row>
    <row r="6211" spans="1:5" x14ac:dyDescent="0.2">
      <c r="A6211" s="1" t="s">
        <v>212</v>
      </c>
      <c r="B6211" s="1" t="s">
        <v>229</v>
      </c>
      <c r="C6211" s="5">
        <f>DATE(2024, 10, 15) + TIME(12, 11, 23)</f>
        <v>45580.507905092592</v>
      </c>
      <c r="D6211" s="1" t="s">
        <v>216</v>
      </c>
      <c r="E6211" s="1" t="s">
        <v>421</v>
      </c>
    </row>
    <row r="6212" spans="1:5" x14ac:dyDescent="0.2">
      <c r="A6212" s="1" t="s">
        <v>212</v>
      </c>
      <c r="B6212" s="1" t="s">
        <v>60</v>
      </c>
      <c r="C6212" s="5">
        <f>DATE(2024, 10, 15) + TIME(12, 4, 50)</f>
        <v>45580.50335648148</v>
      </c>
      <c r="D6212" s="1" t="s">
        <v>320</v>
      </c>
      <c r="E6212" s="1" t="s">
        <v>1154</v>
      </c>
    </row>
    <row r="6213" spans="1:5" x14ac:dyDescent="0.2">
      <c r="A6213" s="1" t="s">
        <v>212</v>
      </c>
      <c r="B6213" s="1" t="s">
        <v>60</v>
      </c>
      <c r="C6213" s="5">
        <f>DATE(2024, 10, 15) + TIME(9, 47, 45)</f>
        <v>45580.408159722225</v>
      </c>
      <c r="D6213" s="1" t="s">
        <v>459</v>
      </c>
      <c r="E6213" s="1" t="s">
        <v>1145</v>
      </c>
    </row>
    <row r="6214" spans="1:5" x14ac:dyDescent="0.2">
      <c r="A6214" s="1" t="s">
        <v>212</v>
      </c>
      <c r="B6214" s="1" t="s">
        <v>564</v>
      </c>
      <c r="C6214" s="5">
        <f>DATE(2024, 10, 15) + TIME(9, 47, 45)</f>
        <v>45580.408159722225</v>
      </c>
      <c r="D6214" s="1" t="s">
        <v>459</v>
      </c>
      <c r="E6214" s="1" t="s">
        <v>1145</v>
      </c>
    </row>
    <row r="6215" spans="1:5" x14ac:dyDescent="0.2">
      <c r="A6215" s="1" t="s">
        <v>212</v>
      </c>
      <c r="B6215" s="1" t="s">
        <v>69</v>
      </c>
      <c r="C6215" s="5">
        <f>DATE(2024, 10, 15) + TIME(9, 47, 45)</f>
        <v>45580.408159722225</v>
      </c>
      <c r="D6215" s="1" t="s">
        <v>459</v>
      </c>
      <c r="E6215" s="1" t="s">
        <v>1145</v>
      </c>
    </row>
    <row r="6216" spans="1:5" x14ac:dyDescent="0.2">
      <c r="A6216" s="1" t="s">
        <v>212</v>
      </c>
      <c r="B6216" s="1" t="s">
        <v>866</v>
      </c>
      <c r="C6216" s="5">
        <f>DATE(2024, 10, 11) + TIME(11, 49, 47)</f>
        <v>45576.492905092593</v>
      </c>
      <c r="D6216" s="1" t="s">
        <v>638</v>
      </c>
      <c r="E6216" s="1" t="s">
        <v>315</v>
      </c>
    </row>
    <row r="6217" spans="1:5" x14ac:dyDescent="0.2">
      <c r="A6217" s="1" t="s">
        <v>212</v>
      </c>
      <c r="B6217" s="1" t="s">
        <v>60</v>
      </c>
      <c r="C6217" s="5">
        <f>DATE(2024, 10, 10) + TIME(17, 23, 49)</f>
        <v>45575.724872685183</v>
      </c>
      <c r="D6217" s="1" t="s">
        <v>459</v>
      </c>
      <c r="E6217" s="1" t="s">
        <v>1145</v>
      </c>
    </row>
    <row r="6218" spans="1:5" x14ac:dyDescent="0.2">
      <c r="A6218" s="1" t="s">
        <v>212</v>
      </c>
      <c r="B6218" s="1" t="s">
        <v>4</v>
      </c>
      <c r="C6218" s="5">
        <f>DATE(2024, 10, 10) + TIME(17, 23, 48)</f>
        <v>45575.724861111114</v>
      </c>
      <c r="D6218" s="1" t="s">
        <v>459</v>
      </c>
      <c r="E6218" s="1" t="s">
        <v>1145</v>
      </c>
    </row>
    <row r="6219" spans="1:5" x14ac:dyDescent="0.2">
      <c r="A6219" s="1" t="s">
        <v>212</v>
      </c>
      <c r="B6219" s="1" t="s">
        <v>564</v>
      </c>
      <c r="C6219" s="5">
        <f>DATE(2024, 10, 10) + TIME(17, 23, 48)</f>
        <v>45575.724861111114</v>
      </c>
      <c r="D6219" s="1" t="s">
        <v>459</v>
      </c>
      <c r="E6219" s="1" t="s">
        <v>1145</v>
      </c>
    </row>
    <row r="6220" spans="1:5" x14ac:dyDescent="0.2">
      <c r="A6220" s="1" t="s">
        <v>212</v>
      </c>
      <c r="B6220" s="1" t="s">
        <v>866</v>
      </c>
      <c r="C6220" s="5">
        <f>DATE(2024, 10, 10) + TIME(17, 23, 48)</f>
        <v>45575.724861111114</v>
      </c>
      <c r="D6220" s="1" t="s">
        <v>459</v>
      </c>
      <c r="E6220" s="1" t="s">
        <v>1145</v>
      </c>
    </row>
    <row r="6221" spans="1:5" x14ac:dyDescent="0.2">
      <c r="A6221" s="1" t="s">
        <v>212</v>
      </c>
      <c r="B6221" s="1" t="s">
        <v>564</v>
      </c>
      <c r="C6221" s="5">
        <f>DATE(2024, 10, 10) + TIME(17, 23, 47)</f>
        <v>45575.724849537037</v>
      </c>
      <c r="D6221" s="1" t="s">
        <v>459</v>
      </c>
      <c r="E6221" s="1" t="s">
        <v>1145</v>
      </c>
    </row>
    <row r="6222" spans="1:5" x14ac:dyDescent="0.2">
      <c r="A6222" s="1" t="s">
        <v>212</v>
      </c>
      <c r="B6222" s="1" t="s">
        <v>60</v>
      </c>
      <c r="C6222" s="5">
        <f>DATE(2024, 10, 10) + TIME(17, 23, 47)</f>
        <v>45575.724849537037</v>
      </c>
      <c r="D6222" s="1" t="s">
        <v>459</v>
      </c>
      <c r="E6222" s="1" t="s">
        <v>1145</v>
      </c>
    </row>
    <row r="6223" spans="1:5" x14ac:dyDescent="0.2">
      <c r="A6223" s="1" t="s">
        <v>212</v>
      </c>
      <c r="B6223" s="1" t="s">
        <v>931</v>
      </c>
      <c r="C6223" s="5">
        <f>DATE(2024, 10, 10) + TIME(13, 25, 52)</f>
        <v>45575.559629629628</v>
      </c>
      <c r="D6223" s="1" t="s">
        <v>506</v>
      </c>
      <c r="E6223" s="1" t="s">
        <v>370</v>
      </c>
    </row>
    <row r="6224" spans="1:5" x14ac:dyDescent="0.2">
      <c r="A6224" s="1" t="s">
        <v>212</v>
      </c>
      <c r="B6224" s="1" t="s">
        <v>229</v>
      </c>
      <c r="C6224" s="5">
        <f>DATE(2024, 10, 9) + TIME(11, 21, 18)</f>
        <v>45574.473124999997</v>
      </c>
      <c r="D6224" s="1" t="s">
        <v>216</v>
      </c>
      <c r="E6224" s="1" t="s">
        <v>741</v>
      </c>
    </row>
    <row r="6225" spans="1:5" x14ac:dyDescent="0.2">
      <c r="A6225" s="1" t="s">
        <v>212</v>
      </c>
      <c r="B6225" s="1" t="s">
        <v>229</v>
      </c>
      <c r="C6225" s="5">
        <f>DATE(2024, 10, 9) + TIME(11, 20, 8)</f>
        <v>45574.472314814811</v>
      </c>
      <c r="D6225" s="1" t="s">
        <v>216</v>
      </c>
      <c r="E6225" s="1" t="s">
        <v>1160</v>
      </c>
    </row>
    <row r="6226" spans="1:5" x14ac:dyDescent="0.2">
      <c r="A6226" s="1" t="s">
        <v>212</v>
      </c>
      <c r="B6226" s="1" t="s">
        <v>229</v>
      </c>
      <c r="C6226" s="5">
        <f>DATE(2024, 10, 9) + TIME(11, 18, 53)</f>
        <v>45574.471446759257</v>
      </c>
      <c r="D6226" s="1" t="s">
        <v>216</v>
      </c>
      <c r="E6226" s="1" t="s">
        <v>182</v>
      </c>
    </row>
    <row r="6227" spans="1:5" x14ac:dyDescent="0.2">
      <c r="A6227" s="1" t="s">
        <v>212</v>
      </c>
      <c r="B6227" s="1" t="s">
        <v>229</v>
      </c>
      <c r="C6227" s="5">
        <f>DATE(2024, 10, 7) + TIME(13, 5, 36)</f>
        <v>45572.545555555553</v>
      </c>
      <c r="D6227" s="1" t="s">
        <v>320</v>
      </c>
      <c r="E6227" s="1" t="s">
        <v>1154</v>
      </c>
    </row>
    <row r="6228" spans="1:5" x14ac:dyDescent="0.2">
      <c r="A6228" s="1" t="s">
        <v>212</v>
      </c>
      <c r="B6228" s="1" t="s">
        <v>60</v>
      </c>
      <c r="C6228" s="5">
        <f>DATE(2024, 10, 3) + TIME(8, 34, 4)</f>
        <v>45568.356990740744</v>
      </c>
      <c r="D6228" s="1" t="s">
        <v>320</v>
      </c>
      <c r="E6228" s="1" t="s">
        <v>683</v>
      </c>
    </row>
    <row r="6229" spans="1:5" x14ac:dyDescent="0.2">
      <c r="A6229" s="1" t="s">
        <v>212</v>
      </c>
      <c r="B6229" s="1" t="s">
        <v>60</v>
      </c>
      <c r="C6229" s="5">
        <f>DATE(2024, 10, 2) + TIME(12, 44, 37)</f>
        <v>45567.5309837963</v>
      </c>
      <c r="D6229" s="1" t="s">
        <v>450</v>
      </c>
      <c r="E6229" s="1" t="s">
        <v>1169</v>
      </c>
    </row>
    <row r="6230" spans="1:5" x14ac:dyDescent="0.2">
      <c r="A6230" s="1" t="s">
        <v>212</v>
      </c>
      <c r="B6230" s="1" t="s">
        <v>678</v>
      </c>
      <c r="C6230" s="5">
        <f>DATE(2024, 10, 2) + TIME(8, 47, 15)</f>
        <v>45567.36614583333</v>
      </c>
      <c r="D6230" s="1" t="s">
        <v>921</v>
      </c>
      <c r="E6230" s="1" t="s">
        <v>232</v>
      </c>
    </row>
    <row r="6231" spans="1:5" x14ac:dyDescent="0.2">
      <c r="A6231" s="1" t="s">
        <v>212</v>
      </c>
      <c r="B6231" s="1" t="s">
        <v>60</v>
      </c>
      <c r="C6231" s="5">
        <f>DATE(2024, 10, 1) + TIME(11, 16, 47)</f>
        <v>45566.469988425924</v>
      </c>
      <c r="D6231" s="1" t="s">
        <v>216</v>
      </c>
      <c r="E6231" s="1" t="s">
        <v>1170</v>
      </c>
    </row>
    <row r="6232" spans="1:5" x14ac:dyDescent="0.2">
      <c r="A6232" s="1" t="s">
        <v>212</v>
      </c>
      <c r="B6232" s="1" t="s">
        <v>817</v>
      </c>
      <c r="C6232" s="5">
        <f>DATE(2024, 9, 30) + TIME(14, 33, 56)</f>
        <v>45565.606898148151</v>
      </c>
      <c r="D6232" s="1" t="s">
        <v>506</v>
      </c>
      <c r="E6232" s="1" t="s">
        <v>697</v>
      </c>
    </row>
    <row r="6233" spans="1:5" x14ac:dyDescent="0.2">
      <c r="A6233" s="1" t="s">
        <v>212</v>
      </c>
      <c r="B6233" s="1" t="s">
        <v>69</v>
      </c>
      <c r="C6233" s="5">
        <f>DATE(2024, 9, 30) + TIME(13, 33, 52)</f>
        <v>45565.565185185187</v>
      </c>
      <c r="D6233" s="1" t="s">
        <v>65</v>
      </c>
      <c r="E6233" s="1" t="s">
        <v>219</v>
      </c>
    </row>
    <row r="6234" spans="1:5" x14ac:dyDescent="0.2">
      <c r="A6234" s="1" t="s">
        <v>212</v>
      </c>
      <c r="B6234" s="1" t="s">
        <v>664</v>
      </c>
      <c r="C6234" s="5">
        <f>DATE(2024, 9, 26) + TIME(7, 26, 26)</f>
        <v>45561.310023148151</v>
      </c>
      <c r="D6234" s="1" t="s">
        <v>269</v>
      </c>
      <c r="E6234" s="1" t="s">
        <v>461</v>
      </c>
    </row>
    <row r="6235" spans="1:5" x14ac:dyDescent="0.2">
      <c r="A6235" s="1" t="s">
        <v>212</v>
      </c>
      <c r="B6235" s="1" t="s">
        <v>60</v>
      </c>
      <c r="C6235" s="5">
        <f>DATE(2024, 9, 25) + TIME(12, 32, 42)</f>
        <v>45560.52270833333</v>
      </c>
      <c r="D6235" s="1" t="s">
        <v>459</v>
      </c>
      <c r="E6235" s="1" t="s">
        <v>777</v>
      </c>
    </row>
    <row r="6236" spans="1:5" x14ac:dyDescent="0.2">
      <c r="A6236" s="1" t="s">
        <v>212</v>
      </c>
      <c r="B6236" s="1" t="s">
        <v>69</v>
      </c>
      <c r="C6236" s="5">
        <f>DATE(2024, 9, 23) + TIME(14, 22, 13)</f>
        <v>45558.598761574074</v>
      </c>
      <c r="D6236" s="1" t="s">
        <v>65</v>
      </c>
      <c r="E6236" s="1" t="s">
        <v>219</v>
      </c>
    </row>
    <row r="6237" spans="1:5" x14ac:dyDescent="0.2">
      <c r="A6237" s="1" t="s">
        <v>212</v>
      </c>
      <c r="B6237" s="1" t="s">
        <v>354</v>
      </c>
      <c r="C6237" s="5">
        <f>DATE(2024, 9, 19) + TIME(12, 1, 11)</f>
        <v>45554.500821759262</v>
      </c>
      <c r="D6237" s="1" t="s">
        <v>506</v>
      </c>
      <c r="E6237" s="1" t="s">
        <v>709</v>
      </c>
    </row>
    <row r="6238" spans="1:5" x14ac:dyDescent="0.2">
      <c r="A6238" s="1" t="s">
        <v>212</v>
      </c>
      <c r="B6238" s="1" t="s">
        <v>163</v>
      </c>
      <c r="C6238" s="5">
        <f>DATE(2024, 9, 19) + TIME(10, 28, 15)</f>
        <v>45554.436284722222</v>
      </c>
      <c r="D6238" s="1" t="s">
        <v>638</v>
      </c>
      <c r="E6238" s="1" t="s">
        <v>172</v>
      </c>
    </row>
    <row r="6239" spans="1:5" x14ac:dyDescent="0.2">
      <c r="A6239" s="1" t="s">
        <v>212</v>
      </c>
      <c r="B6239" s="1" t="s">
        <v>42</v>
      </c>
      <c r="C6239" s="5">
        <f>DATE(2024, 9, 18) + TIME(13, 34, 30)</f>
        <v>45553.565625000003</v>
      </c>
      <c r="D6239" s="1" t="s">
        <v>750</v>
      </c>
      <c r="E6239" s="1" t="s">
        <v>158</v>
      </c>
    </row>
    <row r="6240" spans="1:5" x14ac:dyDescent="0.2">
      <c r="A6240" s="1" t="s">
        <v>212</v>
      </c>
      <c r="B6240" s="1" t="s">
        <v>215</v>
      </c>
      <c r="C6240" s="5">
        <f>DATE(2024, 9, 16) + TIME(13, 25, 4)</f>
        <v>45551.559074074074</v>
      </c>
      <c r="D6240" s="1" t="s">
        <v>255</v>
      </c>
      <c r="E6240" s="1" t="s">
        <v>510</v>
      </c>
    </row>
    <row r="6241" spans="1:5" x14ac:dyDescent="0.2">
      <c r="A6241" s="1" t="s">
        <v>212</v>
      </c>
      <c r="B6241" s="1" t="s">
        <v>60</v>
      </c>
      <c r="C6241" s="5">
        <f>DATE(2024, 9, 11) + TIME(13, 59, 54)</f>
        <v>45546.58326388889</v>
      </c>
      <c r="D6241" s="1" t="s">
        <v>640</v>
      </c>
      <c r="E6241" s="1" t="s">
        <v>975</v>
      </c>
    </row>
    <row r="6242" spans="1:5" x14ac:dyDescent="0.2">
      <c r="A6242" s="1" t="s">
        <v>212</v>
      </c>
      <c r="B6242" s="1" t="s">
        <v>229</v>
      </c>
      <c r="C6242" s="5">
        <f>DATE(2024, 9, 9) + TIME(15, 0, 30)</f>
        <v>45544.625347222223</v>
      </c>
      <c r="D6242" s="1" t="s">
        <v>750</v>
      </c>
      <c r="E6242" s="1" t="s">
        <v>359</v>
      </c>
    </row>
    <row r="6243" spans="1:5" x14ac:dyDescent="0.2">
      <c r="A6243" s="1" t="s">
        <v>212</v>
      </c>
      <c r="B6243" s="1" t="s">
        <v>60</v>
      </c>
      <c r="C6243" s="5">
        <f>DATE(2024, 9, 9) + TIME(11, 17, 56)</f>
        <v>45544.47078703704</v>
      </c>
      <c r="D6243" s="1" t="s">
        <v>65</v>
      </c>
      <c r="E6243" s="1" t="s">
        <v>1190</v>
      </c>
    </row>
    <row r="6244" spans="1:5" x14ac:dyDescent="0.2">
      <c r="A6244" s="1" t="s">
        <v>212</v>
      </c>
      <c r="B6244" s="1" t="s">
        <v>60</v>
      </c>
      <c r="C6244" s="5">
        <f>DATE(2024, 9, 9) + TIME(9, 53, 7)</f>
        <v>45544.411886574075</v>
      </c>
      <c r="D6244" s="1" t="s">
        <v>5</v>
      </c>
      <c r="E6244" s="1" t="s">
        <v>405</v>
      </c>
    </row>
    <row r="6245" spans="1:5" x14ac:dyDescent="0.2">
      <c r="A6245" s="1" t="s">
        <v>212</v>
      </c>
      <c r="B6245" s="1" t="s">
        <v>141</v>
      </c>
      <c r="C6245" s="5">
        <f>DATE(2024, 9, 5) + TIME(12, 24, 23)</f>
        <v>45540.516932870371</v>
      </c>
      <c r="D6245" s="1" t="s">
        <v>450</v>
      </c>
      <c r="E6245" s="1" t="s">
        <v>1194</v>
      </c>
    </row>
    <row r="6246" spans="1:5" x14ac:dyDescent="0.2">
      <c r="A6246" s="1" t="s">
        <v>212</v>
      </c>
      <c r="B6246" s="1" t="s">
        <v>1196</v>
      </c>
      <c r="C6246" s="5">
        <f>DATE(2024, 9, 5) + TIME(10, 4, 23)</f>
        <v>45540.419710648152</v>
      </c>
      <c r="D6246" s="1" t="s">
        <v>65</v>
      </c>
      <c r="E6246" s="1" t="s">
        <v>615</v>
      </c>
    </row>
    <row r="6247" spans="1:5" x14ac:dyDescent="0.2">
      <c r="A6247" s="1" t="s">
        <v>212</v>
      </c>
      <c r="B6247" s="1" t="s">
        <v>354</v>
      </c>
      <c r="C6247" s="5">
        <f>DATE(2024, 9, 5) + TIME(8, 53, 41)</f>
        <v>45540.370613425926</v>
      </c>
      <c r="D6247" s="1" t="s">
        <v>320</v>
      </c>
      <c r="E6247" s="1" t="s">
        <v>521</v>
      </c>
    </row>
    <row r="6248" spans="1:5" x14ac:dyDescent="0.2">
      <c r="A6248" s="1" t="s">
        <v>212</v>
      </c>
      <c r="B6248" s="1" t="s">
        <v>436</v>
      </c>
      <c r="C6248" s="5">
        <f>DATE(2024, 9, 4) + TIME(15, 17, 55)</f>
        <v>45539.637442129628</v>
      </c>
      <c r="D6248" s="1" t="s">
        <v>506</v>
      </c>
      <c r="E6248" s="1" t="s">
        <v>875</v>
      </c>
    </row>
    <row r="6249" spans="1:5" x14ac:dyDescent="0.2">
      <c r="A6249" s="1" t="s">
        <v>212</v>
      </c>
      <c r="B6249" s="1" t="s">
        <v>128</v>
      </c>
      <c r="C6249" s="5">
        <f>DATE(2024, 8, 29) + TIME(15, 35, 11)</f>
        <v>45533.64943287037</v>
      </c>
      <c r="D6249" s="1" t="s">
        <v>863</v>
      </c>
      <c r="E6249" s="1" t="s">
        <v>711</v>
      </c>
    </row>
    <row r="6250" spans="1:5" x14ac:dyDescent="0.2">
      <c r="A6250" s="1" t="s">
        <v>212</v>
      </c>
      <c r="B6250" s="1" t="s">
        <v>866</v>
      </c>
      <c r="C6250" s="5">
        <f>DATE(2024, 8, 29) + TIME(15, 30, 2)</f>
        <v>45533.645856481482</v>
      </c>
      <c r="D6250" s="1" t="s">
        <v>320</v>
      </c>
      <c r="E6250" s="1" t="s">
        <v>845</v>
      </c>
    </row>
    <row r="6251" spans="1:5" x14ac:dyDescent="0.2">
      <c r="A6251" s="1" t="s">
        <v>212</v>
      </c>
      <c r="B6251" s="1" t="s">
        <v>664</v>
      </c>
      <c r="C6251" s="5">
        <f>DATE(2024, 8, 29) + TIME(15, 30, 2)</f>
        <v>45533.645856481482</v>
      </c>
      <c r="D6251" s="1" t="s">
        <v>320</v>
      </c>
      <c r="E6251" s="1" t="s">
        <v>845</v>
      </c>
    </row>
    <row r="6252" spans="1:5" x14ac:dyDescent="0.2">
      <c r="A6252" s="1" t="s">
        <v>212</v>
      </c>
      <c r="B6252" s="1" t="s">
        <v>664</v>
      </c>
      <c r="C6252" s="5">
        <f>DATE(2024, 8, 29) + TIME(12, 32, 47)</f>
        <v>45533.522766203707</v>
      </c>
      <c r="D6252" s="1" t="s">
        <v>863</v>
      </c>
      <c r="E6252" s="1" t="s">
        <v>80</v>
      </c>
    </row>
    <row r="6253" spans="1:5" x14ac:dyDescent="0.2">
      <c r="A6253" s="1" t="s">
        <v>212</v>
      </c>
      <c r="B6253" s="1" t="s">
        <v>323</v>
      </c>
      <c r="C6253" s="5">
        <f>DATE(2024, 8, 29) + TIME(12, 22, 10)</f>
        <v>45533.515393518515</v>
      </c>
      <c r="D6253" s="1" t="s">
        <v>566</v>
      </c>
      <c r="E6253" s="1" t="s">
        <v>71</v>
      </c>
    </row>
    <row r="6254" spans="1:5" x14ac:dyDescent="0.2">
      <c r="A6254" s="1" t="s">
        <v>212</v>
      </c>
      <c r="B6254" s="1" t="s">
        <v>905</v>
      </c>
      <c r="C6254" s="5">
        <f>DATE(2024, 8, 28) + TIME(15, 33, 45)</f>
        <v>45532.6484375</v>
      </c>
      <c r="D6254" s="1" t="s">
        <v>506</v>
      </c>
      <c r="E6254" s="1" t="s">
        <v>1049</v>
      </c>
    </row>
    <row r="6255" spans="1:5" x14ac:dyDescent="0.2">
      <c r="A6255" s="1" t="s">
        <v>212</v>
      </c>
      <c r="B6255" s="1" t="s">
        <v>927</v>
      </c>
      <c r="C6255" s="5">
        <f>DATE(2024, 8, 27) + TIME(11, 32, 43)</f>
        <v>45531.481053240743</v>
      </c>
      <c r="D6255" s="1" t="s">
        <v>65</v>
      </c>
      <c r="E6255" s="1" t="s">
        <v>758</v>
      </c>
    </row>
    <row r="6256" spans="1:5" x14ac:dyDescent="0.2">
      <c r="A6256" s="1" t="s">
        <v>212</v>
      </c>
      <c r="B6256" s="1" t="s">
        <v>866</v>
      </c>
      <c r="C6256" s="5">
        <f>DATE(2024, 8, 27) + TIME(8, 49, 2)</f>
        <v>45531.367384259262</v>
      </c>
      <c r="D6256" s="1" t="s">
        <v>65</v>
      </c>
      <c r="E6256" s="1" t="s">
        <v>152</v>
      </c>
    </row>
    <row r="6257" spans="1:5" x14ac:dyDescent="0.2">
      <c r="A6257" s="1" t="s">
        <v>212</v>
      </c>
      <c r="B6257" s="1" t="s">
        <v>436</v>
      </c>
      <c r="C6257" s="5">
        <f>DATE(2024, 8, 22) + TIME(15, 30, 46)</f>
        <v>45526.646365740744</v>
      </c>
      <c r="D6257" s="1" t="s">
        <v>255</v>
      </c>
      <c r="E6257" s="1" t="s">
        <v>709</v>
      </c>
    </row>
    <row r="6258" spans="1:5" x14ac:dyDescent="0.2">
      <c r="A6258" s="1" t="s">
        <v>212</v>
      </c>
      <c r="B6258" s="1" t="s">
        <v>664</v>
      </c>
      <c r="C6258" s="5">
        <f>DATE(2024, 8, 22) + TIME(14, 7, 22)</f>
        <v>45526.588449074072</v>
      </c>
      <c r="D6258" s="1" t="s">
        <v>398</v>
      </c>
      <c r="E6258" s="1" t="s">
        <v>854</v>
      </c>
    </row>
    <row r="6259" spans="1:5" x14ac:dyDescent="0.2">
      <c r="A6259" s="1" t="s">
        <v>212</v>
      </c>
      <c r="B6259" s="1" t="s">
        <v>60</v>
      </c>
      <c r="C6259" s="5">
        <f>DATE(2024, 8, 21) + TIME(8, 13, 28)</f>
        <v>45525.342685185184</v>
      </c>
      <c r="D6259" s="1" t="s">
        <v>65</v>
      </c>
      <c r="E6259" s="1" t="s">
        <v>949</v>
      </c>
    </row>
    <row r="6260" spans="1:5" x14ac:dyDescent="0.2">
      <c r="A6260" s="1" t="s">
        <v>212</v>
      </c>
      <c r="B6260" s="1" t="s">
        <v>60</v>
      </c>
      <c r="C6260" s="5">
        <f>DATE(2024, 8, 20) + TIME(15, 41, 1)</f>
        <v>45524.653483796297</v>
      </c>
      <c r="D6260" s="1" t="s">
        <v>398</v>
      </c>
      <c r="E6260" s="1" t="s">
        <v>895</v>
      </c>
    </row>
    <row r="6261" spans="1:5" x14ac:dyDescent="0.2">
      <c r="A6261" s="1" t="s">
        <v>212</v>
      </c>
      <c r="B6261" s="1" t="s">
        <v>866</v>
      </c>
      <c r="C6261" s="5">
        <f>DATE(2024, 8, 20) + TIME(14, 42, 2)</f>
        <v>45524.612523148149</v>
      </c>
      <c r="D6261" s="1" t="s">
        <v>65</v>
      </c>
      <c r="E6261" s="1" t="s">
        <v>555</v>
      </c>
    </row>
    <row r="6262" spans="1:5" x14ac:dyDescent="0.2">
      <c r="A6262" s="1" t="s">
        <v>212</v>
      </c>
      <c r="B6262" s="1" t="s">
        <v>1216</v>
      </c>
      <c r="C6262" s="5">
        <f>DATE(2024, 8, 15) + TIME(15, 19, 27)</f>
        <v>45519.638506944444</v>
      </c>
      <c r="D6262" s="1" t="s">
        <v>467</v>
      </c>
      <c r="E6262" s="1" t="s">
        <v>1178</v>
      </c>
    </row>
    <row r="6263" spans="1:5" x14ac:dyDescent="0.2">
      <c r="A6263" s="1" t="s">
        <v>212</v>
      </c>
      <c r="B6263" s="1" t="s">
        <v>866</v>
      </c>
      <c r="C6263" s="5">
        <f>DATE(2024, 8, 14) + TIME(14, 8, 25)</f>
        <v>45518.589178240742</v>
      </c>
      <c r="D6263" s="1" t="s">
        <v>65</v>
      </c>
      <c r="E6263" s="1" t="s">
        <v>918</v>
      </c>
    </row>
    <row r="6264" spans="1:5" x14ac:dyDescent="0.2">
      <c r="A6264" s="1" t="s">
        <v>212</v>
      </c>
      <c r="B6264" s="1" t="s">
        <v>866</v>
      </c>
      <c r="C6264" s="5">
        <f>DATE(2024, 8, 14) + TIME(14, 7, 57)</f>
        <v>45518.588854166665</v>
      </c>
      <c r="D6264" s="1" t="s">
        <v>65</v>
      </c>
      <c r="E6264" s="1" t="s">
        <v>432</v>
      </c>
    </row>
    <row r="6265" spans="1:5" x14ac:dyDescent="0.2">
      <c r="A6265" s="1" t="s">
        <v>212</v>
      </c>
      <c r="B6265" s="1" t="s">
        <v>60</v>
      </c>
      <c r="C6265" s="5">
        <f>DATE(2024, 8, 14) + TIME(10, 7, 31)</f>
        <v>45518.421886574077</v>
      </c>
      <c r="D6265" s="1" t="s">
        <v>506</v>
      </c>
      <c r="E6265" s="1" t="s">
        <v>353</v>
      </c>
    </row>
    <row r="6266" spans="1:5" x14ac:dyDescent="0.2">
      <c r="A6266" s="1" t="s">
        <v>212</v>
      </c>
      <c r="B6266" s="1" t="s">
        <v>866</v>
      </c>
      <c r="C6266" s="5">
        <f>DATE(2024, 8, 13) + TIME(14, 22, 59)</f>
        <v>45517.599293981482</v>
      </c>
      <c r="D6266" s="1" t="s">
        <v>65</v>
      </c>
      <c r="E6266" s="1" t="s">
        <v>329</v>
      </c>
    </row>
    <row r="6267" spans="1:5" x14ac:dyDescent="0.2">
      <c r="A6267" s="1" t="s">
        <v>212</v>
      </c>
      <c r="B6267" s="1" t="s">
        <v>866</v>
      </c>
      <c r="C6267" s="5">
        <f>DATE(2024, 8, 13) + TIME(14, 22, 14)</f>
        <v>45517.598773148151</v>
      </c>
      <c r="D6267" s="1" t="s">
        <v>65</v>
      </c>
      <c r="E6267" s="1" t="s">
        <v>103</v>
      </c>
    </row>
    <row r="6268" spans="1:5" x14ac:dyDescent="0.2">
      <c r="A6268" s="1" t="s">
        <v>212</v>
      </c>
      <c r="B6268" s="1" t="s">
        <v>866</v>
      </c>
      <c r="C6268" s="5">
        <f>DATE(2024, 8, 13) + TIME(14, 21, 44)</f>
        <v>45517.598425925928</v>
      </c>
      <c r="D6268" s="1" t="s">
        <v>65</v>
      </c>
      <c r="E6268" s="1" t="s">
        <v>555</v>
      </c>
    </row>
    <row r="6269" spans="1:5" x14ac:dyDescent="0.2">
      <c r="A6269" s="1" t="s">
        <v>212</v>
      </c>
      <c r="B6269" s="1" t="s">
        <v>866</v>
      </c>
      <c r="C6269" s="5">
        <f>DATE(2024, 8, 13) + TIME(14, 21, 16)</f>
        <v>45517.598101851851</v>
      </c>
      <c r="D6269" s="1" t="s">
        <v>65</v>
      </c>
      <c r="E6269" s="1" t="s">
        <v>400</v>
      </c>
    </row>
    <row r="6270" spans="1:5" x14ac:dyDescent="0.2">
      <c r="A6270" s="1" t="s">
        <v>212</v>
      </c>
      <c r="B6270" s="1" t="s">
        <v>866</v>
      </c>
      <c r="C6270" s="5">
        <f>DATE(2024, 8, 13) + TIME(14, 20, 45)</f>
        <v>45517.597743055558</v>
      </c>
      <c r="D6270" s="1" t="s">
        <v>65</v>
      </c>
      <c r="E6270" s="1" t="s">
        <v>758</v>
      </c>
    </row>
    <row r="6271" spans="1:5" x14ac:dyDescent="0.2">
      <c r="A6271" s="1" t="s">
        <v>212</v>
      </c>
      <c r="B6271" s="1" t="s">
        <v>1223</v>
      </c>
      <c r="C6271" s="5">
        <f>DATE(2024, 8, 8) + TIME(10, 0, 54)</f>
        <v>45512.417291666665</v>
      </c>
      <c r="D6271" s="1" t="s">
        <v>65</v>
      </c>
      <c r="E6271" s="1" t="s">
        <v>615</v>
      </c>
    </row>
    <row r="6272" spans="1:5" x14ac:dyDescent="0.2">
      <c r="A6272" s="1" t="s">
        <v>212</v>
      </c>
      <c r="B6272" s="1" t="s">
        <v>294</v>
      </c>
      <c r="C6272" s="5">
        <f>DATE(2024, 8, 6) + TIME(9, 6, 58)</f>
        <v>45510.379837962966</v>
      </c>
      <c r="D6272" s="1" t="s">
        <v>65</v>
      </c>
      <c r="E6272" s="1" t="s">
        <v>152</v>
      </c>
    </row>
    <row r="6273" spans="1:5" x14ac:dyDescent="0.2">
      <c r="A6273" s="1" t="s">
        <v>212</v>
      </c>
      <c r="B6273" s="1" t="s">
        <v>215</v>
      </c>
      <c r="C6273" s="5">
        <f>DATE(2024, 8, 5) + TIME(13, 28, 50)</f>
        <v>45509.561689814815</v>
      </c>
      <c r="D6273" s="1" t="s">
        <v>506</v>
      </c>
      <c r="E6273" s="1" t="s">
        <v>510</v>
      </c>
    </row>
    <row r="6274" spans="1:5" x14ac:dyDescent="0.2">
      <c r="A6274" s="1" t="s">
        <v>212</v>
      </c>
      <c r="B6274" s="1" t="s">
        <v>163</v>
      </c>
      <c r="C6274" s="5">
        <f>DATE(2024, 8, 1) + TIME(14, 11, 34)</f>
        <v>45505.591365740744</v>
      </c>
      <c r="D6274" s="1" t="s">
        <v>506</v>
      </c>
      <c r="E6274" s="1" t="s">
        <v>867</v>
      </c>
    </row>
    <row r="6275" spans="1:5" x14ac:dyDescent="0.2">
      <c r="A6275" s="1" t="s">
        <v>212</v>
      </c>
      <c r="B6275" s="1" t="s">
        <v>436</v>
      </c>
      <c r="C6275" s="5">
        <f>DATE(2024, 8, 1) + TIME(14, 11, 34)</f>
        <v>45505.591365740744</v>
      </c>
      <c r="D6275" s="1" t="s">
        <v>506</v>
      </c>
      <c r="E6275" s="1" t="s">
        <v>867</v>
      </c>
    </row>
    <row r="6276" spans="1:5" x14ac:dyDescent="0.2">
      <c r="A6276" s="1" t="s">
        <v>212</v>
      </c>
      <c r="B6276" s="1" t="s">
        <v>1227</v>
      </c>
      <c r="C6276" s="5">
        <f>DATE(2024, 8, 1) + TIME(14, 11, 34)</f>
        <v>45505.591365740744</v>
      </c>
      <c r="D6276" s="1" t="s">
        <v>506</v>
      </c>
      <c r="E6276" s="1" t="s">
        <v>867</v>
      </c>
    </row>
    <row r="6277" spans="1:5" x14ac:dyDescent="0.2">
      <c r="A6277" s="1" t="s">
        <v>212</v>
      </c>
      <c r="B6277" s="1" t="s">
        <v>969</v>
      </c>
      <c r="C6277" s="5">
        <f>DATE(2024, 8, 1) + TIME(14, 11, 33)</f>
        <v>45505.591354166667</v>
      </c>
      <c r="D6277" s="1" t="s">
        <v>506</v>
      </c>
      <c r="E6277" s="1" t="s">
        <v>867</v>
      </c>
    </row>
    <row r="6278" spans="1:5" x14ac:dyDescent="0.2">
      <c r="A6278" s="1" t="s">
        <v>212</v>
      </c>
      <c r="B6278" s="1" t="s">
        <v>664</v>
      </c>
      <c r="C6278" s="5">
        <f>DATE(2024, 8, 1) + TIME(9, 36, 17)</f>
        <v>45505.400196759256</v>
      </c>
      <c r="D6278" s="1" t="s">
        <v>638</v>
      </c>
      <c r="E6278" s="1" t="s">
        <v>172</v>
      </c>
    </row>
    <row r="6279" spans="1:5" x14ac:dyDescent="0.2">
      <c r="A6279" s="1" t="s">
        <v>212</v>
      </c>
      <c r="B6279" s="1" t="s">
        <v>60</v>
      </c>
      <c r="C6279" s="5">
        <f>DATE(2024, 8, 1) + TIME(9, 11, 33)</f>
        <v>45505.383020833331</v>
      </c>
      <c r="D6279" s="1" t="s">
        <v>459</v>
      </c>
      <c r="E6279" s="1" t="s">
        <v>574</v>
      </c>
    </row>
    <row r="6280" spans="1:5" x14ac:dyDescent="0.2">
      <c r="A6280" s="1" t="s">
        <v>212</v>
      </c>
      <c r="B6280" s="1" t="s">
        <v>564</v>
      </c>
      <c r="C6280" s="5">
        <f>DATE(2024, 8, 1) + TIME(9, 11, 32)</f>
        <v>45505.383009259262</v>
      </c>
      <c r="D6280" s="1" t="s">
        <v>459</v>
      </c>
      <c r="E6280" s="1" t="s">
        <v>574</v>
      </c>
    </row>
    <row r="6281" spans="1:5" x14ac:dyDescent="0.2">
      <c r="A6281" s="1" t="s">
        <v>212</v>
      </c>
      <c r="B6281" s="1" t="s">
        <v>713</v>
      </c>
      <c r="C6281" s="5">
        <f>DATE(2024, 8, 1) + TIME(8, 20, 4)</f>
        <v>45505.347268518519</v>
      </c>
      <c r="D6281" s="1" t="s">
        <v>65</v>
      </c>
      <c r="E6281" s="1" t="s">
        <v>615</v>
      </c>
    </row>
    <row r="6282" spans="1:5" x14ac:dyDescent="0.2">
      <c r="A6282" s="1" t="s">
        <v>212</v>
      </c>
      <c r="B6282" s="1" t="s">
        <v>323</v>
      </c>
      <c r="C6282" s="5">
        <f>DATE(2024, 7, 30) + TIME(15, 17, 34)</f>
        <v>45503.637199074074</v>
      </c>
      <c r="D6282" s="1" t="s">
        <v>65</v>
      </c>
      <c r="E6282" s="1" t="s">
        <v>379</v>
      </c>
    </row>
    <row r="6283" spans="1:5" x14ac:dyDescent="0.2">
      <c r="A6283" s="1" t="s">
        <v>212</v>
      </c>
      <c r="B6283" s="1" t="s">
        <v>69</v>
      </c>
      <c r="C6283" s="5">
        <f>DATE(2024, 7, 30) + TIME(15, 17, 34)</f>
        <v>45503.637199074074</v>
      </c>
      <c r="D6283" s="1" t="s">
        <v>65</v>
      </c>
      <c r="E6283" s="1" t="s">
        <v>379</v>
      </c>
    </row>
    <row r="6284" spans="1:5" x14ac:dyDescent="0.2">
      <c r="A6284" s="1" t="s">
        <v>212</v>
      </c>
      <c r="B6284" s="1" t="s">
        <v>323</v>
      </c>
      <c r="C6284" s="5">
        <f>DATE(2024, 7, 30) + TIME(15, 17, 33)</f>
        <v>45503.637187499997</v>
      </c>
      <c r="D6284" s="1" t="s">
        <v>65</v>
      </c>
      <c r="E6284" s="1" t="s">
        <v>379</v>
      </c>
    </row>
    <row r="6285" spans="1:5" x14ac:dyDescent="0.2">
      <c r="A6285" s="1" t="s">
        <v>212</v>
      </c>
      <c r="B6285" s="1" t="s">
        <v>60</v>
      </c>
      <c r="C6285" s="5">
        <f>DATE(2024, 7, 29) + TIME(13, 28, 28)</f>
        <v>45502.561435185184</v>
      </c>
      <c r="D6285" s="1" t="s">
        <v>506</v>
      </c>
      <c r="E6285" s="1" t="s">
        <v>811</v>
      </c>
    </row>
    <row r="6286" spans="1:5" x14ac:dyDescent="0.2">
      <c r="A6286" s="1" t="s">
        <v>212</v>
      </c>
      <c r="B6286" s="1" t="s">
        <v>1230</v>
      </c>
      <c r="C6286" s="5">
        <f>DATE(2024, 7, 29) + TIME(12, 57, 49)</f>
        <v>45502.540150462963</v>
      </c>
      <c r="D6286" s="1" t="s">
        <v>65</v>
      </c>
      <c r="E6286" s="1" t="s">
        <v>20</v>
      </c>
    </row>
    <row r="6287" spans="1:5" x14ac:dyDescent="0.2">
      <c r="A6287" s="1" t="s">
        <v>212</v>
      </c>
      <c r="B6287" s="1" t="s">
        <v>141</v>
      </c>
      <c r="C6287" s="5">
        <f>DATE(2024, 7, 25) + TIME(14, 32, 15)</f>
        <v>45498.605729166666</v>
      </c>
      <c r="D6287" s="1" t="s">
        <v>398</v>
      </c>
      <c r="E6287" s="1" t="s">
        <v>895</v>
      </c>
    </row>
    <row r="6288" spans="1:5" x14ac:dyDescent="0.2">
      <c r="A6288" s="1" t="s">
        <v>212</v>
      </c>
      <c r="B6288" s="1" t="s">
        <v>1231</v>
      </c>
      <c r="C6288" s="5">
        <f>DATE(2024, 7, 25) + TIME(14, 17, 21)</f>
        <v>45498.595381944448</v>
      </c>
      <c r="D6288" s="1" t="s">
        <v>65</v>
      </c>
      <c r="E6288" s="1" t="s">
        <v>615</v>
      </c>
    </row>
    <row r="6289" spans="1:5" x14ac:dyDescent="0.2">
      <c r="A6289" s="1" t="s">
        <v>212</v>
      </c>
      <c r="B6289" s="1" t="s">
        <v>866</v>
      </c>
      <c r="C6289" s="5">
        <f>DATE(2024, 7, 24) + TIME(21, 20, 9)</f>
        <v>45497.888993055552</v>
      </c>
      <c r="D6289" s="1" t="s">
        <v>459</v>
      </c>
      <c r="E6289" s="1" t="s">
        <v>164</v>
      </c>
    </row>
    <row r="6290" spans="1:5" x14ac:dyDescent="0.2">
      <c r="A6290" s="1" t="s">
        <v>212</v>
      </c>
      <c r="B6290" s="1" t="s">
        <v>866</v>
      </c>
      <c r="C6290" s="5">
        <f>DATE(2024, 7, 24) + TIME(14, 43, 58)</f>
        <v>45497.613865740743</v>
      </c>
      <c r="D6290" s="1" t="s">
        <v>640</v>
      </c>
      <c r="E6290" s="1" t="s">
        <v>426</v>
      </c>
    </row>
    <row r="6291" spans="1:5" x14ac:dyDescent="0.2">
      <c r="A6291" s="1" t="s">
        <v>212</v>
      </c>
      <c r="B6291" s="1" t="s">
        <v>866</v>
      </c>
      <c r="C6291" s="5">
        <f>DATE(2024, 7, 23) + TIME(9, 33, 17)</f>
        <v>45496.398113425923</v>
      </c>
      <c r="D6291" s="1" t="s">
        <v>320</v>
      </c>
      <c r="E6291" s="1" t="s">
        <v>115</v>
      </c>
    </row>
    <row r="6292" spans="1:5" x14ac:dyDescent="0.2">
      <c r="A6292" s="1" t="s">
        <v>212</v>
      </c>
      <c r="B6292" s="1" t="s">
        <v>678</v>
      </c>
      <c r="C6292" s="5">
        <f>DATE(2024, 7, 22) + TIME(15, 35, 56)</f>
        <v>45495.649953703702</v>
      </c>
      <c r="D6292" s="1" t="s">
        <v>320</v>
      </c>
      <c r="E6292" s="1" t="s">
        <v>332</v>
      </c>
    </row>
    <row r="6293" spans="1:5" x14ac:dyDescent="0.2">
      <c r="A6293" s="1" t="s">
        <v>212</v>
      </c>
      <c r="B6293" s="1" t="s">
        <v>963</v>
      </c>
      <c r="C6293" s="5">
        <f>DATE(2024, 7, 22) + TIME(15, 35, 56)</f>
        <v>45495.649953703702</v>
      </c>
      <c r="D6293" s="1" t="s">
        <v>320</v>
      </c>
      <c r="E6293" s="1" t="s">
        <v>332</v>
      </c>
    </row>
    <row r="6294" spans="1:5" x14ac:dyDescent="0.2">
      <c r="A6294" s="1" t="s">
        <v>212</v>
      </c>
      <c r="B6294" s="1" t="s">
        <v>60</v>
      </c>
      <c r="C6294" s="5">
        <f>DATE(2024, 7, 22) + TIME(15, 33, 5)</f>
        <v>45495.647974537038</v>
      </c>
      <c r="D6294" s="1" t="s">
        <v>65</v>
      </c>
      <c r="E6294" s="1" t="s">
        <v>103</v>
      </c>
    </row>
    <row r="6295" spans="1:5" x14ac:dyDescent="0.2">
      <c r="A6295" s="1" t="s">
        <v>212</v>
      </c>
      <c r="B6295" s="1" t="s">
        <v>866</v>
      </c>
      <c r="C6295" s="5">
        <f>DATE(2024, 7, 22) + TIME(9, 38, 57)</f>
        <v>45495.402048611111</v>
      </c>
      <c r="D6295" s="1" t="s">
        <v>1221</v>
      </c>
      <c r="E6295" s="1" t="s">
        <v>1046</v>
      </c>
    </row>
    <row r="6296" spans="1:5" x14ac:dyDescent="0.2">
      <c r="A6296" s="1" t="s">
        <v>212</v>
      </c>
      <c r="B6296" s="1" t="s">
        <v>713</v>
      </c>
      <c r="C6296" s="5">
        <f>DATE(2024, 7, 18) + TIME(12, 0, 10)</f>
        <v>45491.500115740739</v>
      </c>
      <c r="D6296" s="1" t="s">
        <v>65</v>
      </c>
      <c r="E6296" s="1" t="s">
        <v>615</v>
      </c>
    </row>
    <row r="6297" spans="1:5" x14ac:dyDescent="0.2">
      <c r="A6297" s="1" t="s">
        <v>212</v>
      </c>
      <c r="B6297" s="1" t="s">
        <v>866</v>
      </c>
      <c r="C6297" s="5">
        <f>DATE(2024, 7, 16) + TIME(12, 31, 55)</f>
        <v>45489.522164351853</v>
      </c>
      <c r="D6297" s="1" t="s">
        <v>269</v>
      </c>
      <c r="E6297" s="1" t="s">
        <v>189</v>
      </c>
    </row>
    <row r="6298" spans="1:5" x14ac:dyDescent="0.2">
      <c r="A6298" s="1" t="s">
        <v>212</v>
      </c>
      <c r="B6298" s="1" t="s">
        <v>69</v>
      </c>
      <c r="C6298" s="5">
        <f>DATE(2024, 7, 11) + TIME(16, 12, 0)</f>
        <v>45484.675000000003</v>
      </c>
      <c r="D6298" s="1" t="s">
        <v>269</v>
      </c>
      <c r="E6298" s="1" t="s">
        <v>511</v>
      </c>
    </row>
    <row r="6299" spans="1:5" x14ac:dyDescent="0.2">
      <c r="A6299" s="1" t="s">
        <v>212</v>
      </c>
      <c r="B6299" s="1" t="s">
        <v>215</v>
      </c>
      <c r="C6299" s="5">
        <f>DATE(2024, 7, 11) + TIME(13, 50, 4)</f>
        <v>45484.576435185183</v>
      </c>
      <c r="D6299" s="1" t="s">
        <v>506</v>
      </c>
      <c r="E6299" s="1" t="s">
        <v>510</v>
      </c>
    </row>
    <row r="6300" spans="1:5" x14ac:dyDescent="0.2">
      <c r="A6300" s="1" t="s">
        <v>212</v>
      </c>
      <c r="B6300" s="1" t="s">
        <v>713</v>
      </c>
      <c r="C6300" s="5">
        <f>DATE(2024, 7, 11) + TIME(13, 30, 11)</f>
        <v>45484.562627314815</v>
      </c>
      <c r="D6300" s="1" t="s">
        <v>65</v>
      </c>
      <c r="E6300" s="1" t="s">
        <v>615</v>
      </c>
    </row>
    <row r="6301" spans="1:5" x14ac:dyDescent="0.2">
      <c r="A6301" s="1" t="s">
        <v>212</v>
      </c>
      <c r="B6301" s="1" t="s">
        <v>60</v>
      </c>
      <c r="C6301" s="5">
        <f>DATE(2024, 7, 10) + TIME(14, 46, 9)</f>
        <v>45483.615381944444</v>
      </c>
      <c r="D6301" s="1" t="s">
        <v>731</v>
      </c>
      <c r="E6301" s="1" t="s">
        <v>1244</v>
      </c>
    </row>
    <row r="6302" spans="1:5" x14ac:dyDescent="0.2">
      <c r="A6302" s="1" t="s">
        <v>212</v>
      </c>
      <c r="B6302" s="1" t="s">
        <v>927</v>
      </c>
      <c r="C6302" s="5">
        <f>DATE(2024, 7, 8) + TIME(11, 48, 47)</f>
        <v>45481.492210648146</v>
      </c>
      <c r="D6302" s="1" t="s">
        <v>269</v>
      </c>
      <c r="E6302" s="1" t="s">
        <v>79</v>
      </c>
    </row>
    <row r="6303" spans="1:5" x14ac:dyDescent="0.2">
      <c r="A6303" s="1" t="s">
        <v>212</v>
      </c>
      <c r="B6303" s="1" t="s">
        <v>60</v>
      </c>
      <c r="C6303" s="5">
        <f>DATE(2024, 7, 3) + TIME(12, 57, 12)</f>
        <v>45476.539722222224</v>
      </c>
      <c r="D6303" s="1" t="s">
        <v>3</v>
      </c>
      <c r="E6303" s="1" t="s">
        <v>1246</v>
      </c>
    </row>
    <row r="6304" spans="1:5" x14ac:dyDescent="0.2">
      <c r="A6304" s="1" t="s">
        <v>212</v>
      </c>
      <c r="B6304" s="1" t="s">
        <v>69</v>
      </c>
      <c r="C6304" s="5">
        <f>DATE(2024, 7, 2) + TIME(15, 56, 4)</f>
        <v>45475.663935185185</v>
      </c>
      <c r="D6304" s="1" t="s">
        <v>731</v>
      </c>
      <c r="E6304" s="1" t="s">
        <v>379</v>
      </c>
    </row>
    <row r="6305" spans="1:5" x14ac:dyDescent="0.2">
      <c r="A6305" s="1" t="s">
        <v>212</v>
      </c>
      <c r="B6305" s="1" t="s">
        <v>644</v>
      </c>
      <c r="C6305" s="5">
        <f>DATE(2024, 7, 2) + TIME(12, 13, 12)</f>
        <v>45475.509166666663</v>
      </c>
      <c r="D6305" s="1" t="s">
        <v>506</v>
      </c>
      <c r="E6305" s="1" t="s">
        <v>819</v>
      </c>
    </row>
    <row r="6306" spans="1:5" x14ac:dyDescent="0.2">
      <c r="A6306" s="1" t="s">
        <v>212</v>
      </c>
      <c r="B6306" s="1" t="s">
        <v>644</v>
      </c>
      <c r="C6306" s="5">
        <f>DATE(2024, 7, 2) + TIME(12, 12, 44)</f>
        <v>45475.508842592593</v>
      </c>
      <c r="D6306" s="1" t="s">
        <v>506</v>
      </c>
      <c r="E6306" s="1" t="s">
        <v>509</v>
      </c>
    </row>
    <row r="6307" spans="1:5" x14ac:dyDescent="0.2">
      <c r="A6307" s="1" t="s">
        <v>212</v>
      </c>
      <c r="B6307" s="1" t="s">
        <v>60</v>
      </c>
      <c r="C6307" s="5">
        <f>DATE(2024, 7, 2) + TIME(12, 9, 55)</f>
        <v>45475.506886574076</v>
      </c>
      <c r="D6307" s="1" t="s">
        <v>1221</v>
      </c>
      <c r="E6307" s="1" t="s">
        <v>1249</v>
      </c>
    </row>
    <row r="6308" spans="1:5" x14ac:dyDescent="0.2">
      <c r="A6308" s="1" t="s">
        <v>212</v>
      </c>
      <c r="B6308" s="1" t="s">
        <v>591</v>
      </c>
      <c r="C6308" s="5">
        <f>DATE(2024, 7, 2) + TIME(11, 37, 41)</f>
        <v>45475.484502314815</v>
      </c>
      <c r="D6308" s="1" t="s">
        <v>731</v>
      </c>
      <c r="E6308" s="1" t="s">
        <v>916</v>
      </c>
    </row>
    <row r="6309" spans="1:5" x14ac:dyDescent="0.2">
      <c r="A6309" s="1" t="s">
        <v>212</v>
      </c>
      <c r="B6309" s="1" t="s">
        <v>323</v>
      </c>
      <c r="C6309" s="5">
        <f>DATE(2024, 6, 27) + TIME(15, 36, 5)</f>
        <v>45470.650057870371</v>
      </c>
      <c r="D6309" s="1" t="s">
        <v>3</v>
      </c>
      <c r="E6309" s="1" t="s">
        <v>481</v>
      </c>
    </row>
    <row r="6310" spans="1:5" x14ac:dyDescent="0.2">
      <c r="A6310" s="1" t="s">
        <v>212</v>
      </c>
      <c r="B6310" s="1" t="s">
        <v>866</v>
      </c>
      <c r="C6310" s="5">
        <f>DATE(2024, 6, 27) + TIME(11, 42, 0)</f>
        <v>45470.487500000003</v>
      </c>
      <c r="D6310" s="1" t="s">
        <v>750</v>
      </c>
      <c r="E6310" s="1" t="s">
        <v>80</v>
      </c>
    </row>
    <row r="6311" spans="1:5" x14ac:dyDescent="0.2">
      <c r="A6311" s="1" t="s">
        <v>212</v>
      </c>
      <c r="B6311" s="1" t="s">
        <v>866</v>
      </c>
      <c r="C6311" s="5">
        <f>DATE(2024, 6, 27) + TIME(10, 10, 6)</f>
        <v>45470.423680555556</v>
      </c>
      <c r="D6311" s="1" t="s">
        <v>638</v>
      </c>
      <c r="E6311" s="1" t="s">
        <v>172</v>
      </c>
    </row>
    <row r="6312" spans="1:5" x14ac:dyDescent="0.2">
      <c r="A6312" s="1" t="s">
        <v>212</v>
      </c>
      <c r="B6312" s="1" t="s">
        <v>644</v>
      </c>
      <c r="C6312" s="5">
        <f>DATE(2024, 6, 27) + TIME(10, 10, 6)</f>
        <v>45470.423680555556</v>
      </c>
      <c r="D6312" s="1" t="s">
        <v>638</v>
      </c>
      <c r="E6312" s="1" t="s">
        <v>172</v>
      </c>
    </row>
    <row r="6313" spans="1:5" x14ac:dyDescent="0.2">
      <c r="A6313" s="1" t="s">
        <v>212</v>
      </c>
      <c r="B6313" s="1" t="s">
        <v>564</v>
      </c>
      <c r="C6313" s="5">
        <f>DATE(2024, 6, 25) + TIME(14, 23, 35)</f>
        <v>45468.599710648145</v>
      </c>
      <c r="D6313" s="1" t="s">
        <v>459</v>
      </c>
      <c r="E6313" s="1" t="s">
        <v>522</v>
      </c>
    </row>
    <row r="6314" spans="1:5" x14ac:dyDescent="0.2">
      <c r="A6314" s="1" t="s">
        <v>212</v>
      </c>
      <c r="B6314" s="1" t="s">
        <v>1256</v>
      </c>
      <c r="C6314" s="5">
        <f>DATE(2024, 6, 25) + TIME(12, 57, 1)</f>
        <v>45468.539594907408</v>
      </c>
      <c r="D6314" s="1" t="s">
        <v>459</v>
      </c>
      <c r="E6314" s="1" t="s">
        <v>596</v>
      </c>
    </row>
    <row r="6315" spans="1:5" x14ac:dyDescent="0.2">
      <c r="A6315" s="1" t="s">
        <v>212</v>
      </c>
      <c r="B6315" s="1" t="s">
        <v>69</v>
      </c>
      <c r="C6315" s="5">
        <f>DATE(2024, 6, 25) + TIME(9, 30, 8)</f>
        <v>45468.395925925928</v>
      </c>
      <c r="D6315" s="1" t="s">
        <v>65</v>
      </c>
      <c r="E6315" s="1" t="s">
        <v>152</v>
      </c>
    </row>
    <row r="6316" spans="1:5" x14ac:dyDescent="0.2">
      <c r="A6316" s="1" t="s">
        <v>212</v>
      </c>
      <c r="B6316" s="1" t="s">
        <v>963</v>
      </c>
      <c r="C6316" s="5">
        <f>DATE(2024, 6, 20) + TIME(14, 5, 44)</f>
        <v>45463.587314814817</v>
      </c>
      <c r="D6316" s="1" t="s">
        <v>921</v>
      </c>
      <c r="E6316" s="1" t="s">
        <v>284</v>
      </c>
    </row>
    <row r="6317" spans="1:5" x14ac:dyDescent="0.2">
      <c r="A6317" s="1" t="s">
        <v>212</v>
      </c>
      <c r="B6317" s="1" t="s">
        <v>69</v>
      </c>
      <c r="C6317" s="5">
        <f>DATE(2024, 6, 20) + TIME(13, 48, 48)</f>
        <v>45463.575555555559</v>
      </c>
      <c r="D6317" s="1" t="s">
        <v>731</v>
      </c>
      <c r="E6317" s="1" t="s">
        <v>838</v>
      </c>
    </row>
    <row r="6318" spans="1:5" x14ac:dyDescent="0.2">
      <c r="A6318" s="1" t="s">
        <v>212</v>
      </c>
      <c r="B6318" s="1" t="s">
        <v>271</v>
      </c>
      <c r="C6318" s="5">
        <f>DATE(2024, 6, 20) + TIME(12, 13, 21)</f>
        <v>45463.509270833332</v>
      </c>
      <c r="D6318" s="1" t="s">
        <v>1221</v>
      </c>
      <c r="E6318" s="1" t="s">
        <v>570</v>
      </c>
    </row>
    <row r="6319" spans="1:5" x14ac:dyDescent="0.2">
      <c r="A6319" s="1" t="s">
        <v>212</v>
      </c>
      <c r="B6319" s="1" t="s">
        <v>323</v>
      </c>
      <c r="C6319" s="5">
        <f>DATE(2024, 6, 19) + TIME(13, 2, 45)</f>
        <v>45462.543576388889</v>
      </c>
      <c r="D6319" s="1" t="s">
        <v>398</v>
      </c>
      <c r="E6319" s="1" t="s">
        <v>895</v>
      </c>
    </row>
    <row r="6320" spans="1:5" x14ac:dyDescent="0.2">
      <c r="A6320" s="1" t="s">
        <v>212</v>
      </c>
      <c r="B6320" s="1" t="s">
        <v>60</v>
      </c>
      <c r="C6320" s="5">
        <f>DATE(2024, 6, 18) + TIME(13, 21, 59)</f>
        <v>45461.556932870371</v>
      </c>
      <c r="D6320" s="1" t="s">
        <v>459</v>
      </c>
      <c r="E6320" s="1" t="s">
        <v>1050</v>
      </c>
    </row>
    <row r="6321" spans="1:5" x14ac:dyDescent="0.2">
      <c r="A6321" s="1" t="s">
        <v>212</v>
      </c>
      <c r="B6321" s="1" t="s">
        <v>323</v>
      </c>
      <c r="C6321" s="5">
        <f>DATE(2024, 6, 17) + TIME(12, 14, 26)</f>
        <v>45460.510023148148</v>
      </c>
      <c r="D6321" s="1" t="s">
        <v>320</v>
      </c>
      <c r="E6321" s="1" t="s">
        <v>698</v>
      </c>
    </row>
    <row r="6322" spans="1:5" x14ac:dyDescent="0.2">
      <c r="A6322" s="1" t="s">
        <v>212</v>
      </c>
      <c r="B6322" s="1" t="s">
        <v>271</v>
      </c>
      <c r="C6322" s="5">
        <f>DATE(2024, 6, 13) + TIME(14, 17, 5)</f>
        <v>45456.595196759263</v>
      </c>
      <c r="D6322" s="1" t="s">
        <v>269</v>
      </c>
      <c r="E6322" s="1" t="s">
        <v>299</v>
      </c>
    </row>
    <row r="6323" spans="1:5" x14ac:dyDescent="0.2">
      <c r="A6323" s="1" t="s">
        <v>212</v>
      </c>
      <c r="B6323" s="1" t="s">
        <v>1269</v>
      </c>
      <c r="C6323" s="5">
        <f>DATE(2024, 6, 13) + TIME(11, 10, 59)</f>
        <v>45456.465960648151</v>
      </c>
      <c r="D6323" s="1" t="s">
        <v>506</v>
      </c>
      <c r="E6323" s="1" t="s">
        <v>867</v>
      </c>
    </row>
    <row r="6324" spans="1:5" x14ac:dyDescent="0.2">
      <c r="A6324" s="1" t="s">
        <v>212</v>
      </c>
      <c r="B6324" s="1" t="s">
        <v>1270</v>
      </c>
      <c r="C6324" s="5">
        <f>DATE(2024, 6, 13) + TIME(9, 57, 3)</f>
        <v>45456.414618055554</v>
      </c>
      <c r="D6324" s="1" t="s">
        <v>638</v>
      </c>
      <c r="E6324" s="1" t="s">
        <v>172</v>
      </c>
    </row>
    <row r="6325" spans="1:5" x14ac:dyDescent="0.2">
      <c r="A6325" s="1" t="s">
        <v>287</v>
      </c>
      <c r="B6325" s="1" t="s">
        <v>60</v>
      </c>
      <c r="C6325" s="5">
        <f>DATE(2026, 2, 2) + TIME(12, 38, 5)</f>
        <v>46055.526446759257</v>
      </c>
      <c r="D6325" s="1" t="s">
        <v>148</v>
      </c>
      <c r="E6325" s="1" t="s">
        <v>650</v>
      </c>
    </row>
    <row r="6326" spans="1:5" x14ac:dyDescent="0.2">
      <c r="A6326" s="1" t="s">
        <v>287</v>
      </c>
      <c r="B6326" s="1" t="s">
        <v>60</v>
      </c>
      <c r="C6326" s="5">
        <f>DATE(2026, 1, 22) + TIME(12, 39, 40)</f>
        <v>46044.527546296296</v>
      </c>
      <c r="D6326" s="1" t="s">
        <v>320</v>
      </c>
      <c r="E6326" s="1" t="s">
        <v>767</v>
      </c>
    </row>
    <row r="6327" spans="1:5" x14ac:dyDescent="0.2">
      <c r="A6327" s="1" t="s">
        <v>287</v>
      </c>
      <c r="B6327" s="1" t="s">
        <v>866</v>
      </c>
      <c r="C6327" s="5">
        <f>DATE(2026, 1, 15) + TIME(13, 3, 7)</f>
        <v>46037.54383101852</v>
      </c>
      <c r="D6327" s="1" t="s">
        <v>320</v>
      </c>
      <c r="E6327" s="1" t="s">
        <v>698</v>
      </c>
    </row>
    <row r="6328" spans="1:5" x14ac:dyDescent="0.2">
      <c r="A6328" s="1" t="s">
        <v>287</v>
      </c>
      <c r="B6328" s="1" t="s">
        <v>231</v>
      </c>
      <c r="C6328" s="5">
        <f>DATE(2025, 12, 9) + TIME(16, 12, 18)</f>
        <v>46000.675208333334</v>
      </c>
      <c r="D6328" s="1" t="s">
        <v>459</v>
      </c>
      <c r="E6328" s="1" t="s">
        <v>574</v>
      </c>
    </row>
    <row r="6329" spans="1:5" x14ac:dyDescent="0.2">
      <c r="A6329" s="1" t="s">
        <v>287</v>
      </c>
      <c r="B6329" s="1" t="s">
        <v>60</v>
      </c>
      <c r="C6329" s="5">
        <f>DATE(2025, 10, 1) + TIME(13, 25, 41)</f>
        <v>45931.559502314813</v>
      </c>
      <c r="D6329" s="1" t="s">
        <v>921</v>
      </c>
      <c r="E6329" s="1" t="s">
        <v>185</v>
      </c>
    </row>
    <row r="6330" spans="1:5" x14ac:dyDescent="0.2">
      <c r="A6330" s="1" t="s">
        <v>287</v>
      </c>
      <c r="B6330" s="1" t="s">
        <v>60</v>
      </c>
      <c r="C6330" s="5">
        <f>DATE(2025, 9, 24) + TIME(12, 3, 11)</f>
        <v>45924.502210648148</v>
      </c>
      <c r="D6330" s="1" t="s">
        <v>566</v>
      </c>
      <c r="E6330" s="1" t="s">
        <v>888</v>
      </c>
    </row>
    <row r="6331" spans="1:5" x14ac:dyDescent="0.2">
      <c r="A6331" s="1" t="s">
        <v>287</v>
      </c>
      <c r="B6331" s="1" t="s">
        <v>60</v>
      </c>
      <c r="C6331" s="5">
        <f>DATE(2025, 8, 25) + TIME(11, 35, 11)</f>
        <v>45894.482766203706</v>
      </c>
      <c r="D6331" s="1" t="s">
        <v>320</v>
      </c>
      <c r="E6331" s="1" t="s">
        <v>698</v>
      </c>
    </row>
    <row r="6332" spans="1:5" x14ac:dyDescent="0.2">
      <c r="A6332" s="1" t="s">
        <v>287</v>
      </c>
      <c r="B6332" s="1" t="s">
        <v>60</v>
      </c>
      <c r="C6332" s="5">
        <f>DATE(2025, 8, 19) + TIME(13, 48, 45)</f>
        <v>45888.575520833336</v>
      </c>
      <c r="D6332" s="1" t="s">
        <v>640</v>
      </c>
      <c r="E6332" s="1" t="s">
        <v>726</v>
      </c>
    </row>
    <row r="6333" spans="1:5" x14ac:dyDescent="0.2">
      <c r="A6333" s="1" t="s">
        <v>287</v>
      </c>
      <c r="B6333" s="1" t="s">
        <v>60</v>
      </c>
      <c r="C6333" s="5">
        <f>DATE(2025, 8, 19) + TIME(13, 12, 1)</f>
        <v>45888.550011574072</v>
      </c>
      <c r="D6333" s="1" t="s">
        <v>863</v>
      </c>
      <c r="E6333" s="1" t="s">
        <v>549</v>
      </c>
    </row>
    <row r="6334" spans="1:5" x14ac:dyDescent="0.2">
      <c r="A6334" s="1" t="s">
        <v>287</v>
      </c>
      <c r="B6334" s="1" t="s">
        <v>564</v>
      </c>
      <c r="C6334" s="5">
        <f>DATE(2025, 8, 5) + TIME(11, 54, 46)</f>
        <v>45874.496365740742</v>
      </c>
      <c r="D6334" s="1" t="s">
        <v>65</v>
      </c>
      <c r="E6334" s="1" t="s">
        <v>111</v>
      </c>
    </row>
    <row r="6335" spans="1:5" x14ac:dyDescent="0.2">
      <c r="A6335" s="1" t="s">
        <v>287</v>
      </c>
      <c r="B6335" s="1" t="s">
        <v>60</v>
      </c>
      <c r="C6335" s="5">
        <f>DATE(2025, 7, 23) + TIME(13, 44, 17)</f>
        <v>45861.572418981479</v>
      </c>
      <c r="D6335" s="1" t="s">
        <v>64</v>
      </c>
      <c r="E6335" s="1" t="s">
        <v>213</v>
      </c>
    </row>
    <row r="6336" spans="1:5" x14ac:dyDescent="0.2">
      <c r="A6336" s="1" t="s">
        <v>287</v>
      </c>
      <c r="B6336" s="1" t="s">
        <v>60</v>
      </c>
      <c r="C6336" s="5">
        <f>DATE(2025, 7, 14) + TIME(12, 10, 4)</f>
        <v>45852.506990740738</v>
      </c>
      <c r="D6336" s="1" t="s">
        <v>320</v>
      </c>
      <c r="E6336" s="1" t="s">
        <v>683</v>
      </c>
    </row>
    <row r="6337" spans="1:5" x14ac:dyDescent="0.2">
      <c r="A6337" s="1" t="s">
        <v>287</v>
      </c>
      <c r="B6337" s="1" t="s">
        <v>866</v>
      </c>
      <c r="C6337" s="5">
        <f>DATE(2025, 6, 17) + TIME(13, 2, 7)</f>
        <v>45825.543136574073</v>
      </c>
      <c r="D6337" s="1" t="s">
        <v>64</v>
      </c>
      <c r="E6337" s="1" t="s">
        <v>433</v>
      </c>
    </row>
    <row r="6338" spans="1:5" x14ac:dyDescent="0.2">
      <c r="A6338" s="1" t="s">
        <v>287</v>
      </c>
      <c r="B6338" s="1" t="s">
        <v>69</v>
      </c>
      <c r="C6338" s="5">
        <f>DATE(2025, 6, 12) + TIME(14, 25, 36)</f>
        <v>45820.601111111115</v>
      </c>
      <c r="D6338" s="1" t="s">
        <v>269</v>
      </c>
      <c r="E6338" s="1" t="s">
        <v>339</v>
      </c>
    </row>
    <row r="6339" spans="1:5" x14ac:dyDescent="0.2">
      <c r="A6339" s="1" t="s">
        <v>287</v>
      </c>
      <c r="B6339" s="1" t="s">
        <v>60</v>
      </c>
      <c r="C6339" s="5">
        <f>DATE(2025, 6, 5) + TIME(14, 5, 30)</f>
        <v>45813.587152777778</v>
      </c>
      <c r="D6339" s="1" t="s">
        <v>269</v>
      </c>
      <c r="E6339" s="1" t="s">
        <v>778</v>
      </c>
    </row>
    <row r="6340" spans="1:5" x14ac:dyDescent="0.2">
      <c r="A6340" s="1" t="s">
        <v>287</v>
      </c>
      <c r="B6340" s="1" t="s">
        <v>866</v>
      </c>
      <c r="C6340" s="5">
        <f>DATE(2025, 6, 5) + TIME(14, 5, 30)</f>
        <v>45813.587152777778</v>
      </c>
      <c r="D6340" s="1" t="s">
        <v>269</v>
      </c>
      <c r="E6340" s="1" t="s">
        <v>778</v>
      </c>
    </row>
    <row r="6341" spans="1:5" x14ac:dyDescent="0.2">
      <c r="A6341" s="1" t="s">
        <v>287</v>
      </c>
      <c r="B6341" s="1" t="s">
        <v>60</v>
      </c>
      <c r="C6341" s="5">
        <f>DATE(2025, 5, 27) + TIME(12, 4, 20)</f>
        <v>45804.503009259257</v>
      </c>
      <c r="D6341" s="1" t="s">
        <v>269</v>
      </c>
      <c r="E6341" s="1" t="s">
        <v>816</v>
      </c>
    </row>
    <row r="6342" spans="1:5" x14ac:dyDescent="0.2">
      <c r="A6342" s="1" t="s">
        <v>287</v>
      </c>
      <c r="B6342" s="1" t="s">
        <v>323</v>
      </c>
      <c r="C6342" s="5">
        <f>DATE(2025, 5, 5) + TIME(9, 32, 34)</f>
        <v>45782.397615740738</v>
      </c>
      <c r="D6342" s="1" t="s">
        <v>320</v>
      </c>
      <c r="E6342" s="1" t="s">
        <v>683</v>
      </c>
    </row>
    <row r="6343" spans="1:5" x14ac:dyDescent="0.2">
      <c r="A6343" s="1" t="s">
        <v>287</v>
      </c>
      <c r="B6343" s="1" t="s">
        <v>866</v>
      </c>
      <c r="C6343" s="5">
        <f>DATE(2025, 5, 5) + TIME(9, 32, 34)</f>
        <v>45782.397615740738</v>
      </c>
      <c r="D6343" s="1" t="s">
        <v>320</v>
      </c>
      <c r="E6343" s="1" t="s">
        <v>683</v>
      </c>
    </row>
    <row r="6344" spans="1:5" x14ac:dyDescent="0.2">
      <c r="A6344" s="1" t="s">
        <v>287</v>
      </c>
      <c r="B6344" s="1" t="s">
        <v>927</v>
      </c>
      <c r="C6344" s="5">
        <f>DATE(2025, 4, 30) + TIME(16, 56, 0)</f>
        <v>45777.705555555556</v>
      </c>
      <c r="D6344" s="1" t="s">
        <v>216</v>
      </c>
      <c r="E6344" s="1" t="s">
        <v>519</v>
      </c>
    </row>
    <row r="6345" spans="1:5" x14ac:dyDescent="0.2">
      <c r="A6345" s="1" t="s">
        <v>287</v>
      </c>
      <c r="B6345" s="1" t="s">
        <v>707</v>
      </c>
      <c r="C6345" s="5">
        <f>DATE(2025, 4, 16) + TIME(14, 58, 33)</f>
        <v>45763.623993055553</v>
      </c>
      <c r="D6345" s="1" t="s">
        <v>144</v>
      </c>
      <c r="E6345" s="1" t="s">
        <v>826</v>
      </c>
    </row>
    <row r="6346" spans="1:5" x14ac:dyDescent="0.2">
      <c r="A6346" s="1" t="s">
        <v>287</v>
      </c>
      <c r="B6346" s="1" t="s">
        <v>60</v>
      </c>
      <c r="C6346" s="5">
        <f>DATE(2025, 4, 3) + TIME(14, 55, 14)</f>
        <v>45750.621689814812</v>
      </c>
      <c r="D6346" s="1" t="s">
        <v>566</v>
      </c>
      <c r="E6346" s="1" t="s">
        <v>324</v>
      </c>
    </row>
    <row r="6347" spans="1:5" x14ac:dyDescent="0.2">
      <c r="A6347" s="1" t="s">
        <v>287</v>
      </c>
      <c r="B6347" s="1" t="s">
        <v>866</v>
      </c>
      <c r="C6347" s="5">
        <f>DATE(2025, 3, 27) + TIME(10, 48, 3)</f>
        <v>45743.45003472222</v>
      </c>
      <c r="D6347" s="1" t="s">
        <v>320</v>
      </c>
      <c r="E6347" s="1" t="s">
        <v>683</v>
      </c>
    </row>
    <row r="6348" spans="1:5" x14ac:dyDescent="0.2">
      <c r="A6348" s="1" t="s">
        <v>287</v>
      </c>
      <c r="B6348" s="1" t="s">
        <v>4</v>
      </c>
      <c r="C6348" s="5">
        <f>DATE(2025, 3, 12) + TIME(13, 37, 13)</f>
        <v>45728.567511574074</v>
      </c>
      <c r="D6348" s="1" t="s">
        <v>863</v>
      </c>
      <c r="E6348" s="1" t="s">
        <v>711</v>
      </c>
    </row>
    <row r="6349" spans="1:5" x14ac:dyDescent="0.2">
      <c r="A6349" s="1" t="s">
        <v>287</v>
      </c>
      <c r="B6349" s="1" t="s">
        <v>60</v>
      </c>
      <c r="C6349" s="5">
        <f>DATE(2025, 3, 10) + TIME(16, 44, 54)</f>
        <v>45726.697847222225</v>
      </c>
      <c r="D6349" s="1" t="s">
        <v>459</v>
      </c>
      <c r="E6349" s="1" t="s">
        <v>171</v>
      </c>
    </row>
    <row r="6350" spans="1:5" x14ac:dyDescent="0.2">
      <c r="A6350" s="1" t="s">
        <v>287</v>
      </c>
      <c r="B6350" s="1" t="s">
        <v>60</v>
      </c>
      <c r="C6350" s="5">
        <f>DATE(2025, 3, 10) + TIME(16, 18, 24)</f>
        <v>45726.679444444446</v>
      </c>
      <c r="D6350" s="1" t="s">
        <v>459</v>
      </c>
      <c r="E6350" s="1" t="s">
        <v>49</v>
      </c>
    </row>
    <row r="6351" spans="1:5" x14ac:dyDescent="0.2">
      <c r="A6351" s="1" t="s">
        <v>287</v>
      </c>
      <c r="B6351" s="1" t="s">
        <v>60</v>
      </c>
      <c r="C6351" s="5">
        <f>DATE(2025, 1, 16) + TIME(14, 22, 38)</f>
        <v>45673.599050925928</v>
      </c>
      <c r="D6351" s="1" t="s">
        <v>144</v>
      </c>
      <c r="E6351" s="1" t="s">
        <v>728</v>
      </c>
    </row>
    <row r="6352" spans="1:5" x14ac:dyDescent="0.2">
      <c r="A6352" s="1" t="s">
        <v>287</v>
      </c>
      <c r="B6352" s="1" t="s">
        <v>60</v>
      </c>
      <c r="C6352" s="5">
        <f>DATE(2024, 10, 22) + TIME(11, 7, 21)</f>
        <v>45587.463437500002</v>
      </c>
      <c r="D6352" s="1" t="s">
        <v>640</v>
      </c>
      <c r="E6352" s="1" t="s">
        <v>780</v>
      </c>
    </row>
    <row r="6353" spans="1:5" x14ac:dyDescent="0.2">
      <c r="A6353" s="1" t="s">
        <v>287</v>
      </c>
      <c r="B6353" s="1" t="s">
        <v>60</v>
      </c>
      <c r="C6353" s="5">
        <f>DATE(2024, 10, 15) + TIME(9, 47, 45)</f>
        <v>45580.408159722225</v>
      </c>
      <c r="D6353" s="1" t="s">
        <v>459</v>
      </c>
      <c r="E6353" s="1" t="s">
        <v>1145</v>
      </c>
    </row>
    <row r="6354" spans="1:5" x14ac:dyDescent="0.2">
      <c r="A6354" s="1" t="s">
        <v>287</v>
      </c>
      <c r="B6354" s="1" t="s">
        <v>564</v>
      </c>
      <c r="C6354" s="5">
        <f>DATE(2024, 10, 15) + TIME(9, 47, 44)</f>
        <v>45580.408148148148</v>
      </c>
      <c r="D6354" s="1" t="s">
        <v>459</v>
      </c>
      <c r="E6354" s="1" t="s">
        <v>1145</v>
      </c>
    </row>
    <row r="6355" spans="1:5" x14ac:dyDescent="0.2">
      <c r="A6355" s="1" t="s">
        <v>287</v>
      </c>
      <c r="B6355" s="1" t="s">
        <v>60</v>
      </c>
      <c r="C6355" s="5">
        <f>DATE(2024, 9, 10) + TIME(8, 31, 25)</f>
        <v>45545.355150462965</v>
      </c>
      <c r="D6355" s="1" t="s">
        <v>459</v>
      </c>
      <c r="E6355" s="1" t="s">
        <v>1188</v>
      </c>
    </row>
    <row r="6356" spans="1:5" x14ac:dyDescent="0.2">
      <c r="A6356" s="1" t="s">
        <v>287</v>
      </c>
      <c r="B6356" s="1" t="s">
        <v>60</v>
      </c>
      <c r="C6356" s="5">
        <f>DATE(2024, 9, 5) + TIME(15, 50, 37)</f>
        <v>45540.660150462965</v>
      </c>
      <c r="D6356" s="1" t="s">
        <v>320</v>
      </c>
      <c r="E6356" s="1" t="s">
        <v>845</v>
      </c>
    </row>
    <row r="6357" spans="1:5" x14ac:dyDescent="0.2">
      <c r="A6357" s="1" t="s">
        <v>287</v>
      </c>
      <c r="B6357" s="1" t="s">
        <v>564</v>
      </c>
      <c r="C6357" s="5">
        <f>DATE(2024, 9, 5) + TIME(15, 50, 37)</f>
        <v>45540.660150462965</v>
      </c>
      <c r="D6357" s="1" t="s">
        <v>320</v>
      </c>
      <c r="E6357" s="1" t="s">
        <v>845</v>
      </c>
    </row>
    <row r="6358" spans="1:5" x14ac:dyDescent="0.2">
      <c r="A6358" s="1" t="s">
        <v>287</v>
      </c>
      <c r="B6358" s="1" t="s">
        <v>60</v>
      </c>
      <c r="C6358" s="5">
        <f>DATE(2024, 9, 5) + TIME(10, 38, 52)</f>
        <v>45540.443657407406</v>
      </c>
      <c r="D6358" s="1" t="s">
        <v>638</v>
      </c>
      <c r="E6358" s="1" t="s">
        <v>172</v>
      </c>
    </row>
    <row r="6359" spans="1:5" x14ac:dyDescent="0.2">
      <c r="A6359" s="1" t="s">
        <v>287</v>
      </c>
      <c r="B6359" s="1" t="s">
        <v>564</v>
      </c>
      <c r="C6359" s="5">
        <f>DATE(2024, 9, 3) + TIME(12, 56, 27)</f>
        <v>45538.539201388892</v>
      </c>
      <c r="D6359" s="1" t="s">
        <v>320</v>
      </c>
      <c r="E6359" s="1" t="s">
        <v>214</v>
      </c>
    </row>
    <row r="6360" spans="1:5" x14ac:dyDescent="0.2">
      <c r="A6360" s="1" t="s">
        <v>287</v>
      </c>
      <c r="B6360" s="1" t="s">
        <v>323</v>
      </c>
      <c r="C6360" s="5">
        <f>DATE(2024, 8, 29) + TIME(15, 30, 3)</f>
        <v>45533.645868055559</v>
      </c>
      <c r="D6360" s="1" t="s">
        <v>320</v>
      </c>
      <c r="E6360" s="1" t="s">
        <v>845</v>
      </c>
    </row>
    <row r="6361" spans="1:5" x14ac:dyDescent="0.2">
      <c r="A6361" s="1" t="s">
        <v>287</v>
      </c>
      <c r="B6361" s="1" t="s">
        <v>60</v>
      </c>
      <c r="C6361" s="5">
        <f>DATE(2024, 8, 29) + TIME(15, 30, 3)</f>
        <v>45533.645868055559</v>
      </c>
      <c r="D6361" s="1" t="s">
        <v>320</v>
      </c>
      <c r="E6361" s="1" t="s">
        <v>845</v>
      </c>
    </row>
    <row r="6362" spans="1:5" x14ac:dyDescent="0.2">
      <c r="A6362" s="1" t="s">
        <v>287</v>
      </c>
      <c r="B6362" s="1" t="s">
        <v>323</v>
      </c>
      <c r="C6362" s="5">
        <f>DATE(2024, 8, 27) + TIME(12, 45, 35)</f>
        <v>45531.531655092593</v>
      </c>
      <c r="D6362" s="1" t="s">
        <v>320</v>
      </c>
      <c r="E6362" s="1" t="s">
        <v>214</v>
      </c>
    </row>
    <row r="6363" spans="1:5" x14ac:dyDescent="0.2">
      <c r="A6363" s="1" t="s">
        <v>287</v>
      </c>
      <c r="B6363" s="1" t="s">
        <v>163</v>
      </c>
      <c r="C6363" s="5">
        <f>DATE(2024, 8, 26) + TIME(14, 35, 26)</f>
        <v>45530.607939814814</v>
      </c>
      <c r="D6363" s="1" t="s">
        <v>640</v>
      </c>
      <c r="E6363" s="1" t="s">
        <v>700</v>
      </c>
    </row>
    <row r="6364" spans="1:5" x14ac:dyDescent="0.2">
      <c r="A6364" s="1" t="s">
        <v>287</v>
      </c>
      <c r="B6364" s="1" t="s">
        <v>60</v>
      </c>
      <c r="C6364" s="5">
        <f>DATE(2024, 8, 19) + TIME(15, 30, 42)</f>
        <v>45523.646319444444</v>
      </c>
      <c r="D6364" s="1" t="s">
        <v>5</v>
      </c>
      <c r="E6364" s="1" t="s">
        <v>405</v>
      </c>
    </row>
    <row r="6365" spans="1:5" x14ac:dyDescent="0.2">
      <c r="A6365" s="1" t="s">
        <v>287</v>
      </c>
      <c r="B6365" s="1" t="s">
        <v>564</v>
      </c>
      <c r="C6365" s="5">
        <f>DATE(2024, 8, 1) + TIME(15, 47, 24)</f>
        <v>45505.657916666663</v>
      </c>
      <c r="D6365" s="1" t="s">
        <v>320</v>
      </c>
      <c r="E6365" s="1" t="s">
        <v>845</v>
      </c>
    </row>
    <row r="6366" spans="1:5" x14ac:dyDescent="0.2">
      <c r="A6366" s="1" t="s">
        <v>287</v>
      </c>
      <c r="B6366" s="1" t="s">
        <v>866</v>
      </c>
      <c r="C6366" s="5">
        <f>DATE(2024, 8, 1) + TIME(15, 47, 24)</f>
        <v>45505.657916666663</v>
      </c>
      <c r="D6366" s="1" t="s">
        <v>320</v>
      </c>
      <c r="E6366" s="1" t="s">
        <v>845</v>
      </c>
    </row>
    <row r="6367" spans="1:5" x14ac:dyDescent="0.2">
      <c r="A6367" s="1" t="s">
        <v>287</v>
      </c>
      <c r="B6367" s="1" t="s">
        <v>60</v>
      </c>
      <c r="C6367" s="5">
        <f>DATE(2024, 8, 1) + TIME(15, 47, 24)</f>
        <v>45505.657916666663</v>
      </c>
      <c r="D6367" s="1" t="s">
        <v>320</v>
      </c>
      <c r="E6367" s="1" t="s">
        <v>845</v>
      </c>
    </row>
    <row r="6368" spans="1:5" x14ac:dyDescent="0.2">
      <c r="A6368" s="1" t="s">
        <v>287</v>
      </c>
      <c r="B6368" s="1" t="s">
        <v>866</v>
      </c>
      <c r="C6368" s="5">
        <f>DATE(2024, 7, 23) + TIME(12, 40, 55)</f>
        <v>45496.528414351851</v>
      </c>
      <c r="D6368" s="1" t="s">
        <v>320</v>
      </c>
      <c r="E6368" s="1" t="s">
        <v>239</v>
      </c>
    </row>
    <row r="6369" spans="1:5" x14ac:dyDescent="0.2">
      <c r="A6369" s="1" t="s">
        <v>287</v>
      </c>
      <c r="B6369" s="1" t="s">
        <v>564</v>
      </c>
      <c r="C6369" s="5">
        <f>DATE(2024, 7, 23) + TIME(12, 40, 55)</f>
        <v>45496.528414351851</v>
      </c>
      <c r="D6369" s="1" t="s">
        <v>320</v>
      </c>
      <c r="E6369" s="1" t="s">
        <v>239</v>
      </c>
    </row>
    <row r="6370" spans="1:5" x14ac:dyDescent="0.2">
      <c r="A6370" s="1" t="s">
        <v>287</v>
      </c>
      <c r="B6370" s="1" t="s">
        <v>271</v>
      </c>
      <c r="C6370" s="5">
        <f>DATE(2024, 7, 23) + TIME(12, 40, 55)</f>
        <v>45496.528414351851</v>
      </c>
      <c r="D6370" s="1" t="s">
        <v>320</v>
      </c>
      <c r="E6370" s="1" t="s">
        <v>239</v>
      </c>
    </row>
    <row r="6371" spans="1:5" x14ac:dyDescent="0.2">
      <c r="A6371" s="1" t="s">
        <v>287</v>
      </c>
      <c r="B6371" s="1" t="s">
        <v>60</v>
      </c>
      <c r="C6371" s="5">
        <f>DATE(2024, 7, 18) + TIME(14, 33, 37)</f>
        <v>45491.606678240743</v>
      </c>
      <c r="D6371" s="1" t="s">
        <v>1054</v>
      </c>
      <c r="E6371" s="1" t="s">
        <v>351</v>
      </c>
    </row>
    <row r="6372" spans="1:5" x14ac:dyDescent="0.2">
      <c r="A6372" s="1" t="s">
        <v>287</v>
      </c>
      <c r="B6372" s="1" t="s">
        <v>564</v>
      </c>
      <c r="C6372" s="5">
        <f>DATE(2024, 6, 13) + TIME(15, 44, 11)</f>
        <v>45456.655682870369</v>
      </c>
      <c r="D6372" s="1" t="s">
        <v>269</v>
      </c>
      <c r="E6372" s="1" t="s">
        <v>511</v>
      </c>
    </row>
    <row r="6373" spans="1:5" x14ac:dyDescent="0.2">
      <c r="A6373" s="1" t="s">
        <v>287</v>
      </c>
      <c r="B6373" s="1" t="s">
        <v>866</v>
      </c>
      <c r="C6373" s="5">
        <f>DATE(2024, 6, 12) + TIME(10, 36, 57)</f>
        <v>45455.442326388889</v>
      </c>
      <c r="D6373" s="1" t="s">
        <v>459</v>
      </c>
      <c r="E6373" s="1" t="s">
        <v>836</v>
      </c>
    </row>
    <row r="6374" spans="1:5" x14ac:dyDescent="0.2">
      <c r="A6374" s="1" t="s">
        <v>1277</v>
      </c>
      <c r="B6374" s="1" t="s">
        <v>864</v>
      </c>
      <c r="C6374" s="5">
        <f>DATE(2026, 3, 12) + TIME(12, 48, 52)</f>
        <v>46093.533935185187</v>
      </c>
      <c r="D6374" s="1" t="s">
        <v>638</v>
      </c>
      <c r="E6374" s="1" t="s">
        <v>397</v>
      </c>
    </row>
    <row r="6375" spans="1:5" x14ac:dyDescent="0.2">
      <c r="A6375" s="1" t="s">
        <v>1277</v>
      </c>
      <c r="B6375" s="1" t="s">
        <v>685</v>
      </c>
      <c r="C6375" s="5">
        <f>DATE(2026, 3, 11) + TIME(13, 32, 11)</f>
        <v>46092.564016203702</v>
      </c>
      <c r="D6375" s="1" t="s">
        <v>62</v>
      </c>
      <c r="E6375" s="1" t="s">
        <v>8</v>
      </c>
    </row>
    <row r="6376" spans="1:5" x14ac:dyDescent="0.2">
      <c r="A6376" s="1" t="s">
        <v>1277</v>
      </c>
      <c r="B6376" s="1" t="s">
        <v>686</v>
      </c>
      <c r="C6376" s="5">
        <f>DATE(2026, 3, 5) + TIME(15, 46, 56)</f>
        <v>46086.657592592594</v>
      </c>
      <c r="D6376" s="1" t="s">
        <v>566</v>
      </c>
      <c r="E6376" s="1" t="s">
        <v>865</v>
      </c>
    </row>
    <row r="6377" spans="1:5" x14ac:dyDescent="0.2">
      <c r="A6377" s="1" t="s">
        <v>1277</v>
      </c>
      <c r="B6377" s="1" t="s">
        <v>66</v>
      </c>
      <c r="C6377" s="5">
        <f>DATE(2026, 3, 2) + TIME(16, 15, 16)</f>
        <v>46083.677268518521</v>
      </c>
      <c r="D6377" s="1" t="s">
        <v>871</v>
      </c>
      <c r="E6377" s="1" t="s">
        <v>218</v>
      </c>
    </row>
    <row r="6378" spans="1:5" x14ac:dyDescent="0.2">
      <c r="A6378" s="1" t="s">
        <v>1277</v>
      </c>
      <c r="B6378" s="1" t="s">
        <v>402</v>
      </c>
      <c r="C6378" s="5">
        <f>DATE(2026, 2, 22) + TIME(15, 22, 44)</f>
        <v>46075.640787037039</v>
      </c>
      <c r="D6378" s="1" t="s">
        <v>871</v>
      </c>
      <c r="E6378" s="1" t="s">
        <v>218</v>
      </c>
    </row>
    <row r="6379" spans="1:5" x14ac:dyDescent="0.2">
      <c r="A6379" s="1" t="s">
        <v>1277</v>
      </c>
      <c r="B6379" s="1" t="s">
        <v>331</v>
      </c>
      <c r="C6379" s="5">
        <f>DATE(2026, 2, 22) + TIME(14, 45, 56)</f>
        <v>46075.615231481483</v>
      </c>
      <c r="D6379" s="1" t="s">
        <v>871</v>
      </c>
      <c r="E6379" s="1" t="s">
        <v>701</v>
      </c>
    </row>
    <row r="6380" spans="1:5" x14ac:dyDescent="0.2">
      <c r="A6380" s="1" t="s">
        <v>1277</v>
      </c>
      <c r="B6380" s="1" t="s">
        <v>4</v>
      </c>
      <c r="C6380" s="5">
        <f>DATE(2026, 2, 16) + TIME(13, 24, 53)</f>
        <v>46069.558946759258</v>
      </c>
      <c r="D6380" s="1" t="s">
        <v>640</v>
      </c>
      <c r="E6380" s="1" t="s">
        <v>762</v>
      </c>
    </row>
    <row r="6381" spans="1:5" x14ac:dyDescent="0.2">
      <c r="A6381" s="1" t="s">
        <v>1277</v>
      </c>
      <c r="B6381" s="1" t="s">
        <v>163</v>
      </c>
      <c r="C6381" s="5">
        <f>DATE(2026, 2, 16) + TIME(13, 24, 53)</f>
        <v>46069.558946759258</v>
      </c>
      <c r="D6381" s="1" t="s">
        <v>640</v>
      </c>
      <c r="E6381" s="1" t="s">
        <v>762</v>
      </c>
    </row>
    <row r="6382" spans="1:5" x14ac:dyDescent="0.2">
      <c r="A6382" s="1" t="s">
        <v>1277</v>
      </c>
      <c r="B6382" s="1" t="s">
        <v>866</v>
      </c>
      <c r="C6382" s="5">
        <f>DATE(2026, 2, 16) + TIME(13, 24, 53)</f>
        <v>46069.558946759258</v>
      </c>
      <c r="D6382" s="1" t="s">
        <v>640</v>
      </c>
      <c r="E6382" s="1" t="s">
        <v>762</v>
      </c>
    </row>
    <row r="6383" spans="1:5" x14ac:dyDescent="0.2">
      <c r="A6383" s="1" t="s">
        <v>1277</v>
      </c>
      <c r="B6383" s="1" t="s">
        <v>69</v>
      </c>
      <c r="C6383" s="5">
        <f>DATE(2026, 2, 11) + TIME(14, 39, 49)</f>
        <v>46064.610983796294</v>
      </c>
      <c r="D6383" s="1" t="s">
        <v>396</v>
      </c>
      <c r="E6383" s="1" t="s">
        <v>708</v>
      </c>
    </row>
    <row r="6384" spans="1:5" x14ac:dyDescent="0.2">
      <c r="A6384" s="1" t="s">
        <v>1277</v>
      </c>
      <c r="B6384" s="1" t="s">
        <v>7</v>
      </c>
      <c r="C6384" s="5">
        <f>DATE(2026, 2, 9) + TIME(14, 48, 15)</f>
        <v>46062.616840277777</v>
      </c>
      <c r="D6384" s="1" t="s">
        <v>226</v>
      </c>
      <c r="E6384" s="1" t="s">
        <v>870</v>
      </c>
    </row>
    <row r="6385" spans="1:5" x14ac:dyDescent="0.2">
      <c r="A6385" s="1" t="s">
        <v>1277</v>
      </c>
      <c r="B6385" s="1" t="s">
        <v>864</v>
      </c>
      <c r="C6385" s="5">
        <f>DATE(2026, 2, 4) + TIME(15, 32, 49)</f>
        <v>46057.647789351853</v>
      </c>
      <c r="D6385" s="1" t="s">
        <v>638</v>
      </c>
      <c r="E6385" s="1" t="s">
        <v>286</v>
      </c>
    </row>
    <row r="6386" spans="1:5" x14ac:dyDescent="0.2">
      <c r="A6386" s="1" t="s">
        <v>1277</v>
      </c>
      <c r="B6386" s="1" t="s">
        <v>817</v>
      </c>
      <c r="C6386" s="5">
        <f>DATE(2026, 1, 21) + TIME(13, 26, 44)</f>
        <v>46043.560231481482</v>
      </c>
      <c r="D6386" s="1" t="s">
        <v>566</v>
      </c>
      <c r="E6386" s="1" t="s">
        <v>938</v>
      </c>
    </row>
    <row r="6387" spans="1:5" x14ac:dyDescent="0.2">
      <c r="A6387" s="1" t="s">
        <v>1277</v>
      </c>
      <c r="B6387" s="1" t="s">
        <v>569</v>
      </c>
      <c r="C6387" s="5">
        <f>DATE(2026, 1, 19) + TIME(14, 20, 17)</f>
        <v>46041.597418981481</v>
      </c>
      <c r="D6387" s="1" t="s">
        <v>269</v>
      </c>
      <c r="E6387" s="1" t="s">
        <v>883</v>
      </c>
    </row>
    <row r="6388" spans="1:5" x14ac:dyDescent="0.2">
      <c r="A6388" s="1" t="s">
        <v>1277</v>
      </c>
      <c r="B6388" s="1" t="s">
        <v>817</v>
      </c>
      <c r="C6388" s="5">
        <f>DATE(2026, 1, 19) + TIME(13, 27, 34)</f>
        <v>46041.560810185183</v>
      </c>
      <c r="D6388" s="1" t="s">
        <v>566</v>
      </c>
      <c r="E6388" s="1" t="s">
        <v>865</v>
      </c>
    </row>
    <row r="6389" spans="1:5" x14ac:dyDescent="0.2">
      <c r="A6389" s="1" t="s">
        <v>1277</v>
      </c>
      <c r="B6389" s="1" t="s">
        <v>22</v>
      </c>
      <c r="C6389" s="5">
        <f>DATE(2026, 1, 15) + TIME(16, 0, 26)</f>
        <v>46037.666967592595</v>
      </c>
      <c r="D6389" s="1" t="s">
        <v>269</v>
      </c>
      <c r="E6389" s="1" t="s">
        <v>883</v>
      </c>
    </row>
    <row r="6390" spans="1:5" x14ac:dyDescent="0.2">
      <c r="A6390" s="1" t="s">
        <v>1277</v>
      </c>
      <c r="B6390" s="1" t="s">
        <v>60</v>
      </c>
      <c r="C6390" s="5">
        <f>DATE(2026, 1, 12) + TIME(13, 25, 27)</f>
        <v>46034.559340277781</v>
      </c>
      <c r="D6390" s="1" t="s">
        <v>921</v>
      </c>
      <c r="E6390" s="1" t="s">
        <v>292</v>
      </c>
    </row>
    <row r="6391" spans="1:5" x14ac:dyDescent="0.2">
      <c r="A6391" s="1" t="s">
        <v>1277</v>
      </c>
      <c r="B6391" s="1" t="s">
        <v>234</v>
      </c>
      <c r="C6391" s="5">
        <f>DATE(2025, 12, 18) + TIME(13, 48, 45)</f>
        <v>46009.575520833336</v>
      </c>
      <c r="D6391" s="1" t="s">
        <v>566</v>
      </c>
      <c r="E6391" s="1" t="s">
        <v>865</v>
      </c>
    </row>
    <row r="6392" spans="1:5" x14ac:dyDescent="0.2">
      <c r="A6392" s="1" t="s">
        <v>1277</v>
      </c>
      <c r="B6392" s="1" t="s">
        <v>271</v>
      </c>
      <c r="C6392" s="5">
        <f>DATE(2025, 12, 10) + TIME(16, 6, 47)</f>
        <v>46001.671377314815</v>
      </c>
      <c r="D6392" s="1" t="s">
        <v>923</v>
      </c>
      <c r="E6392" s="1" t="s">
        <v>418</v>
      </c>
    </row>
    <row r="6393" spans="1:5" x14ac:dyDescent="0.2">
      <c r="A6393" s="1" t="s">
        <v>1277</v>
      </c>
      <c r="B6393" s="1" t="s">
        <v>411</v>
      </c>
      <c r="C6393" s="5">
        <f>DATE(2025, 12, 8) + TIME(12, 50, 19)</f>
        <v>45999.534942129627</v>
      </c>
      <c r="D6393" s="1" t="s">
        <v>65</v>
      </c>
      <c r="E6393" s="1" t="s">
        <v>35</v>
      </c>
    </row>
    <row r="6394" spans="1:5" x14ac:dyDescent="0.2">
      <c r="A6394" s="1" t="s">
        <v>1277</v>
      </c>
      <c r="B6394" s="1" t="s">
        <v>24</v>
      </c>
      <c r="C6394" s="5">
        <f>DATE(2025, 12, 4) + TIME(14, 50, 8)</f>
        <v>45995.618148148147</v>
      </c>
      <c r="D6394" s="1" t="s">
        <v>638</v>
      </c>
      <c r="E6394" s="1" t="s">
        <v>237</v>
      </c>
    </row>
    <row r="6395" spans="1:5" x14ac:dyDescent="0.2">
      <c r="A6395" s="1" t="s">
        <v>1277</v>
      </c>
      <c r="B6395" s="1" t="s">
        <v>866</v>
      </c>
      <c r="C6395" s="5">
        <f>DATE(2025, 12, 4) + TIME(11, 53, 20)</f>
        <v>45995.495370370372</v>
      </c>
      <c r="D6395" s="1" t="s">
        <v>563</v>
      </c>
      <c r="E6395" s="1" t="s">
        <v>657</v>
      </c>
    </row>
    <row r="6396" spans="1:5" x14ac:dyDescent="0.2">
      <c r="A6396" s="1" t="s">
        <v>1277</v>
      </c>
      <c r="B6396" s="1" t="s">
        <v>422</v>
      </c>
      <c r="C6396" s="5">
        <f>DATE(2025, 12, 2) + TIME(10, 22, 38)</f>
        <v>45993.432384259257</v>
      </c>
      <c r="D6396" s="1" t="s">
        <v>871</v>
      </c>
      <c r="E6396" s="1" t="s">
        <v>149</v>
      </c>
    </row>
    <row r="6397" spans="1:5" x14ac:dyDescent="0.2">
      <c r="A6397" s="1" t="s">
        <v>1277</v>
      </c>
      <c r="B6397" s="1" t="s">
        <v>15</v>
      </c>
      <c r="C6397" s="5">
        <f>DATE(2025, 11, 23) + TIME(14, 33, 26)</f>
        <v>45984.606550925928</v>
      </c>
      <c r="D6397" s="1" t="s">
        <v>871</v>
      </c>
      <c r="E6397" s="1" t="s">
        <v>218</v>
      </c>
    </row>
    <row r="6398" spans="1:5" x14ac:dyDescent="0.2">
      <c r="A6398" s="1" t="s">
        <v>1277</v>
      </c>
      <c r="B6398" s="1" t="s">
        <v>15</v>
      </c>
      <c r="C6398" s="5">
        <f>DATE(2025, 11, 22) + TIME(10, 31, 29)</f>
        <v>45983.438530092593</v>
      </c>
      <c r="D6398" s="1" t="s">
        <v>459</v>
      </c>
      <c r="E6398" s="1" t="s">
        <v>428</v>
      </c>
    </row>
    <row r="6399" spans="1:5" x14ac:dyDescent="0.2">
      <c r="A6399" s="1" t="s">
        <v>1277</v>
      </c>
      <c r="B6399" s="1" t="s">
        <v>183</v>
      </c>
      <c r="C6399" s="5">
        <f>DATE(2025, 11, 17) + TIME(13, 48, 8)</f>
        <v>45978.575092592589</v>
      </c>
      <c r="D6399" s="1" t="s">
        <v>269</v>
      </c>
      <c r="E6399" s="1" t="s">
        <v>299</v>
      </c>
    </row>
    <row r="6400" spans="1:5" x14ac:dyDescent="0.2">
      <c r="A6400" s="1" t="s">
        <v>1277</v>
      </c>
      <c r="B6400" s="1" t="s">
        <v>716</v>
      </c>
      <c r="C6400" s="5">
        <f>DATE(2025, 11, 13) + TIME(15, 14, 16)</f>
        <v>45974.63490740741</v>
      </c>
      <c r="D6400" s="1" t="s">
        <v>269</v>
      </c>
      <c r="E6400" s="1" t="s">
        <v>225</v>
      </c>
    </row>
    <row r="6401" spans="1:5" x14ac:dyDescent="0.2">
      <c r="A6401" s="1" t="s">
        <v>1277</v>
      </c>
      <c r="B6401" s="1" t="s">
        <v>427</v>
      </c>
      <c r="C6401" s="5">
        <f>DATE(2025, 11, 6) + TIME(13, 13, 4)</f>
        <v>45967.550740740742</v>
      </c>
      <c r="D6401" s="1" t="s">
        <v>320</v>
      </c>
      <c r="E6401" s="1" t="s">
        <v>683</v>
      </c>
    </row>
    <row r="6402" spans="1:5" x14ac:dyDescent="0.2">
      <c r="A6402" s="1" t="s">
        <v>1277</v>
      </c>
      <c r="B6402" s="1" t="s">
        <v>60</v>
      </c>
      <c r="C6402" s="5">
        <f>DATE(2025, 11, 6) + TIME(13, 13, 4)</f>
        <v>45967.550740740742</v>
      </c>
      <c r="D6402" s="1" t="s">
        <v>320</v>
      </c>
      <c r="E6402" s="1" t="s">
        <v>683</v>
      </c>
    </row>
    <row r="6403" spans="1:5" x14ac:dyDescent="0.2">
      <c r="A6403" s="1" t="s">
        <v>1277</v>
      </c>
      <c r="B6403" s="1" t="s">
        <v>688</v>
      </c>
      <c r="C6403" s="5">
        <f>DATE(2025, 11, 6) + TIME(13, 13, 4)</f>
        <v>45967.550740740742</v>
      </c>
      <c r="D6403" s="1" t="s">
        <v>320</v>
      </c>
      <c r="E6403" s="1" t="s">
        <v>683</v>
      </c>
    </row>
    <row r="6404" spans="1:5" x14ac:dyDescent="0.2">
      <c r="A6404" s="1" t="s">
        <v>1277</v>
      </c>
      <c r="B6404" s="1" t="s">
        <v>958</v>
      </c>
      <c r="C6404" s="5">
        <f>DATE(2025, 11, 3) + TIME(16, 3, 30)</f>
        <v>45964.66909722222</v>
      </c>
      <c r="D6404" s="1" t="s">
        <v>871</v>
      </c>
      <c r="E6404" s="1" t="s">
        <v>218</v>
      </c>
    </row>
    <row r="6405" spans="1:5" x14ac:dyDescent="0.2">
      <c r="A6405" s="1" t="s">
        <v>1277</v>
      </c>
      <c r="B6405" s="1" t="s">
        <v>163</v>
      </c>
      <c r="C6405" s="5">
        <f>DATE(2025, 11, 3) + TIME(13, 29, 25)</f>
        <v>45964.562094907407</v>
      </c>
      <c r="D6405" s="1" t="s">
        <v>871</v>
      </c>
      <c r="E6405" s="1" t="s">
        <v>701</v>
      </c>
    </row>
    <row r="6406" spans="1:5" x14ac:dyDescent="0.2">
      <c r="A6406" s="1" t="s">
        <v>1277</v>
      </c>
      <c r="B6406" s="1" t="s">
        <v>163</v>
      </c>
      <c r="C6406" s="5">
        <f>DATE(2025, 10, 30) + TIME(14, 20, 20)</f>
        <v>45960.597453703704</v>
      </c>
      <c r="D6406" s="1" t="s">
        <v>566</v>
      </c>
      <c r="E6406" s="1" t="s">
        <v>865</v>
      </c>
    </row>
    <row r="6407" spans="1:5" x14ac:dyDescent="0.2">
      <c r="A6407" s="1" t="s">
        <v>1277</v>
      </c>
      <c r="B6407" s="1" t="s">
        <v>866</v>
      </c>
      <c r="C6407" s="5">
        <f>DATE(2025, 10, 27) + TIME(12, 48, 17)</f>
        <v>45957.533530092594</v>
      </c>
      <c r="D6407" s="1" t="s">
        <v>216</v>
      </c>
      <c r="E6407" s="1" t="s">
        <v>607</v>
      </c>
    </row>
    <row r="6408" spans="1:5" x14ac:dyDescent="0.2">
      <c r="A6408" s="1" t="s">
        <v>1277</v>
      </c>
      <c r="B6408" s="1" t="s">
        <v>545</v>
      </c>
      <c r="C6408" s="5">
        <f>DATE(2025, 10, 23) + TIME(13, 42, 23)</f>
        <v>45953.571099537039</v>
      </c>
      <c r="D6408" s="1" t="s">
        <v>640</v>
      </c>
      <c r="E6408" s="1" t="s">
        <v>246</v>
      </c>
    </row>
    <row r="6409" spans="1:5" x14ac:dyDescent="0.2">
      <c r="A6409" s="1" t="s">
        <v>1277</v>
      </c>
      <c r="B6409" s="1" t="s">
        <v>139</v>
      </c>
      <c r="C6409" s="5">
        <f>DATE(2025, 10, 22) + TIME(16, 11, 31)</f>
        <v>45952.674664351849</v>
      </c>
      <c r="D6409" s="1" t="s">
        <v>216</v>
      </c>
      <c r="E6409" s="1" t="s">
        <v>410</v>
      </c>
    </row>
    <row r="6410" spans="1:5" x14ac:dyDescent="0.2">
      <c r="A6410" s="1" t="s">
        <v>1277</v>
      </c>
      <c r="B6410" s="1" t="s">
        <v>864</v>
      </c>
      <c r="C6410" s="5">
        <f>DATE(2025, 10, 20) + TIME(16, 54, 40)</f>
        <v>45950.704629629632</v>
      </c>
      <c r="D6410" s="1" t="s">
        <v>144</v>
      </c>
      <c r="E6410" s="1" t="s">
        <v>613</v>
      </c>
    </row>
    <row r="6411" spans="1:5" x14ac:dyDescent="0.2">
      <c r="A6411" s="1" t="s">
        <v>1277</v>
      </c>
      <c r="B6411" s="1" t="s">
        <v>817</v>
      </c>
      <c r="C6411" s="5">
        <f>DATE(2025, 10, 16) + TIME(7, 22, 10)</f>
        <v>45946.307060185187</v>
      </c>
      <c r="D6411" s="1" t="s">
        <v>269</v>
      </c>
      <c r="E6411" s="1" t="s">
        <v>883</v>
      </c>
    </row>
    <row r="6412" spans="1:5" x14ac:dyDescent="0.2">
      <c r="A6412" s="1" t="s">
        <v>1277</v>
      </c>
      <c r="B6412" s="1" t="s">
        <v>664</v>
      </c>
      <c r="C6412" s="5">
        <f>DATE(2025, 10, 16) + TIME(7, 22, 10)</f>
        <v>45946.307060185187</v>
      </c>
      <c r="D6412" s="1" t="s">
        <v>269</v>
      </c>
      <c r="E6412" s="1" t="s">
        <v>883</v>
      </c>
    </row>
    <row r="6413" spans="1:5" x14ac:dyDescent="0.2">
      <c r="A6413" s="1" t="s">
        <v>1277</v>
      </c>
      <c r="B6413" s="1" t="s">
        <v>864</v>
      </c>
      <c r="C6413" s="5">
        <f>DATE(2025, 10, 15) + TIME(15, 52, 19)</f>
        <v>45945.66133101852</v>
      </c>
      <c r="D6413" s="1" t="s">
        <v>871</v>
      </c>
      <c r="E6413" s="1" t="s">
        <v>86</v>
      </c>
    </row>
    <row r="6414" spans="1:5" x14ac:dyDescent="0.2">
      <c r="A6414" s="1" t="s">
        <v>1277</v>
      </c>
      <c r="B6414" s="1" t="s">
        <v>60</v>
      </c>
      <c r="C6414" s="5">
        <f>DATE(2025, 10, 13) + TIME(14, 0, 53)</f>
        <v>45943.58394675926</v>
      </c>
      <c r="D6414" s="1" t="s">
        <v>144</v>
      </c>
      <c r="E6414" s="1" t="s">
        <v>613</v>
      </c>
    </row>
    <row r="6415" spans="1:5" x14ac:dyDescent="0.2">
      <c r="A6415" s="1" t="s">
        <v>1277</v>
      </c>
      <c r="B6415" s="1" t="s">
        <v>864</v>
      </c>
      <c r="C6415" s="5">
        <f>DATE(2025, 10, 13) + TIME(13, 55, 21)</f>
        <v>45943.580104166664</v>
      </c>
      <c r="D6415" s="1" t="s">
        <v>144</v>
      </c>
      <c r="E6415" s="1" t="s">
        <v>613</v>
      </c>
    </row>
    <row r="6416" spans="1:5" x14ac:dyDescent="0.2">
      <c r="A6416" s="1" t="s">
        <v>1277</v>
      </c>
      <c r="B6416" s="1" t="s">
        <v>817</v>
      </c>
      <c r="C6416" s="5">
        <f>DATE(2025, 10, 6) + TIME(12, 46, 2)</f>
        <v>45936.531967592593</v>
      </c>
      <c r="D6416" s="1" t="s">
        <v>269</v>
      </c>
      <c r="E6416" s="1" t="s">
        <v>883</v>
      </c>
    </row>
    <row r="6417" spans="1:5" x14ac:dyDescent="0.2">
      <c r="A6417" s="1" t="s">
        <v>1277</v>
      </c>
      <c r="B6417" s="1" t="s">
        <v>436</v>
      </c>
      <c r="C6417" s="5">
        <f>DATE(2025, 10, 2) + TIME(12, 56, 5)</f>
        <v>45932.538946759261</v>
      </c>
      <c r="D6417" s="1" t="s">
        <v>506</v>
      </c>
      <c r="E6417" s="1" t="s">
        <v>875</v>
      </c>
    </row>
    <row r="6418" spans="1:5" x14ac:dyDescent="0.2">
      <c r="A6418" s="1" t="s">
        <v>1277</v>
      </c>
      <c r="B6418" s="1" t="s">
        <v>664</v>
      </c>
      <c r="C6418" s="5">
        <f>DATE(2025, 9, 30) + TIME(15, 2, 4)</f>
        <v>45930.626435185186</v>
      </c>
      <c r="D6418" s="1" t="s">
        <v>467</v>
      </c>
      <c r="E6418" s="1" t="s">
        <v>775</v>
      </c>
    </row>
    <row r="6419" spans="1:5" x14ac:dyDescent="0.2">
      <c r="A6419" s="1" t="s">
        <v>1277</v>
      </c>
      <c r="B6419" s="1" t="s">
        <v>664</v>
      </c>
      <c r="C6419" s="5">
        <f>DATE(2025, 9, 29) + TIME(13, 37, 56)</f>
        <v>45929.568009259259</v>
      </c>
      <c r="D6419" s="1" t="s">
        <v>65</v>
      </c>
      <c r="E6419" s="1" t="s">
        <v>35</v>
      </c>
    </row>
    <row r="6420" spans="1:5" x14ac:dyDescent="0.2">
      <c r="A6420" s="1" t="s">
        <v>1277</v>
      </c>
      <c r="B6420" s="1" t="s">
        <v>436</v>
      </c>
      <c r="C6420" s="5">
        <f>DATE(2025, 9, 18) + TIME(12, 16, 37)</f>
        <v>45918.51153935185</v>
      </c>
      <c r="D6420" s="1" t="s">
        <v>506</v>
      </c>
      <c r="E6420" s="1" t="s">
        <v>875</v>
      </c>
    </row>
    <row r="6421" spans="1:5" x14ac:dyDescent="0.2">
      <c r="A6421" s="1" t="s">
        <v>1277</v>
      </c>
      <c r="B6421" s="1" t="s">
        <v>664</v>
      </c>
      <c r="C6421" s="5">
        <f>DATE(2025, 9, 8) + TIME(14, 34, 34)</f>
        <v>45908.60733796296</v>
      </c>
      <c r="D6421" s="1" t="s">
        <v>871</v>
      </c>
      <c r="E6421" s="1" t="s">
        <v>701</v>
      </c>
    </row>
    <row r="6422" spans="1:5" x14ac:dyDescent="0.2">
      <c r="A6422" s="1" t="s">
        <v>1277</v>
      </c>
      <c r="B6422" s="1" t="s">
        <v>436</v>
      </c>
      <c r="C6422" s="5">
        <f>DATE(2025, 9, 7) + TIME(11, 32, 25)</f>
        <v>45907.480844907404</v>
      </c>
      <c r="D6422" s="1" t="s">
        <v>64</v>
      </c>
      <c r="E6422" s="1" t="s">
        <v>220</v>
      </c>
    </row>
    <row r="6423" spans="1:5" x14ac:dyDescent="0.2">
      <c r="A6423" s="1" t="s">
        <v>1277</v>
      </c>
      <c r="B6423" s="1" t="s">
        <v>109</v>
      </c>
      <c r="C6423" s="5">
        <f>DATE(2025, 8, 20) + TIME(11, 6, 36)</f>
        <v>45889.462916666664</v>
      </c>
      <c r="D6423" s="1" t="s">
        <v>640</v>
      </c>
      <c r="E6423" s="1" t="s">
        <v>611</v>
      </c>
    </row>
    <row r="6424" spans="1:5" ht="16" x14ac:dyDescent="0.2">
      <c r="A6424" s="1" t="s">
        <v>1277</v>
      </c>
      <c r="B6424" s="1" t="s">
        <v>688</v>
      </c>
      <c r="C6424" s="5">
        <f>DATE(2025, 8, 18) + TIME(13, 6, 2)</f>
        <v>45887.545856481483</v>
      </c>
      <c r="D6424" s="1" t="s">
        <v>50</v>
      </c>
      <c r="E6424" s="2" t="s">
        <v>312</v>
      </c>
    </row>
    <row r="6425" spans="1:5" x14ac:dyDescent="0.2">
      <c r="A6425" s="1" t="s">
        <v>1277</v>
      </c>
      <c r="B6425" s="1" t="s">
        <v>669</v>
      </c>
      <c r="C6425" s="5">
        <f>DATE(2025, 8, 11) + TIME(16, 6, 47)</f>
        <v>45880.671377314815</v>
      </c>
      <c r="D6425" s="1" t="s">
        <v>871</v>
      </c>
      <c r="E6425" s="1" t="s">
        <v>218</v>
      </c>
    </row>
    <row r="6426" spans="1:5" x14ac:dyDescent="0.2">
      <c r="A6426" s="1" t="s">
        <v>1277</v>
      </c>
      <c r="B6426" s="1" t="s">
        <v>562</v>
      </c>
      <c r="C6426" s="5">
        <f>DATE(2025, 7, 31) + TIME(15, 52, 58)</f>
        <v>45869.661782407406</v>
      </c>
      <c r="D6426" s="1" t="s">
        <v>576</v>
      </c>
      <c r="E6426" s="1" t="s">
        <v>237</v>
      </c>
    </row>
    <row r="6427" spans="1:5" x14ac:dyDescent="0.2">
      <c r="A6427" s="1" t="s">
        <v>1277</v>
      </c>
      <c r="B6427" s="1" t="s">
        <v>328</v>
      </c>
      <c r="C6427" s="5">
        <f>DATE(2025, 7, 23) + TIME(11, 4, 41)</f>
        <v>45861.461585648147</v>
      </c>
      <c r="D6427" s="1" t="s">
        <v>640</v>
      </c>
      <c r="E6427" s="1" t="s">
        <v>426</v>
      </c>
    </row>
    <row r="6428" spans="1:5" x14ac:dyDescent="0.2">
      <c r="A6428" s="1" t="s">
        <v>1277</v>
      </c>
      <c r="B6428" s="1" t="s">
        <v>60</v>
      </c>
      <c r="C6428" s="5">
        <f>DATE(2025, 7, 17) + TIME(12, 5, 49)</f>
        <v>45855.50403935185</v>
      </c>
      <c r="D6428" s="1" t="s">
        <v>506</v>
      </c>
      <c r="E6428" s="1" t="s">
        <v>83</v>
      </c>
    </row>
    <row r="6429" spans="1:5" x14ac:dyDescent="0.2">
      <c r="A6429" s="1" t="s">
        <v>1277</v>
      </c>
      <c r="B6429" s="1" t="s">
        <v>60</v>
      </c>
      <c r="C6429" s="5">
        <f>DATE(2025, 7, 15) + TIME(15, 4, 54)</f>
        <v>45853.62840277778</v>
      </c>
      <c r="D6429" s="1" t="s">
        <v>506</v>
      </c>
      <c r="E6429" s="1" t="s">
        <v>83</v>
      </c>
    </row>
    <row r="6430" spans="1:5" x14ac:dyDescent="0.2">
      <c r="A6430" s="1" t="s">
        <v>1277</v>
      </c>
      <c r="B6430" s="1" t="s">
        <v>69</v>
      </c>
      <c r="C6430" s="5">
        <f>DATE(2025, 7, 8) + TIME(15, 12, 10)</f>
        <v>45846.633449074077</v>
      </c>
      <c r="D6430" s="1" t="s">
        <v>506</v>
      </c>
      <c r="E6430" s="1" t="s">
        <v>83</v>
      </c>
    </row>
    <row r="6431" spans="1:5" x14ac:dyDescent="0.2">
      <c r="A6431" s="1" t="s">
        <v>1277</v>
      </c>
      <c r="B6431" s="1" t="s">
        <v>427</v>
      </c>
      <c r="C6431" s="5">
        <f>DATE(2025, 7, 8) + TIME(15, 12, 10)</f>
        <v>45846.633449074077</v>
      </c>
      <c r="D6431" s="1" t="s">
        <v>506</v>
      </c>
      <c r="E6431" s="1" t="s">
        <v>83</v>
      </c>
    </row>
    <row r="6432" spans="1:5" x14ac:dyDescent="0.2">
      <c r="A6432" s="1" t="s">
        <v>1277</v>
      </c>
      <c r="B6432" s="1" t="s">
        <v>60</v>
      </c>
      <c r="C6432" s="5">
        <f>DATE(2025, 7, 8) + TIME(15, 12, 10)</f>
        <v>45846.633449074077</v>
      </c>
      <c r="D6432" s="1" t="s">
        <v>506</v>
      </c>
      <c r="E6432" s="1" t="s">
        <v>83</v>
      </c>
    </row>
    <row r="6433" spans="1:5" x14ac:dyDescent="0.2">
      <c r="A6433" s="1" t="s">
        <v>1277</v>
      </c>
      <c r="B6433" s="1" t="s">
        <v>562</v>
      </c>
      <c r="C6433" s="5">
        <f>DATE(2025, 7, 2) + TIME(9, 53, 30)</f>
        <v>45840.412152777775</v>
      </c>
      <c r="D6433" s="1" t="s">
        <v>640</v>
      </c>
      <c r="E6433" s="1" t="s">
        <v>611</v>
      </c>
    </row>
    <row r="6434" spans="1:5" x14ac:dyDescent="0.2">
      <c r="A6434" s="1" t="s">
        <v>1277</v>
      </c>
      <c r="B6434" s="1" t="s">
        <v>271</v>
      </c>
      <c r="C6434" s="5">
        <f>DATE(2025, 6, 23) + TIME(12, 5, 50)</f>
        <v>45831.504050925927</v>
      </c>
      <c r="D6434" s="1" t="s">
        <v>65</v>
      </c>
      <c r="E6434" s="1" t="s">
        <v>35</v>
      </c>
    </row>
    <row r="6435" spans="1:5" x14ac:dyDescent="0.2">
      <c r="A6435" s="1" t="s">
        <v>1277</v>
      </c>
      <c r="B6435" s="1" t="s">
        <v>322</v>
      </c>
      <c r="C6435" s="5">
        <f>DATE(2025, 6, 17) + TIME(11, 47, 48)</f>
        <v>45825.491527777776</v>
      </c>
      <c r="D6435" s="1" t="s">
        <v>640</v>
      </c>
      <c r="E6435" s="1" t="s">
        <v>77</v>
      </c>
    </row>
    <row r="6436" spans="1:5" x14ac:dyDescent="0.2">
      <c r="A6436" s="1" t="s">
        <v>1277</v>
      </c>
      <c r="B6436" s="1" t="s">
        <v>969</v>
      </c>
      <c r="C6436" s="5">
        <f>DATE(2025, 6, 16) + TIME(15, 44, 42)</f>
        <v>45824.656041666669</v>
      </c>
      <c r="D6436" s="1" t="s">
        <v>871</v>
      </c>
      <c r="E6436" s="1" t="s">
        <v>218</v>
      </c>
    </row>
    <row r="6437" spans="1:5" x14ac:dyDescent="0.2">
      <c r="A6437" s="1" t="s">
        <v>1277</v>
      </c>
      <c r="B6437" s="1" t="s">
        <v>562</v>
      </c>
      <c r="C6437" s="5">
        <f>DATE(2025, 6, 12) + TIME(12, 45, 40)</f>
        <v>45820.531712962962</v>
      </c>
      <c r="D6437" s="1" t="s">
        <v>506</v>
      </c>
      <c r="E6437" s="1" t="s">
        <v>875</v>
      </c>
    </row>
    <row r="6438" spans="1:5" x14ac:dyDescent="0.2">
      <c r="A6438" s="1" t="s">
        <v>1277</v>
      </c>
      <c r="B6438" s="1" t="s">
        <v>937</v>
      </c>
      <c r="C6438" s="5">
        <f>DATE(2025, 6, 12) + TIME(12, 3, 50)</f>
        <v>45820.502662037034</v>
      </c>
      <c r="D6438" s="1" t="s">
        <v>450</v>
      </c>
      <c r="E6438" s="1" t="s">
        <v>106</v>
      </c>
    </row>
    <row r="6439" spans="1:5" x14ac:dyDescent="0.2">
      <c r="A6439" s="1" t="s">
        <v>1277</v>
      </c>
      <c r="B6439" s="1" t="s">
        <v>562</v>
      </c>
      <c r="C6439" s="5">
        <f>DATE(2025, 6, 12) + TIME(10, 5, 18)</f>
        <v>45820.420347222222</v>
      </c>
      <c r="D6439" s="1" t="s">
        <v>459</v>
      </c>
      <c r="E6439" s="1" t="s">
        <v>574</v>
      </c>
    </row>
    <row r="6440" spans="1:5" x14ac:dyDescent="0.2">
      <c r="A6440" s="1" t="s">
        <v>1277</v>
      </c>
      <c r="B6440" s="1" t="s">
        <v>22</v>
      </c>
      <c r="C6440" s="5">
        <f>DATE(2025, 6, 5) + TIME(13, 12, 40)</f>
        <v>45813.550462962965</v>
      </c>
      <c r="D6440" s="1" t="s">
        <v>863</v>
      </c>
      <c r="E6440" s="1" t="s">
        <v>844</v>
      </c>
    </row>
    <row r="6441" spans="1:5" x14ac:dyDescent="0.2">
      <c r="A6441" s="1" t="s">
        <v>1277</v>
      </c>
      <c r="B6441" s="1" t="s">
        <v>562</v>
      </c>
      <c r="C6441" s="5">
        <f>DATE(2025, 5, 29) + TIME(13, 48, 7)</f>
        <v>45806.57508101852</v>
      </c>
      <c r="D6441" s="1" t="s">
        <v>640</v>
      </c>
      <c r="E6441" s="1" t="s">
        <v>611</v>
      </c>
    </row>
    <row r="6442" spans="1:5" x14ac:dyDescent="0.2">
      <c r="A6442" s="1" t="s">
        <v>1277</v>
      </c>
      <c r="B6442" s="1" t="s">
        <v>562</v>
      </c>
      <c r="C6442" s="5">
        <f>DATE(2025, 5, 22) + TIME(15, 37, 14)</f>
        <v>45799.650856481479</v>
      </c>
      <c r="D6442" s="1" t="s">
        <v>563</v>
      </c>
      <c r="E6442" s="1" t="s">
        <v>878</v>
      </c>
    </row>
    <row r="6443" spans="1:5" x14ac:dyDescent="0.2">
      <c r="A6443" s="1" t="s">
        <v>1277</v>
      </c>
      <c r="B6443" s="1" t="s">
        <v>271</v>
      </c>
      <c r="C6443" s="5">
        <f>DATE(2025, 5, 22) + TIME(11, 34, 41)</f>
        <v>45799.482418981483</v>
      </c>
      <c r="D6443" s="1" t="s">
        <v>566</v>
      </c>
      <c r="E6443" s="1" t="s">
        <v>865</v>
      </c>
    </row>
    <row r="6444" spans="1:5" x14ac:dyDescent="0.2">
      <c r="A6444" s="1" t="s">
        <v>1277</v>
      </c>
      <c r="B6444" s="1" t="s">
        <v>69</v>
      </c>
      <c r="C6444" s="5">
        <f>DATE(2025, 5, 12) + TIME(10, 55, 42)</f>
        <v>45789.455347222225</v>
      </c>
      <c r="D6444" s="1" t="s">
        <v>65</v>
      </c>
      <c r="E6444" s="1" t="s">
        <v>35</v>
      </c>
    </row>
    <row r="6445" spans="1:5" x14ac:dyDescent="0.2">
      <c r="A6445" s="1" t="s">
        <v>1277</v>
      </c>
      <c r="B6445" s="1" t="s">
        <v>69</v>
      </c>
      <c r="C6445" s="5">
        <f>DATE(2025, 5, 7) + TIME(12, 35, 15)</f>
        <v>45784.52447916667</v>
      </c>
      <c r="D6445" s="1" t="s">
        <v>144</v>
      </c>
      <c r="E6445" s="1" t="s">
        <v>293</v>
      </c>
    </row>
    <row r="6446" spans="1:5" x14ac:dyDescent="0.2">
      <c r="A6446" s="1" t="s">
        <v>1277</v>
      </c>
      <c r="B6446" s="1" t="s">
        <v>562</v>
      </c>
      <c r="C6446" s="5">
        <f>DATE(2025, 4, 23) + TIME(7, 4, 45)</f>
        <v>45770.294965277775</v>
      </c>
      <c r="D6446" s="1" t="s">
        <v>391</v>
      </c>
      <c r="E6446" s="1" t="s">
        <v>336</v>
      </c>
    </row>
    <row r="6447" spans="1:5" x14ac:dyDescent="0.2">
      <c r="A6447" s="1" t="s">
        <v>1277</v>
      </c>
      <c r="B6447" s="1" t="s">
        <v>561</v>
      </c>
      <c r="C6447" s="5">
        <f>DATE(2025, 4, 21) + TIME(16, 5, 11)</f>
        <v>45768.670266203706</v>
      </c>
      <c r="D6447" s="1" t="s">
        <v>871</v>
      </c>
      <c r="E6447" s="1" t="s">
        <v>218</v>
      </c>
    </row>
    <row r="6448" spans="1:5" x14ac:dyDescent="0.2">
      <c r="A6448" s="1" t="s">
        <v>1277</v>
      </c>
      <c r="B6448" s="1" t="s">
        <v>63</v>
      </c>
      <c r="C6448" s="5">
        <f>DATE(2025, 4, 10) + TIME(13, 56, 59)</f>
        <v>45757.581238425926</v>
      </c>
      <c r="D6448" s="1" t="s">
        <v>391</v>
      </c>
      <c r="E6448" s="1" t="s">
        <v>829</v>
      </c>
    </row>
    <row r="6449" spans="1:5" x14ac:dyDescent="0.2">
      <c r="A6449" s="1" t="s">
        <v>1277</v>
      </c>
      <c r="B6449" s="1" t="s">
        <v>60</v>
      </c>
      <c r="C6449" s="5">
        <f>DATE(2025, 3, 31) + TIME(16, 22, 17)</f>
        <v>45747.682141203702</v>
      </c>
      <c r="D6449" s="1" t="s">
        <v>341</v>
      </c>
      <c r="E6449" s="1" t="s">
        <v>701</v>
      </c>
    </row>
    <row r="6450" spans="1:5" x14ac:dyDescent="0.2">
      <c r="A6450" s="1" t="s">
        <v>1277</v>
      </c>
      <c r="B6450" s="1" t="s">
        <v>323</v>
      </c>
      <c r="C6450" s="5">
        <f>DATE(2025, 3, 31) + TIME(13, 10, 31)</f>
        <v>45747.54896990741</v>
      </c>
      <c r="D6450" s="1" t="s">
        <v>396</v>
      </c>
      <c r="E6450" s="1" t="s">
        <v>567</v>
      </c>
    </row>
    <row r="6451" spans="1:5" x14ac:dyDescent="0.2">
      <c r="A6451" s="1" t="s">
        <v>1277</v>
      </c>
      <c r="B6451" s="1" t="s">
        <v>69</v>
      </c>
      <c r="C6451" s="5">
        <f>DATE(2025, 3, 31) + TIME(13, 5, 53)</f>
        <v>45747.545752314814</v>
      </c>
      <c r="D6451" s="1" t="s">
        <v>216</v>
      </c>
      <c r="E6451" s="1" t="s">
        <v>607</v>
      </c>
    </row>
    <row r="6452" spans="1:5" x14ac:dyDescent="0.2">
      <c r="A6452" s="1" t="s">
        <v>1277</v>
      </c>
      <c r="B6452" s="1" t="s">
        <v>817</v>
      </c>
      <c r="C6452" s="5">
        <f>DATE(2025, 3, 24) + TIME(12, 8, 48)</f>
        <v>45740.506111111114</v>
      </c>
      <c r="D6452" s="1" t="s">
        <v>566</v>
      </c>
      <c r="E6452" s="1" t="s">
        <v>865</v>
      </c>
    </row>
    <row r="6453" spans="1:5" x14ac:dyDescent="0.2">
      <c r="A6453" s="1" t="s">
        <v>1277</v>
      </c>
      <c r="B6453" s="1" t="s">
        <v>139</v>
      </c>
      <c r="C6453" s="5">
        <f>DATE(2025, 3, 24) + TIME(12, 8, 48)</f>
        <v>45740.506111111114</v>
      </c>
      <c r="D6453" s="1" t="s">
        <v>566</v>
      </c>
      <c r="E6453" s="1" t="s">
        <v>865</v>
      </c>
    </row>
    <row r="6454" spans="1:5" x14ac:dyDescent="0.2">
      <c r="A6454" s="1" t="s">
        <v>1277</v>
      </c>
      <c r="B6454" s="1" t="s">
        <v>69</v>
      </c>
      <c r="C6454" s="5">
        <f>DATE(2025, 3, 24) + TIME(12, 8, 48)</f>
        <v>45740.506111111114</v>
      </c>
      <c r="D6454" s="1" t="s">
        <v>566</v>
      </c>
      <c r="E6454" s="1" t="s">
        <v>865</v>
      </c>
    </row>
    <row r="6455" spans="1:5" x14ac:dyDescent="0.2">
      <c r="A6455" s="1" t="s">
        <v>1277</v>
      </c>
      <c r="B6455" s="1" t="s">
        <v>60</v>
      </c>
      <c r="C6455" s="5">
        <f>DATE(2025, 3, 24) + TIME(12, 8, 48)</f>
        <v>45740.506111111114</v>
      </c>
      <c r="D6455" s="1" t="s">
        <v>566</v>
      </c>
      <c r="E6455" s="1" t="s">
        <v>865</v>
      </c>
    </row>
    <row r="6456" spans="1:5" x14ac:dyDescent="0.2">
      <c r="A6456" s="1" t="s">
        <v>1277</v>
      </c>
      <c r="B6456" s="1" t="s">
        <v>4</v>
      </c>
      <c r="C6456" s="5">
        <f>DATE(2025, 3, 20) + TIME(14, 47, 3)</f>
        <v>45736.616006944445</v>
      </c>
      <c r="D6456" s="1" t="s">
        <v>638</v>
      </c>
      <c r="E6456" s="1" t="s">
        <v>237</v>
      </c>
    </row>
    <row r="6457" spans="1:5" x14ac:dyDescent="0.2">
      <c r="A6457" s="1" t="s">
        <v>1277</v>
      </c>
      <c r="B6457" s="1" t="s">
        <v>385</v>
      </c>
      <c r="C6457" s="5">
        <f>DATE(2025, 3, 12) + TIME(15, 18, 36)</f>
        <v>45728.637916666667</v>
      </c>
      <c r="D6457" s="1" t="s">
        <v>506</v>
      </c>
      <c r="E6457" s="1" t="s">
        <v>875</v>
      </c>
    </row>
    <row r="6458" spans="1:5" x14ac:dyDescent="0.2">
      <c r="A6458" s="1" t="s">
        <v>1277</v>
      </c>
      <c r="B6458" s="1" t="s">
        <v>774</v>
      </c>
      <c r="C6458" s="5">
        <f>DATE(2025, 3, 12) + TIME(15, 15, 17)</f>
        <v>45728.635613425926</v>
      </c>
      <c r="D6458" s="1" t="s">
        <v>506</v>
      </c>
      <c r="E6458" s="1" t="s">
        <v>875</v>
      </c>
    </row>
    <row r="6459" spans="1:5" x14ac:dyDescent="0.2">
      <c r="A6459" s="1" t="s">
        <v>1277</v>
      </c>
      <c r="B6459" s="1" t="s">
        <v>72</v>
      </c>
      <c r="C6459" s="5">
        <f>DATE(2025, 3, 12) + TIME(15, 15, 17)</f>
        <v>45728.635613425926</v>
      </c>
      <c r="D6459" s="1" t="s">
        <v>506</v>
      </c>
      <c r="E6459" s="1" t="s">
        <v>875</v>
      </c>
    </row>
    <row r="6460" spans="1:5" x14ac:dyDescent="0.2">
      <c r="A6460" s="1" t="s">
        <v>1277</v>
      </c>
      <c r="B6460" s="1" t="s">
        <v>582</v>
      </c>
      <c r="C6460" s="5">
        <f>DATE(2025, 2, 27) + TIME(9, 18, 5)</f>
        <v>45715.387557870374</v>
      </c>
      <c r="D6460" s="1" t="s">
        <v>640</v>
      </c>
      <c r="E6460" s="1" t="s">
        <v>834</v>
      </c>
    </row>
    <row r="6461" spans="1:5" x14ac:dyDescent="0.2">
      <c r="A6461" s="1" t="s">
        <v>1277</v>
      </c>
      <c r="B6461" s="1" t="s">
        <v>69</v>
      </c>
      <c r="C6461" s="5">
        <f>DATE(2025, 2, 20) + TIME(10, 37, 42)</f>
        <v>45708.442847222221</v>
      </c>
      <c r="D6461" s="1" t="s">
        <v>640</v>
      </c>
      <c r="E6461" s="1" t="s">
        <v>1029</v>
      </c>
    </row>
    <row r="6462" spans="1:5" x14ac:dyDescent="0.2">
      <c r="A6462" s="1" t="s">
        <v>1277</v>
      </c>
      <c r="B6462" s="1" t="s">
        <v>1037</v>
      </c>
      <c r="C6462" s="5">
        <f>DATE(2025, 2, 3) + TIME(14, 32, 38)</f>
        <v>45691.605995370373</v>
      </c>
      <c r="D6462" s="1" t="s">
        <v>871</v>
      </c>
      <c r="E6462" s="1" t="s">
        <v>218</v>
      </c>
    </row>
    <row r="6463" spans="1:5" x14ac:dyDescent="0.2">
      <c r="A6463" s="1" t="s">
        <v>1277</v>
      </c>
      <c r="B6463" s="1" t="s">
        <v>835</v>
      </c>
      <c r="C6463" s="5">
        <f>DATE(2025, 1, 23) + TIME(15, 46, 33)</f>
        <v>45680.657326388886</v>
      </c>
      <c r="D6463" s="1" t="s">
        <v>638</v>
      </c>
      <c r="E6463" s="1" t="s">
        <v>237</v>
      </c>
    </row>
    <row r="6464" spans="1:5" x14ac:dyDescent="0.2">
      <c r="A6464" s="1" t="s">
        <v>1277</v>
      </c>
      <c r="B6464" s="1" t="s">
        <v>163</v>
      </c>
      <c r="C6464" s="5">
        <f>DATE(2025, 1, 9) + TIME(14, 29, 0)</f>
        <v>45666.603472222225</v>
      </c>
      <c r="D6464" s="1" t="s">
        <v>506</v>
      </c>
      <c r="E6464" s="1" t="s">
        <v>875</v>
      </c>
    </row>
    <row r="6465" spans="1:5" x14ac:dyDescent="0.2">
      <c r="A6465" s="1" t="s">
        <v>1277</v>
      </c>
      <c r="B6465" s="1" t="s">
        <v>824</v>
      </c>
      <c r="C6465" s="5">
        <f>DATE(2025, 1, 9) + TIME(14, 29, 0)</f>
        <v>45666.603472222225</v>
      </c>
      <c r="D6465" s="1" t="s">
        <v>506</v>
      </c>
      <c r="E6465" s="1" t="s">
        <v>875</v>
      </c>
    </row>
    <row r="6466" spans="1:5" x14ac:dyDescent="0.2">
      <c r="A6466" s="1" t="s">
        <v>1277</v>
      </c>
      <c r="B6466" s="1" t="s">
        <v>69</v>
      </c>
      <c r="C6466" s="5">
        <f>DATE(2025, 1, 6) + TIME(12, 54, 23)</f>
        <v>45663.537766203706</v>
      </c>
      <c r="D6466" s="1" t="s">
        <v>216</v>
      </c>
      <c r="E6466" s="1" t="s">
        <v>607</v>
      </c>
    </row>
    <row r="6467" spans="1:5" x14ac:dyDescent="0.2">
      <c r="A6467" s="1" t="s">
        <v>1277</v>
      </c>
      <c r="B6467" s="1" t="s">
        <v>231</v>
      </c>
      <c r="C6467" s="5">
        <f>DATE(2025, 1, 2) + TIME(9, 26, 43)</f>
        <v>45659.393553240741</v>
      </c>
      <c r="D6467" s="1" t="s">
        <v>459</v>
      </c>
      <c r="E6467" s="1" t="s">
        <v>574</v>
      </c>
    </row>
    <row r="6468" spans="1:5" x14ac:dyDescent="0.2">
      <c r="A6468" s="1" t="s">
        <v>1277</v>
      </c>
      <c r="B6468" s="1" t="s">
        <v>409</v>
      </c>
      <c r="C6468" s="5">
        <f>DATE(2024, 12, 10) + TIME(13, 51, 30)</f>
        <v>45636.577430555553</v>
      </c>
      <c r="D6468" s="1" t="s">
        <v>640</v>
      </c>
      <c r="E6468" s="1" t="s">
        <v>77</v>
      </c>
    </row>
    <row r="6469" spans="1:5" x14ac:dyDescent="0.2">
      <c r="A6469" s="1" t="s">
        <v>1277</v>
      </c>
      <c r="B6469" s="1" t="s">
        <v>69</v>
      </c>
      <c r="C6469" s="5">
        <f>DATE(2024, 12, 5) + TIME(15, 21, 11)</f>
        <v>45631.639710648145</v>
      </c>
      <c r="D6469" s="1" t="s">
        <v>576</v>
      </c>
      <c r="E6469" s="1" t="s">
        <v>438</v>
      </c>
    </row>
    <row r="6470" spans="1:5" x14ac:dyDescent="0.2">
      <c r="A6470" s="1" t="s">
        <v>1277</v>
      </c>
      <c r="B6470" s="1" t="s">
        <v>716</v>
      </c>
      <c r="C6470" s="5">
        <f>DATE(2024, 12, 4) + TIME(9, 18, 13)</f>
        <v>45630.387650462966</v>
      </c>
      <c r="D6470" s="1" t="s">
        <v>396</v>
      </c>
      <c r="E6470" s="1" t="s">
        <v>1101</v>
      </c>
    </row>
    <row r="6471" spans="1:5" x14ac:dyDescent="0.2">
      <c r="A6471" s="1" t="s">
        <v>1277</v>
      </c>
      <c r="B6471" s="1" t="s">
        <v>716</v>
      </c>
      <c r="C6471" s="5">
        <f>DATE(2024, 11, 26) + TIME(16, 0, 18)</f>
        <v>45622.666875000003</v>
      </c>
      <c r="D6471" s="1" t="s">
        <v>640</v>
      </c>
      <c r="E6471" s="1" t="s">
        <v>611</v>
      </c>
    </row>
    <row r="6472" spans="1:5" x14ac:dyDescent="0.2">
      <c r="A6472" s="1" t="s">
        <v>1277</v>
      </c>
      <c r="B6472" s="1" t="s">
        <v>271</v>
      </c>
      <c r="C6472" s="5">
        <f>DATE(2024, 11, 26) + TIME(13, 4, 18)</f>
        <v>45622.544652777775</v>
      </c>
      <c r="D6472" s="1" t="s">
        <v>450</v>
      </c>
      <c r="E6472" s="1" t="s">
        <v>1022</v>
      </c>
    </row>
    <row r="6473" spans="1:5" x14ac:dyDescent="0.2">
      <c r="A6473" s="1" t="s">
        <v>1277</v>
      </c>
      <c r="B6473" s="1" t="s">
        <v>716</v>
      </c>
      <c r="C6473" s="5">
        <f>DATE(2024, 11, 24) + TIME(17, 50, 1)</f>
        <v>45620.743067129632</v>
      </c>
      <c r="D6473" s="1" t="s">
        <v>871</v>
      </c>
      <c r="E6473" s="1" t="s">
        <v>218</v>
      </c>
    </row>
    <row r="6474" spans="1:5" x14ac:dyDescent="0.2">
      <c r="A6474" s="1" t="s">
        <v>1277</v>
      </c>
      <c r="B6474" s="1" t="s">
        <v>716</v>
      </c>
      <c r="C6474" s="5">
        <f>DATE(2024, 11, 24) + TIME(13, 21, 20)</f>
        <v>45620.556481481479</v>
      </c>
      <c r="D6474" s="1" t="s">
        <v>871</v>
      </c>
      <c r="E6474" s="1" t="s">
        <v>839</v>
      </c>
    </row>
    <row r="6475" spans="1:5" x14ac:dyDescent="0.2">
      <c r="A6475" s="1" t="s">
        <v>1277</v>
      </c>
      <c r="B6475" s="1" t="s">
        <v>271</v>
      </c>
      <c r="C6475" s="5">
        <f>DATE(2024, 11, 21) + TIME(15, 13, 12)</f>
        <v>45617.634166666663</v>
      </c>
      <c r="D6475" s="1" t="s">
        <v>391</v>
      </c>
      <c r="E6475" s="1" t="s">
        <v>829</v>
      </c>
    </row>
    <row r="6476" spans="1:5" x14ac:dyDescent="0.2">
      <c r="A6476" s="1" t="s">
        <v>1277</v>
      </c>
      <c r="B6476" s="1" t="s">
        <v>215</v>
      </c>
      <c r="C6476" s="5">
        <f>DATE(2024, 11, 18) + TIME(12, 42, 8)</f>
        <v>45614.52925925926</v>
      </c>
      <c r="D6476" s="1" t="s">
        <v>396</v>
      </c>
      <c r="E6476" s="1" t="s">
        <v>102</v>
      </c>
    </row>
    <row r="6477" spans="1:5" x14ac:dyDescent="0.2">
      <c r="A6477" s="1" t="s">
        <v>1277</v>
      </c>
      <c r="B6477" s="1" t="s">
        <v>716</v>
      </c>
      <c r="C6477" s="5">
        <f>DATE(2024, 11, 17) + TIME(15, 4, 9)</f>
        <v>45613.627881944441</v>
      </c>
      <c r="D6477" s="1" t="s">
        <v>391</v>
      </c>
      <c r="E6477" s="1" t="s">
        <v>883</v>
      </c>
    </row>
    <row r="6478" spans="1:5" x14ac:dyDescent="0.2">
      <c r="A6478" s="1" t="s">
        <v>1277</v>
      </c>
      <c r="B6478" s="1" t="s">
        <v>69</v>
      </c>
      <c r="C6478" s="5">
        <f>DATE(2024, 11, 12) + TIME(9, 39, 50)</f>
        <v>45608.402662037035</v>
      </c>
      <c r="D6478" s="1" t="s">
        <v>869</v>
      </c>
      <c r="E6478" s="1" t="s">
        <v>830</v>
      </c>
    </row>
    <row r="6479" spans="1:5" x14ac:dyDescent="0.2">
      <c r="A6479" s="1" t="s">
        <v>1277</v>
      </c>
      <c r="B6479" s="1" t="s">
        <v>15</v>
      </c>
      <c r="C6479" s="5">
        <f>DATE(2024, 11, 11) + TIME(16, 24, 49)</f>
        <v>45607.683900462966</v>
      </c>
      <c r="D6479" s="1" t="s">
        <v>871</v>
      </c>
      <c r="E6479" s="1" t="s">
        <v>218</v>
      </c>
    </row>
    <row r="6480" spans="1:5" x14ac:dyDescent="0.2">
      <c r="A6480" s="1" t="s">
        <v>1277</v>
      </c>
      <c r="B6480" s="1" t="s">
        <v>654</v>
      </c>
      <c r="C6480" s="5">
        <f>DATE(2024, 11, 7) + TIME(14, 56, 14)</f>
        <v>45603.622384259259</v>
      </c>
      <c r="D6480" s="1" t="s">
        <v>506</v>
      </c>
      <c r="E6480" s="1" t="s">
        <v>875</v>
      </c>
    </row>
    <row r="6481" spans="1:5" x14ac:dyDescent="0.2">
      <c r="A6481" s="1" t="s">
        <v>1277</v>
      </c>
      <c r="B6481" s="1" t="s">
        <v>69</v>
      </c>
      <c r="C6481" s="5">
        <f>DATE(2024, 11, 5) + TIME(10, 56, 59)</f>
        <v>45601.456238425926</v>
      </c>
      <c r="D6481" s="1" t="s">
        <v>869</v>
      </c>
      <c r="E6481" s="1" t="s">
        <v>830</v>
      </c>
    </row>
    <row r="6482" spans="1:5" x14ac:dyDescent="0.2">
      <c r="A6482" s="1" t="s">
        <v>1277</v>
      </c>
      <c r="B6482" s="1" t="s">
        <v>580</v>
      </c>
      <c r="C6482" s="5">
        <f>DATE(2024, 10, 30) + TIME(7, 46, 13)</f>
        <v>45595.323761574073</v>
      </c>
      <c r="D6482" s="1" t="s">
        <v>396</v>
      </c>
      <c r="E6482" s="1" t="s">
        <v>1101</v>
      </c>
    </row>
    <row r="6483" spans="1:5" x14ac:dyDescent="0.2">
      <c r="A6483" s="1" t="s">
        <v>1277</v>
      </c>
      <c r="B6483" s="1" t="s">
        <v>1035</v>
      </c>
      <c r="C6483" s="5">
        <f>DATE(2024, 10, 28) + TIME(14, 2, 34)</f>
        <v>45593.585115740738</v>
      </c>
      <c r="D6483" s="1" t="s">
        <v>391</v>
      </c>
      <c r="E6483" s="1" t="s">
        <v>619</v>
      </c>
    </row>
    <row r="6484" spans="1:5" x14ac:dyDescent="0.2">
      <c r="A6484" s="1" t="s">
        <v>1277</v>
      </c>
      <c r="B6484" s="1" t="s">
        <v>817</v>
      </c>
      <c r="C6484" s="5">
        <f>DATE(2024, 10, 24) + TIME(14, 0, 55)</f>
        <v>45589.583969907406</v>
      </c>
      <c r="D6484" s="1" t="s">
        <v>391</v>
      </c>
      <c r="E6484" s="1" t="s">
        <v>619</v>
      </c>
    </row>
    <row r="6485" spans="1:5" x14ac:dyDescent="0.2">
      <c r="A6485" s="1" t="s">
        <v>1277</v>
      </c>
      <c r="B6485" s="1" t="s">
        <v>69</v>
      </c>
      <c r="C6485" s="5">
        <f>DATE(2024, 10, 23) + TIME(16, 17, 50)</f>
        <v>45588.679050925923</v>
      </c>
      <c r="D6485" s="1" t="s">
        <v>871</v>
      </c>
      <c r="E6485" s="1" t="s">
        <v>86</v>
      </c>
    </row>
    <row r="6486" spans="1:5" x14ac:dyDescent="0.2">
      <c r="A6486" s="1" t="s">
        <v>1277</v>
      </c>
      <c r="B6486" s="1" t="s">
        <v>817</v>
      </c>
      <c r="C6486" s="5">
        <f>DATE(2024, 10, 22) + TIME(8, 57, 57)</f>
        <v>45587.373576388891</v>
      </c>
      <c r="D6486" s="1" t="s">
        <v>391</v>
      </c>
      <c r="E6486" s="1" t="s">
        <v>336</v>
      </c>
    </row>
    <row r="6487" spans="1:5" x14ac:dyDescent="0.2">
      <c r="A6487" s="1" t="s">
        <v>1277</v>
      </c>
      <c r="B6487" s="1" t="s">
        <v>864</v>
      </c>
      <c r="C6487" s="5">
        <f>DATE(2024, 10, 17) + TIME(10, 41, 25)</f>
        <v>45582.445428240739</v>
      </c>
      <c r="D6487" s="1" t="s">
        <v>450</v>
      </c>
      <c r="E6487" s="1" t="s">
        <v>345</v>
      </c>
    </row>
    <row r="6488" spans="1:5" x14ac:dyDescent="0.2">
      <c r="A6488" s="1" t="s">
        <v>1277</v>
      </c>
      <c r="B6488" s="1" t="s">
        <v>817</v>
      </c>
      <c r="C6488" s="5">
        <f>DATE(2024, 10, 17) + TIME(10, 41, 24)</f>
        <v>45582.445416666669</v>
      </c>
      <c r="D6488" s="1" t="s">
        <v>450</v>
      </c>
      <c r="E6488" s="1" t="s">
        <v>345</v>
      </c>
    </row>
    <row r="6489" spans="1:5" x14ac:dyDescent="0.2">
      <c r="A6489" s="1" t="s">
        <v>1277</v>
      </c>
      <c r="B6489" s="1" t="s">
        <v>60</v>
      </c>
      <c r="C6489" s="5">
        <f>DATE(2024, 10, 17) + TIME(10, 41, 24)</f>
        <v>45582.445416666669</v>
      </c>
      <c r="D6489" s="1" t="s">
        <v>450</v>
      </c>
      <c r="E6489" s="1" t="s">
        <v>345</v>
      </c>
    </row>
    <row r="6490" spans="1:5" x14ac:dyDescent="0.2">
      <c r="A6490" s="1" t="s">
        <v>1277</v>
      </c>
      <c r="B6490" s="1" t="s">
        <v>139</v>
      </c>
      <c r="C6490" s="5">
        <f>DATE(2024, 10, 10) + TIME(8, 26, 16)</f>
        <v>45575.351574074077</v>
      </c>
      <c r="D6490" s="1" t="s">
        <v>320</v>
      </c>
      <c r="E6490" s="1" t="s">
        <v>683</v>
      </c>
    </row>
    <row r="6491" spans="1:5" x14ac:dyDescent="0.2">
      <c r="A6491" s="1" t="s">
        <v>1277</v>
      </c>
      <c r="B6491" s="1" t="s">
        <v>228</v>
      </c>
      <c r="C6491" s="5">
        <f>DATE(2024, 10, 3) + TIME(14, 29, 58)</f>
        <v>45568.604143518518</v>
      </c>
      <c r="D6491" s="1" t="s">
        <v>640</v>
      </c>
      <c r="E6491" s="1" t="s">
        <v>333</v>
      </c>
    </row>
    <row r="6492" spans="1:5" x14ac:dyDescent="0.2">
      <c r="A6492" s="1" t="s">
        <v>1277</v>
      </c>
      <c r="B6492" s="1" t="s">
        <v>664</v>
      </c>
      <c r="C6492" s="5">
        <f>DATE(2024, 10, 2) + TIME(12, 44, 37)</f>
        <v>45567.5309837963</v>
      </c>
      <c r="D6492" s="1" t="s">
        <v>450</v>
      </c>
      <c r="E6492" s="1" t="s">
        <v>185</v>
      </c>
    </row>
    <row r="6493" spans="1:5" x14ac:dyDescent="0.2">
      <c r="A6493" s="1" t="s">
        <v>1277</v>
      </c>
      <c r="B6493" s="1" t="s">
        <v>322</v>
      </c>
      <c r="C6493" s="5">
        <f>DATE(2024, 9, 26) + TIME(9, 51, 27)</f>
        <v>45561.410729166666</v>
      </c>
      <c r="D6493" s="1" t="s">
        <v>459</v>
      </c>
      <c r="E6493" s="1" t="s">
        <v>574</v>
      </c>
    </row>
    <row r="6494" spans="1:5" x14ac:dyDescent="0.2">
      <c r="A6494" s="1" t="s">
        <v>1277</v>
      </c>
      <c r="B6494" s="1" t="s">
        <v>664</v>
      </c>
      <c r="C6494" s="5">
        <f>DATE(2024, 9, 25) + TIME(10, 41, 36)</f>
        <v>45560.445555555554</v>
      </c>
      <c r="D6494" s="1" t="s">
        <v>320</v>
      </c>
      <c r="E6494" s="1" t="s">
        <v>917</v>
      </c>
    </row>
    <row r="6495" spans="1:5" x14ac:dyDescent="0.2">
      <c r="A6495" s="1" t="s">
        <v>1277</v>
      </c>
      <c r="B6495" s="1" t="s">
        <v>163</v>
      </c>
      <c r="C6495" s="5">
        <f>DATE(2024, 9, 23) + TIME(15, 12, 48)</f>
        <v>45558.633888888886</v>
      </c>
      <c r="D6495" s="1" t="s">
        <v>391</v>
      </c>
      <c r="E6495" s="1" t="s">
        <v>619</v>
      </c>
    </row>
    <row r="6496" spans="1:5" x14ac:dyDescent="0.2">
      <c r="A6496" s="1" t="s">
        <v>1277</v>
      </c>
      <c r="B6496" s="1" t="s">
        <v>161</v>
      </c>
      <c r="C6496" s="5">
        <f>DATE(2024, 9, 19) + TIME(13, 17, 24)</f>
        <v>45554.553749999999</v>
      </c>
      <c r="D6496" s="1" t="s">
        <v>396</v>
      </c>
      <c r="E6496" s="1" t="s">
        <v>1181</v>
      </c>
    </row>
    <row r="6497" spans="1:5" x14ac:dyDescent="0.2">
      <c r="A6497" s="1" t="s">
        <v>1277</v>
      </c>
      <c r="B6497" s="1" t="s">
        <v>163</v>
      </c>
      <c r="C6497" s="5">
        <f>DATE(2024, 9, 16) + TIME(14, 15, 38)</f>
        <v>45551.594189814816</v>
      </c>
      <c r="D6497" s="1" t="s">
        <v>391</v>
      </c>
      <c r="E6497" s="1" t="s">
        <v>619</v>
      </c>
    </row>
    <row r="6498" spans="1:5" x14ac:dyDescent="0.2">
      <c r="A6498" s="1" t="s">
        <v>1277</v>
      </c>
      <c r="B6498" s="1" t="s">
        <v>580</v>
      </c>
      <c r="C6498" s="5">
        <f>DATE(2024, 9, 16) + TIME(14, 9, 35)</f>
        <v>45551.589988425927</v>
      </c>
      <c r="D6498" s="1" t="s">
        <v>391</v>
      </c>
      <c r="E6498" s="1" t="s">
        <v>883</v>
      </c>
    </row>
    <row r="6499" spans="1:5" x14ac:dyDescent="0.2">
      <c r="A6499" s="1" t="s">
        <v>1277</v>
      </c>
      <c r="B6499" s="1" t="s">
        <v>1162</v>
      </c>
      <c r="C6499" s="5">
        <f>DATE(2024, 9, 9) + TIME(15, 45, 34)</f>
        <v>45544.656643518516</v>
      </c>
      <c r="D6499" s="1" t="s">
        <v>871</v>
      </c>
      <c r="E6499" s="1" t="s">
        <v>218</v>
      </c>
    </row>
    <row r="6500" spans="1:5" x14ac:dyDescent="0.2">
      <c r="A6500" s="1" t="s">
        <v>1277</v>
      </c>
      <c r="B6500" s="1" t="s">
        <v>905</v>
      </c>
      <c r="C6500" s="5">
        <f>DATE(2024, 9, 9) + TIME(15, 45, 34)</f>
        <v>45544.656643518516</v>
      </c>
      <c r="D6500" s="1" t="s">
        <v>871</v>
      </c>
      <c r="E6500" s="1" t="s">
        <v>218</v>
      </c>
    </row>
    <row r="6501" spans="1:5" x14ac:dyDescent="0.2">
      <c r="A6501" s="1" t="s">
        <v>1277</v>
      </c>
      <c r="B6501" s="1" t="s">
        <v>786</v>
      </c>
      <c r="C6501" s="5">
        <f>DATE(2024, 9, 9) + TIME(15, 45, 34)</f>
        <v>45544.656643518516</v>
      </c>
      <c r="D6501" s="1" t="s">
        <v>871</v>
      </c>
      <c r="E6501" s="1" t="s">
        <v>218</v>
      </c>
    </row>
    <row r="6502" spans="1:5" x14ac:dyDescent="0.2">
      <c r="A6502" s="1" t="s">
        <v>1277</v>
      </c>
      <c r="B6502" s="1" t="s">
        <v>664</v>
      </c>
      <c r="C6502" s="5">
        <f>DATE(2024, 9, 5) + TIME(9, 51, 52)</f>
        <v>45540.41101851852</v>
      </c>
      <c r="D6502" s="1" t="s">
        <v>459</v>
      </c>
      <c r="E6502" s="1" t="s">
        <v>574</v>
      </c>
    </row>
    <row r="6503" spans="1:5" x14ac:dyDescent="0.2">
      <c r="A6503" s="1" t="s">
        <v>1277</v>
      </c>
      <c r="B6503" s="1" t="s">
        <v>1199</v>
      </c>
      <c r="C6503" s="5">
        <f>DATE(2024, 9, 2) + TIME(15, 49, 16)</f>
        <v>45537.659212962964</v>
      </c>
      <c r="D6503" s="1" t="s">
        <v>871</v>
      </c>
      <c r="E6503" s="1" t="s">
        <v>218</v>
      </c>
    </row>
    <row r="6504" spans="1:5" x14ac:dyDescent="0.2">
      <c r="A6504" s="1" t="s">
        <v>1277</v>
      </c>
      <c r="B6504" s="1" t="s">
        <v>664</v>
      </c>
      <c r="C6504" s="5">
        <f>DATE(2024, 8, 28) + TIME(13, 15, 31)</f>
        <v>45532.552442129629</v>
      </c>
      <c r="D6504" s="1" t="s">
        <v>871</v>
      </c>
      <c r="E6504" s="1" t="s">
        <v>86</v>
      </c>
    </row>
    <row r="6505" spans="1:5" x14ac:dyDescent="0.2">
      <c r="A6505" s="1" t="s">
        <v>1277</v>
      </c>
      <c r="B6505" s="1" t="s">
        <v>664</v>
      </c>
      <c r="C6505" s="5">
        <f>DATE(2024, 8, 21) + TIME(14, 24, 32)</f>
        <v>45525.600370370368</v>
      </c>
      <c r="D6505" s="1" t="s">
        <v>731</v>
      </c>
      <c r="E6505" s="1" t="s">
        <v>611</v>
      </c>
    </row>
    <row r="6506" spans="1:5" x14ac:dyDescent="0.2">
      <c r="A6506" s="1" t="s">
        <v>1277</v>
      </c>
      <c r="B6506" s="1" t="s">
        <v>161</v>
      </c>
      <c r="C6506" s="5">
        <f>DATE(2024, 8, 19) + TIME(3, 37, 59)</f>
        <v>45523.151377314818</v>
      </c>
      <c r="D6506" s="1" t="s">
        <v>65</v>
      </c>
      <c r="E6506" s="1" t="s">
        <v>35</v>
      </c>
    </row>
    <row r="6507" spans="1:5" x14ac:dyDescent="0.2">
      <c r="A6507" s="1" t="s">
        <v>1277</v>
      </c>
      <c r="B6507" s="1" t="s">
        <v>664</v>
      </c>
      <c r="C6507" s="5">
        <f>DATE(2024, 8, 15) + TIME(15, 37, 35)</f>
        <v>45519.651099537034</v>
      </c>
      <c r="D6507" s="1" t="s">
        <v>566</v>
      </c>
      <c r="E6507" s="1" t="s">
        <v>883</v>
      </c>
    </row>
    <row r="6508" spans="1:5" x14ac:dyDescent="0.2">
      <c r="A6508" s="1" t="s">
        <v>1277</v>
      </c>
      <c r="B6508" s="1" t="s">
        <v>235</v>
      </c>
      <c r="C6508" s="5">
        <f>DATE(2024, 8, 13) + TIME(10, 20, 13)</f>
        <v>45517.430706018517</v>
      </c>
      <c r="D6508" s="1" t="s">
        <v>450</v>
      </c>
      <c r="E6508" s="1" t="s">
        <v>292</v>
      </c>
    </row>
    <row r="6509" spans="1:5" x14ac:dyDescent="0.2">
      <c r="A6509" s="1" t="s">
        <v>1277</v>
      </c>
      <c r="B6509" s="1" t="s">
        <v>664</v>
      </c>
      <c r="C6509" s="5">
        <f>DATE(2024, 8, 7) + TIME(10, 30, 11)</f>
        <v>45511.437627314815</v>
      </c>
      <c r="D6509" s="1" t="s">
        <v>640</v>
      </c>
      <c r="E6509" s="1" t="s">
        <v>611</v>
      </c>
    </row>
    <row r="6510" spans="1:5" x14ac:dyDescent="0.2">
      <c r="A6510" s="1" t="s">
        <v>1277</v>
      </c>
      <c r="B6510" s="1" t="s">
        <v>436</v>
      </c>
      <c r="C6510" s="5">
        <f>DATE(2024, 8, 6) + TIME(10, 7, 4)</f>
        <v>45510.421574074076</v>
      </c>
      <c r="D6510" s="1" t="s">
        <v>869</v>
      </c>
      <c r="E6510" s="1" t="s">
        <v>830</v>
      </c>
    </row>
    <row r="6511" spans="1:5" x14ac:dyDescent="0.2">
      <c r="A6511" s="1" t="s">
        <v>1277</v>
      </c>
      <c r="B6511" s="1" t="s">
        <v>139</v>
      </c>
      <c r="C6511" s="5">
        <f>DATE(2024, 6, 24) + TIME(15, 0, 24)</f>
        <v>45467.625277777777</v>
      </c>
      <c r="D6511" s="1" t="s">
        <v>65</v>
      </c>
      <c r="E6511" s="1" t="s">
        <v>35</v>
      </c>
    </row>
    <row r="6512" spans="1:5" x14ac:dyDescent="0.2">
      <c r="A6512" s="1" t="s">
        <v>1277</v>
      </c>
      <c r="B6512" s="1" t="s">
        <v>931</v>
      </c>
      <c r="C6512" s="5">
        <f>DATE(2024, 6, 24) + TIME(9, 48, 49)</f>
        <v>45467.408900462964</v>
      </c>
      <c r="D6512" s="1" t="s">
        <v>320</v>
      </c>
      <c r="E6512" s="1" t="s">
        <v>683</v>
      </c>
    </row>
    <row r="6513" spans="1:5" x14ac:dyDescent="0.2">
      <c r="A6513" s="1" t="s">
        <v>1277</v>
      </c>
      <c r="B6513" s="1" t="s">
        <v>378</v>
      </c>
      <c r="C6513" s="5">
        <f>DATE(2024, 6, 13) + TIME(12, 41, 11)</f>
        <v>45456.528599537036</v>
      </c>
      <c r="D6513" s="1" t="s">
        <v>640</v>
      </c>
      <c r="E6513" s="1" t="s">
        <v>1107</v>
      </c>
    </row>
    <row r="6514" spans="1:5" x14ac:dyDescent="0.2">
      <c r="A6514" s="1" t="s">
        <v>1277</v>
      </c>
      <c r="B6514" s="1" t="s">
        <v>271</v>
      </c>
      <c r="C6514" s="5">
        <f>DATE(2024, 6, 13) + TIME(12, 41, 11)</f>
        <v>45456.528599537036</v>
      </c>
      <c r="D6514" s="1" t="s">
        <v>640</v>
      </c>
      <c r="E6514" s="1" t="s">
        <v>1107</v>
      </c>
    </row>
    <row r="6515" spans="1:5" x14ac:dyDescent="0.2">
      <c r="A6515" s="1" t="s">
        <v>497</v>
      </c>
      <c r="B6515" s="1" t="s">
        <v>620</v>
      </c>
      <c r="C6515" s="5">
        <f>DATE(2025, 9, 2) + TIME(13, 10, 36)</f>
        <v>45902.549027777779</v>
      </c>
      <c r="D6515" s="1" t="s">
        <v>506</v>
      </c>
      <c r="E6515" s="1" t="s">
        <v>509</v>
      </c>
    </row>
    <row r="6516" spans="1:5" x14ac:dyDescent="0.2">
      <c r="A6516" s="1" t="s">
        <v>497</v>
      </c>
      <c r="B6516" s="1" t="s">
        <v>933</v>
      </c>
      <c r="C6516" s="5">
        <f>DATE(2025, 8, 12) + TIME(13, 44, 51)</f>
        <v>45881.572812500002</v>
      </c>
      <c r="D6516" s="1" t="s">
        <v>396</v>
      </c>
      <c r="E6516" s="1" t="s">
        <v>966</v>
      </c>
    </row>
    <row r="6517" spans="1:5" x14ac:dyDescent="0.2">
      <c r="A6517" s="1" t="s">
        <v>497</v>
      </c>
      <c r="B6517" s="1" t="s">
        <v>271</v>
      </c>
      <c r="C6517" s="5">
        <f>DATE(2025, 7, 23) + TIME(11, 40, 39)</f>
        <v>45861.486562500002</v>
      </c>
      <c r="D6517" s="1" t="s">
        <v>320</v>
      </c>
      <c r="E6517" s="1" t="s">
        <v>689</v>
      </c>
    </row>
    <row r="6518" spans="1:5" x14ac:dyDescent="0.2">
      <c r="A6518" s="1" t="s">
        <v>497</v>
      </c>
      <c r="B6518" s="1" t="s">
        <v>69</v>
      </c>
      <c r="C6518" s="5">
        <f>DATE(2025, 7, 15) + TIME(11, 45, 45)</f>
        <v>45853.490104166667</v>
      </c>
      <c r="D6518" s="1" t="s">
        <v>148</v>
      </c>
      <c r="E6518" s="1" t="s">
        <v>671</v>
      </c>
    </row>
    <row r="6519" spans="1:5" x14ac:dyDescent="0.2">
      <c r="A6519" s="1" t="s">
        <v>497</v>
      </c>
      <c r="B6519" s="1" t="s">
        <v>60</v>
      </c>
      <c r="C6519" s="5">
        <f>DATE(2025, 6, 26) + TIME(15, 50, 5)</f>
        <v>45834.659780092596</v>
      </c>
      <c r="D6519" s="1" t="s">
        <v>566</v>
      </c>
      <c r="E6519" s="1" t="s">
        <v>570</v>
      </c>
    </row>
    <row r="6520" spans="1:5" x14ac:dyDescent="0.2">
      <c r="A6520" s="1" t="s">
        <v>497</v>
      </c>
      <c r="B6520" s="1" t="s">
        <v>564</v>
      </c>
      <c r="C6520" s="5">
        <f>DATE(2025, 6, 26) + TIME(15, 50, 5)</f>
        <v>45834.659780092596</v>
      </c>
      <c r="D6520" s="1" t="s">
        <v>566</v>
      </c>
      <c r="E6520" s="1" t="s">
        <v>570</v>
      </c>
    </row>
    <row r="6521" spans="1:5" x14ac:dyDescent="0.2">
      <c r="A6521" s="1" t="s">
        <v>497</v>
      </c>
      <c r="B6521" s="1" t="s">
        <v>387</v>
      </c>
      <c r="C6521" s="5">
        <f>DATE(2025, 6, 23) + TIME(16, 38, 35)</f>
        <v>45831.693460648145</v>
      </c>
      <c r="D6521" s="1" t="s">
        <v>65</v>
      </c>
      <c r="E6521" s="1" t="s">
        <v>130</v>
      </c>
    </row>
    <row r="6522" spans="1:5" x14ac:dyDescent="0.2">
      <c r="A6522" s="1" t="s">
        <v>497</v>
      </c>
      <c r="B6522" s="1" t="s">
        <v>564</v>
      </c>
      <c r="C6522" s="5">
        <f>DATE(2025, 6, 23) + TIME(11, 1, 36)</f>
        <v>45831.459444444445</v>
      </c>
      <c r="D6522" s="1" t="s">
        <v>320</v>
      </c>
      <c r="E6522" s="1" t="s">
        <v>698</v>
      </c>
    </row>
    <row r="6523" spans="1:5" x14ac:dyDescent="0.2">
      <c r="A6523" s="1" t="s">
        <v>497</v>
      </c>
      <c r="B6523" s="1" t="s">
        <v>60</v>
      </c>
      <c r="C6523" s="5">
        <f>DATE(2025, 6, 23) + TIME(10, 34, 24)</f>
        <v>45831.440555555557</v>
      </c>
      <c r="D6523" s="1" t="s">
        <v>3</v>
      </c>
      <c r="E6523" s="1" t="s">
        <v>168</v>
      </c>
    </row>
    <row r="6524" spans="1:5" x14ac:dyDescent="0.2">
      <c r="A6524" s="1" t="s">
        <v>497</v>
      </c>
      <c r="B6524" s="1" t="s">
        <v>69</v>
      </c>
      <c r="C6524" s="5">
        <f>DATE(2025, 6, 19) + TIME(11, 8, 19)</f>
        <v>45827.464108796295</v>
      </c>
      <c r="D6524" s="1" t="s">
        <v>269</v>
      </c>
      <c r="E6524" s="1" t="s">
        <v>299</v>
      </c>
    </row>
    <row r="6525" spans="1:5" x14ac:dyDescent="0.2">
      <c r="A6525" s="1" t="s">
        <v>497</v>
      </c>
      <c r="B6525" s="1" t="s">
        <v>556</v>
      </c>
      <c r="C6525" s="5">
        <f>DATE(2025, 6, 17) + TIME(13, 30, 51)</f>
        <v>45825.563090277778</v>
      </c>
      <c r="D6525" s="1" t="s">
        <v>65</v>
      </c>
      <c r="E6525" s="1" t="s">
        <v>227</v>
      </c>
    </row>
    <row r="6526" spans="1:5" x14ac:dyDescent="0.2">
      <c r="A6526" s="1" t="s">
        <v>497</v>
      </c>
      <c r="B6526" s="1" t="s">
        <v>323</v>
      </c>
      <c r="C6526" s="5">
        <f>DATE(2025, 6, 11) + TIME(13, 56, 46)</f>
        <v>45819.581087962964</v>
      </c>
      <c r="D6526" s="1" t="s">
        <v>356</v>
      </c>
      <c r="E6526" s="1" t="s">
        <v>629</v>
      </c>
    </row>
    <row r="6527" spans="1:5" x14ac:dyDescent="0.2">
      <c r="A6527" s="1" t="s">
        <v>497</v>
      </c>
      <c r="B6527" s="1" t="s">
        <v>866</v>
      </c>
      <c r="C6527" s="5">
        <f>DATE(2025, 6, 4) + TIME(11, 55, 40)</f>
        <v>45812.496990740743</v>
      </c>
      <c r="D6527" s="1" t="s">
        <v>320</v>
      </c>
      <c r="E6527" s="1" t="s">
        <v>2</v>
      </c>
    </row>
    <row r="6528" spans="1:5" x14ac:dyDescent="0.2">
      <c r="A6528" s="1" t="s">
        <v>497</v>
      </c>
      <c r="B6528" s="1" t="s">
        <v>556</v>
      </c>
      <c r="C6528" s="5">
        <f>DATE(2025, 6, 3) + TIME(11, 8, 13)</f>
        <v>45811.464039351849</v>
      </c>
      <c r="D6528" s="1" t="s">
        <v>65</v>
      </c>
      <c r="E6528" s="1" t="s">
        <v>404</v>
      </c>
    </row>
    <row r="6529" spans="1:5" x14ac:dyDescent="0.2">
      <c r="A6529" s="1" t="s">
        <v>497</v>
      </c>
      <c r="B6529" s="1" t="s">
        <v>290</v>
      </c>
      <c r="C6529" s="5">
        <f>DATE(2025, 6, 3) + TIME(4, 9, 4)</f>
        <v>45811.172962962963</v>
      </c>
      <c r="D6529" s="1" t="s">
        <v>65</v>
      </c>
      <c r="E6529" s="1" t="s">
        <v>444</v>
      </c>
    </row>
    <row r="6530" spans="1:5" x14ac:dyDescent="0.2">
      <c r="A6530" s="1" t="s">
        <v>497</v>
      </c>
      <c r="B6530" s="1" t="s">
        <v>63</v>
      </c>
      <c r="C6530" s="5">
        <f>DATE(2025, 5, 29) + TIME(12, 16, 18)</f>
        <v>45806.511319444442</v>
      </c>
      <c r="D6530" s="1" t="s">
        <v>640</v>
      </c>
      <c r="E6530" s="1" t="s">
        <v>133</v>
      </c>
    </row>
    <row r="6531" spans="1:5" x14ac:dyDescent="0.2">
      <c r="A6531" s="1" t="s">
        <v>497</v>
      </c>
      <c r="B6531" s="1" t="s">
        <v>60</v>
      </c>
      <c r="C6531" s="5">
        <f>DATE(2025, 5, 29) + TIME(11, 22, 9)</f>
        <v>45806.473715277774</v>
      </c>
      <c r="D6531" s="1" t="s">
        <v>216</v>
      </c>
      <c r="E6531" s="1" t="s">
        <v>466</v>
      </c>
    </row>
    <row r="6532" spans="1:5" x14ac:dyDescent="0.2">
      <c r="A6532" s="1" t="s">
        <v>497</v>
      </c>
      <c r="B6532" s="1" t="s">
        <v>866</v>
      </c>
      <c r="C6532" s="5">
        <f>DATE(2025, 5, 27) + TIME(13, 4, 34)</f>
        <v>45804.54483796296</v>
      </c>
      <c r="D6532" s="1" t="s">
        <v>320</v>
      </c>
      <c r="E6532" s="1" t="s">
        <v>342</v>
      </c>
    </row>
    <row r="6533" spans="1:5" x14ac:dyDescent="0.2">
      <c r="A6533" s="1" t="s">
        <v>497</v>
      </c>
      <c r="B6533" s="1" t="s">
        <v>271</v>
      </c>
      <c r="C6533" s="5">
        <f>DATE(2025, 5, 22) + TIME(11, 57, 23)</f>
        <v>45799.498182870368</v>
      </c>
      <c r="D6533" s="1" t="s">
        <v>640</v>
      </c>
      <c r="E6533" s="1" t="s">
        <v>667</v>
      </c>
    </row>
    <row r="6534" spans="1:5" x14ac:dyDescent="0.2">
      <c r="A6534" s="1" t="s">
        <v>497</v>
      </c>
      <c r="B6534" s="1" t="s">
        <v>139</v>
      </c>
      <c r="C6534" s="5">
        <f>DATE(2025, 5, 21) + TIME(11, 26, 37)</f>
        <v>45798.476817129631</v>
      </c>
      <c r="D6534" s="1" t="s">
        <v>64</v>
      </c>
      <c r="E6534" s="1" t="s">
        <v>679</v>
      </c>
    </row>
    <row r="6535" spans="1:5" x14ac:dyDescent="0.2">
      <c r="A6535" s="1" t="s">
        <v>497</v>
      </c>
      <c r="B6535" s="1" t="s">
        <v>60</v>
      </c>
      <c r="C6535" s="5">
        <f>DATE(2025, 5, 21) + TIME(11, 3, 57)</f>
        <v>45798.461076388892</v>
      </c>
      <c r="D6535" s="1" t="s">
        <v>216</v>
      </c>
      <c r="E6535" s="1" t="s">
        <v>274</v>
      </c>
    </row>
    <row r="6536" spans="1:5" x14ac:dyDescent="0.2">
      <c r="A6536" s="1" t="s">
        <v>497</v>
      </c>
      <c r="B6536" s="1" t="s">
        <v>69</v>
      </c>
      <c r="C6536" s="5">
        <f>DATE(2025, 5, 20) + TIME(14, 19, 9)</f>
        <v>45797.596631944441</v>
      </c>
      <c r="D6536" s="1" t="s">
        <v>640</v>
      </c>
      <c r="E6536" s="1" t="s">
        <v>55</v>
      </c>
    </row>
    <row r="6537" spans="1:5" x14ac:dyDescent="0.2">
      <c r="A6537" s="1" t="s">
        <v>497</v>
      </c>
      <c r="B6537" s="1" t="s">
        <v>69</v>
      </c>
      <c r="C6537" s="5">
        <f>DATE(2025, 5, 15) + TIME(13, 35, 53)</f>
        <v>45792.56658564815</v>
      </c>
      <c r="D6537" s="1" t="s">
        <v>506</v>
      </c>
      <c r="E6537" s="1" t="s">
        <v>649</v>
      </c>
    </row>
    <row r="6538" spans="1:5" x14ac:dyDescent="0.2">
      <c r="A6538" s="1" t="s">
        <v>497</v>
      </c>
      <c r="B6538" s="1" t="s">
        <v>323</v>
      </c>
      <c r="C6538" s="5">
        <f>DATE(2025, 5, 15) + TIME(12, 10, 1)</f>
        <v>45792.506956018522</v>
      </c>
      <c r="D6538" s="1" t="s">
        <v>269</v>
      </c>
      <c r="E6538" s="1" t="s">
        <v>973</v>
      </c>
    </row>
    <row r="6539" spans="1:5" x14ac:dyDescent="0.2">
      <c r="A6539" s="1" t="s">
        <v>497</v>
      </c>
      <c r="B6539" s="1" t="s">
        <v>60</v>
      </c>
      <c r="C6539" s="5">
        <f>DATE(2025, 5, 14) + TIME(14, 41, 48)</f>
        <v>45791.612361111111</v>
      </c>
      <c r="D6539" s="1" t="s">
        <v>216</v>
      </c>
      <c r="E6539" s="1" t="s">
        <v>274</v>
      </c>
    </row>
    <row r="6540" spans="1:5" x14ac:dyDescent="0.2">
      <c r="A6540" s="1" t="s">
        <v>497</v>
      </c>
      <c r="B6540" s="1" t="s">
        <v>69</v>
      </c>
      <c r="C6540" s="5">
        <f>DATE(2025, 5, 13) + TIME(12, 59, 3)</f>
        <v>45790.541006944448</v>
      </c>
      <c r="D6540" s="1" t="s">
        <v>863</v>
      </c>
      <c r="E6540" s="1" t="s">
        <v>186</v>
      </c>
    </row>
    <row r="6541" spans="1:5" x14ac:dyDescent="0.2">
      <c r="A6541" s="1" t="s">
        <v>497</v>
      </c>
      <c r="B6541" s="1" t="s">
        <v>323</v>
      </c>
      <c r="C6541" s="5">
        <f>DATE(2025, 5, 13) + TIME(9, 36, 12)</f>
        <v>45790.400138888886</v>
      </c>
      <c r="D6541" s="1" t="s">
        <v>216</v>
      </c>
      <c r="E6541" s="1" t="s">
        <v>101</v>
      </c>
    </row>
    <row r="6542" spans="1:5" x14ac:dyDescent="0.2">
      <c r="A6542" s="1" t="s">
        <v>497</v>
      </c>
      <c r="B6542" s="1" t="s">
        <v>60</v>
      </c>
      <c r="C6542" s="5">
        <f>DATE(2025, 5, 13) + TIME(9, 36, 12)</f>
        <v>45790.400138888886</v>
      </c>
      <c r="D6542" s="1" t="s">
        <v>216</v>
      </c>
      <c r="E6542" s="1" t="s">
        <v>101</v>
      </c>
    </row>
    <row r="6543" spans="1:5" x14ac:dyDescent="0.2">
      <c r="A6543" s="1" t="s">
        <v>497</v>
      </c>
      <c r="B6543" s="1" t="s">
        <v>69</v>
      </c>
      <c r="C6543" s="5">
        <f>DATE(2025, 5, 8) + TIME(14, 12, 38)</f>
        <v>45785.592106481483</v>
      </c>
      <c r="D6543" s="1" t="s">
        <v>148</v>
      </c>
      <c r="E6543" s="1" t="s">
        <v>527</v>
      </c>
    </row>
    <row r="6544" spans="1:5" x14ac:dyDescent="0.2">
      <c r="A6544" s="1" t="s">
        <v>497</v>
      </c>
      <c r="B6544" s="1" t="s">
        <v>927</v>
      </c>
      <c r="C6544" s="5">
        <f>DATE(2025, 5, 7) + TIME(16, 30, 19)</f>
        <v>45784.687719907408</v>
      </c>
      <c r="D6544" s="1" t="s">
        <v>216</v>
      </c>
      <c r="E6544" s="1" t="s">
        <v>519</v>
      </c>
    </row>
    <row r="6545" spans="1:5" x14ac:dyDescent="0.2">
      <c r="A6545" s="1" t="s">
        <v>497</v>
      </c>
      <c r="B6545" s="1" t="s">
        <v>69</v>
      </c>
      <c r="C6545" s="5">
        <f>DATE(2025, 5, 7) + TIME(15, 39, 49)</f>
        <v>45784.652650462966</v>
      </c>
      <c r="D6545" s="1" t="s">
        <v>3</v>
      </c>
      <c r="E6545" s="1" t="s">
        <v>890</v>
      </c>
    </row>
    <row r="6546" spans="1:5" x14ac:dyDescent="0.2">
      <c r="A6546" s="1" t="s">
        <v>497</v>
      </c>
      <c r="B6546" s="1" t="s">
        <v>60</v>
      </c>
      <c r="C6546" s="5">
        <f>DATE(2025, 5, 6) + TIME(14, 23, 3)</f>
        <v>45783.599340277775</v>
      </c>
      <c r="D6546" s="1" t="s">
        <v>566</v>
      </c>
      <c r="E6546" s="1" t="s">
        <v>814</v>
      </c>
    </row>
    <row r="6547" spans="1:5" x14ac:dyDescent="0.2">
      <c r="A6547" s="1" t="s">
        <v>497</v>
      </c>
      <c r="B6547" s="1" t="s">
        <v>323</v>
      </c>
      <c r="C6547" s="5">
        <f>DATE(2025, 5, 5) + TIME(16, 4, 52)</f>
        <v>45782.670046296298</v>
      </c>
      <c r="D6547" s="1" t="s">
        <v>65</v>
      </c>
      <c r="E6547" s="1" t="s">
        <v>130</v>
      </c>
    </row>
    <row r="6548" spans="1:5" x14ac:dyDescent="0.2">
      <c r="A6548" s="1" t="s">
        <v>497</v>
      </c>
      <c r="B6548" s="1" t="s">
        <v>564</v>
      </c>
      <c r="C6548" s="5">
        <f>DATE(2025, 5, 1) + TIME(13, 44, 0)</f>
        <v>45778.572222222225</v>
      </c>
      <c r="D6548" s="1" t="s">
        <v>396</v>
      </c>
      <c r="E6548" s="1" t="s">
        <v>745</v>
      </c>
    </row>
    <row r="6549" spans="1:5" x14ac:dyDescent="0.2">
      <c r="A6549" s="1" t="s">
        <v>497</v>
      </c>
      <c r="B6549" s="1" t="s">
        <v>60</v>
      </c>
      <c r="C6549" s="5">
        <f>DATE(2025, 5, 1) + TIME(11, 58, 21)</f>
        <v>45778.498854166668</v>
      </c>
      <c r="D6549" s="1" t="s">
        <v>3</v>
      </c>
      <c r="E6549" s="1" t="s">
        <v>307</v>
      </c>
    </row>
    <row r="6550" spans="1:5" x14ac:dyDescent="0.2">
      <c r="A6550" s="1" t="s">
        <v>497</v>
      </c>
      <c r="B6550" s="1" t="s">
        <v>318</v>
      </c>
      <c r="C6550" s="5">
        <f>DATE(2025, 4, 30) + TIME(15, 22, 11)</f>
        <v>45777.640405092592</v>
      </c>
      <c r="D6550" s="1" t="s">
        <v>65</v>
      </c>
      <c r="E6550" s="1" t="s">
        <v>772</v>
      </c>
    </row>
    <row r="6551" spans="1:5" x14ac:dyDescent="0.2">
      <c r="A6551" s="1" t="s">
        <v>497</v>
      </c>
      <c r="B6551" s="1" t="s">
        <v>323</v>
      </c>
      <c r="C6551" s="5">
        <f>DATE(2025, 4, 30) + TIME(13, 25, 24)</f>
        <v>45777.559305555558</v>
      </c>
      <c r="D6551" s="1" t="s">
        <v>640</v>
      </c>
      <c r="E6551" s="1" t="s">
        <v>611</v>
      </c>
    </row>
    <row r="6552" spans="1:5" x14ac:dyDescent="0.2">
      <c r="A6552" s="1" t="s">
        <v>497</v>
      </c>
      <c r="B6552" s="1" t="s">
        <v>69</v>
      </c>
      <c r="C6552" s="5">
        <f>DATE(2025, 4, 30) + TIME(13, 25, 24)</f>
        <v>45777.559305555558</v>
      </c>
      <c r="D6552" s="1" t="s">
        <v>640</v>
      </c>
      <c r="E6552" s="1" t="s">
        <v>611</v>
      </c>
    </row>
    <row r="6553" spans="1:5" x14ac:dyDescent="0.2">
      <c r="A6553" s="1" t="s">
        <v>497</v>
      </c>
      <c r="B6553" s="1" t="s">
        <v>69</v>
      </c>
      <c r="C6553" s="5">
        <f>DATE(2025, 4, 30) + TIME(12, 10, 43)</f>
        <v>45777.50744212963</v>
      </c>
      <c r="D6553" s="1" t="s">
        <v>64</v>
      </c>
      <c r="E6553" s="1" t="s">
        <v>873</v>
      </c>
    </row>
    <row r="6554" spans="1:5" x14ac:dyDescent="0.2">
      <c r="A6554" s="1" t="s">
        <v>497</v>
      </c>
      <c r="B6554" s="1" t="s">
        <v>141</v>
      </c>
      <c r="C6554" s="5">
        <f>DATE(2025, 4, 30) + TIME(11, 34, 5)</f>
        <v>45777.482002314813</v>
      </c>
      <c r="D6554" s="1" t="s">
        <v>64</v>
      </c>
      <c r="E6554" s="1" t="s">
        <v>326</v>
      </c>
    </row>
    <row r="6555" spans="1:5" x14ac:dyDescent="0.2">
      <c r="A6555" s="1" t="s">
        <v>497</v>
      </c>
      <c r="B6555" s="1" t="s">
        <v>69</v>
      </c>
      <c r="C6555" s="5">
        <f>DATE(2025, 4, 28) + TIME(17, 55, 57)</f>
        <v>45775.747187499997</v>
      </c>
      <c r="D6555" s="1" t="s">
        <v>65</v>
      </c>
      <c r="E6555" s="1" t="s">
        <v>152</v>
      </c>
    </row>
    <row r="6556" spans="1:5" x14ac:dyDescent="0.2">
      <c r="A6556" s="1" t="s">
        <v>497</v>
      </c>
      <c r="B6556" s="1" t="s">
        <v>323</v>
      </c>
      <c r="C6556" s="5">
        <f>DATE(2025, 4, 28) + TIME(16, 35, 2)</f>
        <v>45775.690995370373</v>
      </c>
      <c r="D6556" s="1" t="s">
        <v>65</v>
      </c>
      <c r="E6556" s="1" t="s">
        <v>804</v>
      </c>
    </row>
    <row r="6557" spans="1:5" x14ac:dyDescent="0.2">
      <c r="A6557" s="1" t="s">
        <v>497</v>
      </c>
      <c r="B6557" s="1" t="s">
        <v>866</v>
      </c>
      <c r="C6557" s="5">
        <f>DATE(2025, 4, 28) + TIME(14, 53, 37)</f>
        <v>45775.620567129627</v>
      </c>
      <c r="D6557" s="1" t="s">
        <v>65</v>
      </c>
      <c r="E6557" s="1" t="s">
        <v>960</v>
      </c>
    </row>
    <row r="6558" spans="1:5" x14ac:dyDescent="0.2">
      <c r="A6558" s="1" t="s">
        <v>497</v>
      </c>
      <c r="B6558" s="1" t="s">
        <v>69</v>
      </c>
      <c r="C6558" s="5">
        <f>DATE(2025, 4, 28) + TIME(12, 44, 4)</f>
        <v>45775.530601851853</v>
      </c>
      <c r="D6558" s="1" t="s">
        <v>65</v>
      </c>
      <c r="E6558" s="1" t="s">
        <v>400</v>
      </c>
    </row>
    <row r="6559" spans="1:5" x14ac:dyDescent="0.2">
      <c r="A6559" s="1" t="s">
        <v>497</v>
      </c>
      <c r="B6559" s="1" t="s">
        <v>556</v>
      </c>
      <c r="C6559" s="5">
        <f>DATE(2025, 4, 28) + TIME(12, 1, 8)</f>
        <v>45775.500787037039</v>
      </c>
      <c r="D6559" s="1" t="s">
        <v>65</v>
      </c>
      <c r="E6559" s="1" t="s">
        <v>404</v>
      </c>
    </row>
    <row r="6560" spans="1:5" x14ac:dyDescent="0.2">
      <c r="A6560" s="1" t="s">
        <v>497</v>
      </c>
      <c r="B6560" s="1" t="s">
        <v>69</v>
      </c>
      <c r="C6560" s="5">
        <f>DATE(2025, 4, 28) + TIME(10, 46, 50)</f>
        <v>45775.449189814812</v>
      </c>
      <c r="D6560" s="1" t="s">
        <v>65</v>
      </c>
      <c r="E6560" s="1" t="s">
        <v>219</v>
      </c>
    </row>
    <row r="6561" spans="1:5" x14ac:dyDescent="0.2">
      <c r="A6561" s="1" t="s">
        <v>497</v>
      </c>
      <c r="B6561" s="1" t="s">
        <v>60</v>
      </c>
      <c r="C6561" s="5">
        <f>DATE(2025, 4, 25) + TIME(15, 26, 15)</f>
        <v>45772.643229166664</v>
      </c>
      <c r="D6561" s="1" t="s">
        <v>396</v>
      </c>
      <c r="E6561" s="1" t="s">
        <v>256</v>
      </c>
    </row>
    <row r="6562" spans="1:5" x14ac:dyDescent="0.2">
      <c r="A6562" s="1" t="s">
        <v>497</v>
      </c>
      <c r="B6562" s="1" t="s">
        <v>60</v>
      </c>
      <c r="C6562" s="5">
        <f>DATE(2025, 4, 24) + TIME(16, 20, 16)</f>
        <v>45771.68074074074</v>
      </c>
      <c r="D6562" s="1" t="s">
        <v>640</v>
      </c>
      <c r="E6562" s="1" t="s">
        <v>667</v>
      </c>
    </row>
    <row r="6563" spans="1:5" x14ac:dyDescent="0.2">
      <c r="A6563" s="1" t="s">
        <v>497</v>
      </c>
      <c r="B6563" s="1" t="s">
        <v>564</v>
      </c>
      <c r="C6563" s="5">
        <f>DATE(2025, 4, 24) + TIME(15, 10, 19)</f>
        <v>45771.632164351853</v>
      </c>
      <c r="D6563" s="1" t="s">
        <v>506</v>
      </c>
      <c r="E6563" s="1" t="s">
        <v>538</v>
      </c>
    </row>
    <row r="6564" spans="1:5" x14ac:dyDescent="0.2">
      <c r="A6564" s="1" t="s">
        <v>497</v>
      </c>
      <c r="B6564" s="1" t="s">
        <v>69</v>
      </c>
      <c r="C6564" s="5">
        <f>DATE(2025, 4, 24) + TIME(15, 10, 19)</f>
        <v>45771.632164351853</v>
      </c>
      <c r="D6564" s="1" t="s">
        <v>506</v>
      </c>
      <c r="E6564" s="1" t="s">
        <v>538</v>
      </c>
    </row>
    <row r="6565" spans="1:5" x14ac:dyDescent="0.2">
      <c r="A6565" s="1" t="s">
        <v>497</v>
      </c>
      <c r="B6565" s="1" t="s">
        <v>69</v>
      </c>
      <c r="C6565" s="5">
        <f>DATE(2025, 4, 24) + TIME(14, 5, 43)</f>
        <v>45771.58730324074</v>
      </c>
      <c r="D6565" s="1" t="s">
        <v>506</v>
      </c>
      <c r="E6565" s="1" t="s">
        <v>649</v>
      </c>
    </row>
    <row r="6566" spans="1:5" x14ac:dyDescent="0.2">
      <c r="A6566" s="1" t="s">
        <v>497</v>
      </c>
      <c r="B6566" s="1" t="s">
        <v>866</v>
      </c>
      <c r="C6566" s="5">
        <f>DATE(2025, 4, 23) + TIME(10, 33, 6)</f>
        <v>45770.439652777779</v>
      </c>
      <c r="D6566" s="1" t="s">
        <v>65</v>
      </c>
      <c r="E6566" s="1" t="s">
        <v>918</v>
      </c>
    </row>
    <row r="6567" spans="1:5" x14ac:dyDescent="0.2">
      <c r="A6567" s="1" t="s">
        <v>497</v>
      </c>
      <c r="B6567" s="1" t="s">
        <v>60</v>
      </c>
      <c r="C6567" s="5">
        <f>DATE(2025, 4, 22) + TIME(13, 55, 29)</f>
        <v>45769.580196759256</v>
      </c>
      <c r="D6567" s="1" t="s">
        <v>64</v>
      </c>
      <c r="E6567" s="1" t="s">
        <v>433</v>
      </c>
    </row>
    <row r="6568" spans="1:5" x14ac:dyDescent="0.2">
      <c r="A6568" s="1" t="s">
        <v>497</v>
      </c>
      <c r="B6568" s="1" t="s">
        <v>271</v>
      </c>
      <c r="C6568" s="5">
        <f>DATE(2025, 4, 22) + TIME(13, 55, 29)</f>
        <v>45769.580196759256</v>
      </c>
      <c r="D6568" s="1" t="s">
        <v>64</v>
      </c>
      <c r="E6568" s="1" t="s">
        <v>433</v>
      </c>
    </row>
    <row r="6569" spans="1:5" x14ac:dyDescent="0.2">
      <c r="A6569" s="1" t="s">
        <v>497</v>
      </c>
      <c r="B6569" s="1" t="s">
        <v>564</v>
      </c>
      <c r="C6569" s="5">
        <f>DATE(2025, 4, 22) + TIME(13, 54, 29)</f>
        <v>45769.579502314817</v>
      </c>
      <c r="D6569" s="1" t="s">
        <v>3</v>
      </c>
      <c r="E6569" s="1" t="s">
        <v>248</v>
      </c>
    </row>
    <row r="6570" spans="1:5" x14ac:dyDescent="0.2">
      <c r="A6570" s="1" t="s">
        <v>497</v>
      </c>
      <c r="B6570" s="1" t="s">
        <v>866</v>
      </c>
      <c r="C6570" s="5">
        <f>DATE(2025, 4, 21) + TIME(19, 5, 36)</f>
        <v>45768.795555555553</v>
      </c>
      <c r="D6570" s="1" t="s">
        <v>863</v>
      </c>
      <c r="E6570" s="1" t="s">
        <v>844</v>
      </c>
    </row>
    <row r="6571" spans="1:5" x14ac:dyDescent="0.2">
      <c r="A6571" s="1" t="s">
        <v>497</v>
      </c>
      <c r="B6571" s="1" t="s">
        <v>69</v>
      </c>
      <c r="C6571" s="5">
        <f>DATE(2025, 4, 21) + TIME(13, 39, 43)</f>
        <v>45768.569247685184</v>
      </c>
      <c r="D6571" s="1" t="s">
        <v>64</v>
      </c>
      <c r="E6571" s="1" t="s">
        <v>26</v>
      </c>
    </row>
    <row r="6572" spans="1:5" x14ac:dyDescent="0.2">
      <c r="A6572" s="1" t="s">
        <v>497</v>
      </c>
      <c r="B6572" s="1" t="s">
        <v>564</v>
      </c>
      <c r="C6572" s="5">
        <f>DATE(2025, 4, 17) + TIME(15, 20, 54)</f>
        <v>45764.639513888891</v>
      </c>
      <c r="D6572" s="1" t="s">
        <v>320</v>
      </c>
      <c r="E6572" s="1" t="s">
        <v>2</v>
      </c>
    </row>
    <row r="6573" spans="1:5" x14ac:dyDescent="0.2">
      <c r="A6573" s="1" t="s">
        <v>497</v>
      </c>
      <c r="B6573" s="1" t="s">
        <v>69</v>
      </c>
      <c r="C6573" s="5">
        <f>DATE(2025, 4, 17) + TIME(12, 14, 49)</f>
        <v>45764.510289351849</v>
      </c>
      <c r="D6573" s="1" t="s">
        <v>640</v>
      </c>
      <c r="E6573" s="1" t="s">
        <v>70</v>
      </c>
    </row>
    <row r="6574" spans="1:5" x14ac:dyDescent="0.2">
      <c r="A6574" s="1" t="s">
        <v>497</v>
      </c>
      <c r="B6574" s="1" t="s">
        <v>69</v>
      </c>
      <c r="C6574" s="5">
        <f>DATE(2025, 4, 16) + TIME(16, 4, 48)</f>
        <v>45763.67</v>
      </c>
      <c r="D6574" s="1" t="s">
        <v>566</v>
      </c>
      <c r="E6574" s="1" t="s">
        <v>888</v>
      </c>
    </row>
    <row r="6575" spans="1:5" x14ac:dyDescent="0.2">
      <c r="A6575" s="1" t="s">
        <v>497</v>
      </c>
      <c r="B6575" s="1" t="s">
        <v>60</v>
      </c>
      <c r="C6575" s="5">
        <f>DATE(2025, 4, 16) + TIME(14, 19, 38)</f>
        <v>45763.596967592595</v>
      </c>
      <c r="D6575" s="1" t="s">
        <v>750</v>
      </c>
      <c r="E6575" s="1" t="s">
        <v>884</v>
      </c>
    </row>
    <row r="6576" spans="1:5" x14ac:dyDescent="0.2">
      <c r="A6576" s="1" t="s">
        <v>497</v>
      </c>
      <c r="B6576" s="1" t="s">
        <v>323</v>
      </c>
      <c r="C6576" s="5">
        <f>DATE(2025, 4, 15) + TIME(12, 13, 20)</f>
        <v>45762.509259259263</v>
      </c>
      <c r="D6576" s="1" t="s">
        <v>269</v>
      </c>
      <c r="E6576" s="1" t="s">
        <v>816</v>
      </c>
    </row>
    <row r="6577" spans="1:5" x14ac:dyDescent="0.2">
      <c r="A6577" s="1" t="s">
        <v>497</v>
      </c>
      <c r="B6577" s="1" t="s">
        <v>60</v>
      </c>
      <c r="C6577" s="5">
        <f>DATE(2025, 4, 11) + TIME(8, 18, 6)</f>
        <v>45758.345902777779</v>
      </c>
      <c r="D6577" s="1" t="s">
        <v>921</v>
      </c>
      <c r="E6577" s="1" t="s">
        <v>232</v>
      </c>
    </row>
    <row r="6578" spans="1:5" x14ac:dyDescent="0.2">
      <c r="A6578" s="1" t="s">
        <v>497</v>
      </c>
      <c r="B6578" s="1" t="s">
        <v>60</v>
      </c>
      <c r="C6578" s="5">
        <f>DATE(2025, 4, 10) + TIME(14, 48, 51)</f>
        <v>45757.617256944446</v>
      </c>
      <c r="D6578" s="1" t="s">
        <v>396</v>
      </c>
      <c r="E6578" s="1" t="s">
        <v>764</v>
      </c>
    </row>
    <row r="6579" spans="1:5" x14ac:dyDescent="0.2">
      <c r="A6579" s="1" t="s">
        <v>497</v>
      </c>
      <c r="B6579" s="1" t="s">
        <v>271</v>
      </c>
      <c r="C6579" s="5">
        <f>DATE(2025, 4, 7) + TIME(15, 46, 38)</f>
        <v>45754.657384259262</v>
      </c>
      <c r="D6579" s="1" t="s">
        <v>459</v>
      </c>
      <c r="E6579" s="1" t="s">
        <v>984</v>
      </c>
    </row>
    <row r="6580" spans="1:5" x14ac:dyDescent="0.2">
      <c r="A6580" s="1" t="s">
        <v>497</v>
      </c>
      <c r="B6580" s="1" t="s">
        <v>564</v>
      </c>
      <c r="C6580" s="5">
        <f>DATE(2025, 4, 7) + TIME(15, 46, 38)</f>
        <v>45754.657384259262</v>
      </c>
      <c r="D6580" s="1" t="s">
        <v>459</v>
      </c>
      <c r="E6580" s="1" t="s">
        <v>984</v>
      </c>
    </row>
    <row r="6581" spans="1:5" x14ac:dyDescent="0.2">
      <c r="A6581" s="1" t="s">
        <v>497</v>
      </c>
      <c r="B6581" s="1" t="s">
        <v>69</v>
      </c>
      <c r="C6581" s="5">
        <f>DATE(2025, 4, 4) + TIME(8, 5, 23)</f>
        <v>45751.337071759262</v>
      </c>
      <c r="D6581" s="1" t="s">
        <v>459</v>
      </c>
      <c r="E6581" s="1" t="s">
        <v>164</v>
      </c>
    </row>
    <row r="6582" spans="1:5" x14ac:dyDescent="0.2">
      <c r="A6582" s="1" t="s">
        <v>497</v>
      </c>
      <c r="B6582" s="1" t="s">
        <v>564</v>
      </c>
      <c r="C6582" s="5">
        <f>DATE(2025, 4, 4) + TIME(8, 5, 23)</f>
        <v>45751.337071759262</v>
      </c>
      <c r="D6582" s="1" t="s">
        <v>459</v>
      </c>
      <c r="E6582" s="1" t="s">
        <v>164</v>
      </c>
    </row>
    <row r="6583" spans="1:5" x14ac:dyDescent="0.2">
      <c r="A6583" s="1" t="s">
        <v>497</v>
      </c>
      <c r="B6583" s="1" t="s">
        <v>60</v>
      </c>
      <c r="C6583" s="5">
        <f>DATE(2025, 4, 4) + TIME(8, 5, 23)</f>
        <v>45751.337071759262</v>
      </c>
      <c r="D6583" s="1" t="s">
        <v>459</v>
      </c>
      <c r="E6583" s="1" t="s">
        <v>164</v>
      </c>
    </row>
    <row r="6584" spans="1:5" x14ac:dyDescent="0.2">
      <c r="A6584" s="1" t="s">
        <v>497</v>
      </c>
      <c r="B6584" s="1" t="s">
        <v>271</v>
      </c>
      <c r="C6584" s="5">
        <f>DATE(2025, 4, 3) + TIME(15, 23, 53)</f>
        <v>45750.641585648147</v>
      </c>
      <c r="D6584" s="1" t="s">
        <v>396</v>
      </c>
      <c r="E6584" s="1" t="s">
        <v>652</v>
      </c>
    </row>
    <row r="6585" spans="1:5" x14ac:dyDescent="0.2">
      <c r="A6585" s="1" t="s">
        <v>497</v>
      </c>
      <c r="B6585" s="1" t="s">
        <v>60</v>
      </c>
      <c r="C6585" s="5">
        <f>DATE(2025, 4, 3) + TIME(12, 51, 59)</f>
        <v>45750.536099537036</v>
      </c>
      <c r="D6585" s="1" t="s">
        <v>566</v>
      </c>
      <c r="E6585" s="1" t="s">
        <v>989</v>
      </c>
    </row>
    <row r="6586" spans="1:5" x14ac:dyDescent="0.2">
      <c r="A6586" s="1" t="s">
        <v>497</v>
      </c>
      <c r="B6586" s="1" t="s">
        <v>564</v>
      </c>
      <c r="C6586" s="5">
        <f>DATE(2025, 4, 2) + TIME(15, 1, 35)</f>
        <v>45749.626099537039</v>
      </c>
      <c r="D6586" s="1" t="s">
        <v>506</v>
      </c>
      <c r="E6586" s="1" t="s">
        <v>347</v>
      </c>
    </row>
    <row r="6587" spans="1:5" x14ac:dyDescent="0.2">
      <c r="A6587" s="1" t="s">
        <v>497</v>
      </c>
      <c r="B6587" s="1" t="s">
        <v>271</v>
      </c>
      <c r="C6587" s="5">
        <f>DATE(2025, 4, 2) + TIME(8, 48, 57)</f>
        <v>45749.367326388892</v>
      </c>
      <c r="D6587" s="1" t="s">
        <v>269</v>
      </c>
      <c r="E6587" s="1" t="s">
        <v>781</v>
      </c>
    </row>
    <row r="6588" spans="1:5" x14ac:dyDescent="0.2">
      <c r="A6588" s="1" t="s">
        <v>497</v>
      </c>
      <c r="B6588" s="1" t="s">
        <v>323</v>
      </c>
      <c r="C6588" s="5">
        <f>DATE(2025, 4, 1) + TIME(15, 35, 27)</f>
        <v>45748.649618055555</v>
      </c>
      <c r="D6588" s="1" t="s">
        <v>148</v>
      </c>
      <c r="E6588" s="1" t="s">
        <v>877</v>
      </c>
    </row>
    <row r="6589" spans="1:5" x14ac:dyDescent="0.2">
      <c r="A6589" s="1" t="s">
        <v>497</v>
      </c>
      <c r="B6589" s="1" t="s">
        <v>564</v>
      </c>
      <c r="C6589" s="5">
        <f>DATE(2025, 4, 1) + TIME(9, 52, 20)</f>
        <v>45748.41134259259</v>
      </c>
      <c r="D6589" s="1" t="s">
        <v>396</v>
      </c>
      <c r="E6589" s="1" t="s">
        <v>276</v>
      </c>
    </row>
    <row r="6590" spans="1:5" x14ac:dyDescent="0.2">
      <c r="A6590" s="1" t="s">
        <v>497</v>
      </c>
      <c r="B6590" s="1" t="s">
        <v>323</v>
      </c>
      <c r="C6590" s="5">
        <f>DATE(2025, 3, 27) + TIME(13, 17, 56)</f>
        <v>45743.554120370369</v>
      </c>
      <c r="D6590" s="1" t="s">
        <v>255</v>
      </c>
      <c r="E6590" s="1" t="s">
        <v>6</v>
      </c>
    </row>
    <row r="6591" spans="1:5" x14ac:dyDescent="0.2">
      <c r="A6591" s="1" t="s">
        <v>497</v>
      </c>
      <c r="B6591" s="1" t="s">
        <v>564</v>
      </c>
      <c r="C6591" s="5">
        <f>DATE(2025, 3, 20) + TIME(14, 45, 45)</f>
        <v>45736.615104166667</v>
      </c>
      <c r="D6591" s="1" t="s">
        <v>3</v>
      </c>
      <c r="E6591" s="1" t="s">
        <v>248</v>
      </c>
    </row>
    <row r="6592" spans="1:5" x14ac:dyDescent="0.2">
      <c r="A6592" s="1" t="s">
        <v>497</v>
      </c>
      <c r="B6592" s="1" t="s">
        <v>69</v>
      </c>
      <c r="C6592" s="5">
        <f>DATE(2025, 3, 12) + TIME(13, 47, 51)</f>
        <v>45728.574895833335</v>
      </c>
      <c r="D6592" s="1" t="s">
        <v>148</v>
      </c>
      <c r="E6592" s="1" t="s">
        <v>1016</v>
      </c>
    </row>
    <row r="6593" spans="1:5" x14ac:dyDescent="0.2">
      <c r="A6593" s="1" t="s">
        <v>497</v>
      </c>
      <c r="B6593" s="1" t="s">
        <v>69</v>
      </c>
      <c r="C6593" s="5">
        <f>DATE(2025, 3, 6) + TIME(15, 7, 32)</f>
        <v>45722.630231481482</v>
      </c>
      <c r="D6593" s="1" t="s">
        <v>269</v>
      </c>
      <c r="E6593" s="1" t="s">
        <v>299</v>
      </c>
    </row>
    <row r="6594" spans="1:5" x14ac:dyDescent="0.2">
      <c r="A6594" s="1" t="s">
        <v>497</v>
      </c>
      <c r="B6594" s="1" t="s">
        <v>564</v>
      </c>
      <c r="C6594" s="5">
        <f>DATE(2025, 2, 18) + TIME(4, 54, 14)</f>
        <v>45706.204328703701</v>
      </c>
      <c r="D6594" s="1" t="s">
        <v>3</v>
      </c>
      <c r="E6594" s="1" t="s">
        <v>248</v>
      </c>
    </row>
    <row r="6595" spans="1:5" x14ac:dyDescent="0.2">
      <c r="A6595" s="1" t="s">
        <v>497</v>
      </c>
      <c r="B6595" s="1" t="s">
        <v>866</v>
      </c>
      <c r="C6595" s="5">
        <f>DATE(2025, 2, 18) + TIME(4, 54, 14)</f>
        <v>45706.204328703701</v>
      </c>
      <c r="D6595" s="1" t="s">
        <v>3</v>
      </c>
      <c r="E6595" s="1" t="s">
        <v>248</v>
      </c>
    </row>
    <row r="6596" spans="1:5" x14ac:dyDescent="0.2">
      <c r="A6596" s="1" t="s">
        <v>497</v>
      </c>
      <c r="B6596" s="1" t="s">
        <v>69</v>
      </c>
      <c r="C6596" s="5">
        <f>DATE(2024, 10, 24) + TIME(15, 10, 39)</f>
        <v>45589.632395833331</v>
      </c>
      <c r="D6596" s="1" t="s">
        <v>269</v>
      </c>
      <c r="E6596" s="1" t="s">
        <v>299</v>
      </c>
    </row>
    <row r="6597" spans="1:5" x14ac:dyDescent="0.2">
      <c r="A6597" s="1" t="s">
        <v>497</v>
      </c>
      <c r="B6597" s="1" t="s">
        <v>271</v>
      </c>
      <c r="C6597" s="5">
        <f>DATE(2024, 10, 10) + TIME(15, 32, 35)</f>
        <v>45575.647627314815</v>
      </c>
      <c r="D6597" s="1" t="s">
        <v>320</v>
      </c>
      <c r="E6597" s="1" t="s">
        <v>767</v>
      </c>
    </row>
    <row r="6598" spans="1:5" x14ac:dyDescent="0.2">
      <c r="A6598" s="1" t="s">
        <v>497</v>
      </c>
      <c r="B6598" s="1" t="s">
        <v>69</v>
      </c>
      <c r="C6598" s="5">
        <f>DATE(2024, 8, 22) + TIME(14, 20, 28)</f>
        <v>45526.597546296296</v>
      </c>
      <c r="D6598" s="1" t="s">
        <v>269</v>
      </c>
      <c r="E6598" s="1" t="s">
        <v>299</v>
      </c>
    </row>
    <row r="6599" spans="1:5" x14ac:dyDescent="0.2">
      <c r="A6599" s="1" t="s">
        <v>497</v>
      </c>
      <c r="B6599" s="1" t="s">
        <v>323</v>
      </c>
      <c r="C6599" s="5">
        <f>DATE(2024, 8, 13) + TIME(10, 42, 42)</f>
        <v>45517.446319444447</v>
      </c>
      <c r="D6599" s="1" t="s">
        <v>640</v>
      </c>
      <c r="E6599" s="1" t="s">
        <v>726</v>
      </c>
    </row>
    <row r="6600" spans="1:5" x14ac:dyDescent="0.2">
      <c r="A6600" s="1" t="s">
        <v>497</v>
      </c>
      <c r="B6600" s="1" t="s">
        <v>866</v>
      </c>
      <c r="C6600" s="5">
        <f>DATE(2024, 8, 13) + TIME(10, 42, 41)</f>
        <v>45517.44630787037</v>
      </c>
      <c r="D6600" s="1" t="s">
        <v>640</v>
      </c>
      <c r="E6600" s="1" t="s">
        <v>726</v>
      </c>
    </row>
    <row r="6601" spans="1:5" x14ac:dyDescent="0.2">
      <c r="A6601" s="1" t="s">
        <v>497</v>
      </c>
      <c r="B6601" s="1" t="s">
        <v>69</v>
      </c>
      <c r="C6601" s="5">
        <f>DATE(2024, 7, 30) + TIME(15, 22, 39)</f>
        <v>45503.640729166669</v>
      </c>
      <c r="D6601" s="1" t="s">
        <v>148</v>
      </c>
      <c r="E6601" s="1" t="s">
        <v>471</v>
      </c>
    </row>
    <row r="6602" spans="1:5" x14ac:dyDescent="0.2">
      <c r="A6602" s="1" t="s">
        <v>497</v>
      </c>
      <c r="B6602" s="1" t="s">
        <v>271</v>
      </c>
      <c r="C6602" s="5">
        <f>DATE(2024, 7, 24) + TIME(11, 12, 31)</f>
        <v>45497.46702546296</v>
      </c>
      <c r="D6602" s="1" t="s">
        <v>396</v>
      </c>
      <c r="E6602" s="1" t="s">
        <v>507</v>
      </c>
    </row>
    <row r="6603" spans="1:5" x14ac:dyDescent="0.2">
      <c r="A6603" s="1" t="s">
        <v>497</v>
      </c>
      <c r="B6603" s="1" t="s">
        <v>139</v>
      </c>
      <c r="C6603" s="5">
        <f>DATE(2024, 7, 17) + TIME(13, 14, 28)</f>
        <v>45490.551712962966</v>
      </c>
      <c r="D6603" s="1" t="s">
        <v>320</v>
      </c>
      <c r="E6603" s="1" t="s">
        <v>872</v>
      </c>
    </row>
    <row r="6604" spans="1:5" x14ac:dyDescent="0.2">
      <c r="A6604" s="1" t="s">
        <v>497</v>
      </c>
      <c r="B6604" s="1" t="s">
        <v>271</v>
      </c>
      <c r="C6604" s="5">
        <f>DATE(2024, 7, 17) + TIME(10, 19, 38)</f>
        <v>45490.430300925924</v>
      </c>
      <c r="D6604" s="1" t="s">
        <v>900</v>
      </c>
      <c r="E6604" s="1" t="s">
        <v>337</v>
      </c>
    </row>
    <row r="6605" spans="1:5" x14ac:dyDescent="0.2">
      <c r="A6605" s="1" t="s">
        <v>497</v>
      </c>
      <c r="B6605" s="1" t="s">
        <v>866</v>
      </c>
      <c r="C6605" s="5">
        <f>DATE(2024, 7, 10) + TIME(13, 36, 6)</f>
        <v>45483.566736111112</v>
      </c>
      <c r="D6605" s="1" t="s">
        <v>506</v>
      </c>
      <c r="E6605" s="1" t="s">
        <v>6</v>
      </c>
    </row>
    <row r="6606" spans="1:5" x14ac:dyDescent="0.2">
      <c r="A6606" s="1" t="s">
        <v>497</v>
      </c>
      <c r="B6606" s="1" t="s">
        <v>271</v>
      </c>
      <c r="C6606" s="5">
        <f>DATE(2024, 7, 9) + TIME(16, 26, 22)</f>
        <v>45482.684976851851</v>
      </c>
      <c r="D6606" s="1" t="s">
        <v>566</v>
      </c>
      <c r="E6606" s="1" t="s">
        <v>336</v>
      </c>
    </row>
    <row r="6607" spans="1:5" x14ac:dyDescent="0.2">
      <c r="A6607" s="1" t="s">
        <v>497</v>
      </c>
      <c r="B6607" s="1" t="s">
        <v>60</v>
      </c>
      <c r="C6607" s="5">
        <f>DATE(2024, 7, 4) + TIME(10, 59, 35)</f>
        <v>45477.458043981482</v>
      </c>
      <c r="D6607" s="1" t="s">
        <v>1054</v>
      </c>
      <c r="E6607" s="1" t="s">
        <v>475</v>
      </c>
    </row>
    <row r="6608" spans="1:5" x14ac:dyDescent="0.2">
      <c r="A6608" s="1" t="s">
        <v>497</v>
      </c>
      <c r="B6608" s="1" t="s">
        <v>564</v>
      </c>
      <c r="C6608" s="5">
        <f>DATE(2024, 7, 4) + TIME(10, 59, 35)</f>
        <v>45477.458043981482</v>
      </c>
      <c r="D6608" s="1" t="s">
        <v>1054</v>
      </c>
      <c r="E6608" s="1" t="s">
        <v>475</v>
      </c>
    </row>
    <row r="6609" spans="1:5" x14ac:dyDescent="0.2">
      <c r="A6609" s="1" t="s">
        <v>497</v>
      </c>
      <c r="B6609" s="1" t="s">
        <v>69</v>
      </c>
      <c r="C6609" s="5">
        <f>DATE(2024, 6, 25) + TIME(12, 40, 32)</f>
        <v>45468.528148148151</v>
      </c>
      <c r="D6609" s="1" t="s">
        <v>450</v>
      </c>
      <c r="E6609" s="1" t="s">
        <v>1258</v>
      </c>
    </row>
    <row r="6610" spans="1:5" x14ac:dyDescent="0.2">
      <c r="A6610" s="1" t="s">
        <v>497</v>
      </c>
      <c r="B6610" s="1" t="s">
        <v>60</v>
      </c>
      <c r="C6610" s="5">
        <f>DATE(2024, 6, 25) + TIME(4, 45, 20)</f>
        <v>45468.198148148149</v>
      </c>
      <c r="D6610" s="1" t="s">
        <v>3</v>
      </c>
      <c r="E6610" s="1" t="s">
        <v>925</v>
      </c>
    </row>
    <row r="6611" spans="1:5" x14ac:dyDescent="0.2">
      <c r="A6611" s="1" t="s">
        <v>497</v>
      </c>
      <c r="B6611" s="1" t="s">
        <v>60</v>
      </c>
      <c r="C6611" s="5">
        <f>DATE(2024, 6, 24) + TIME(12, 16, 35)</f>
        <v>45467.511516203704</v>
      </c>
      <c r="D6611" s="1" t="s">
        <v>216</v>
      </c>
      <c r="E6611" s="1" t="s">
        <v>607</v>
      </c>
    </row>
    <row r="6612" spans="1:5" x14ac:dyDescent="0.2">
      <c r="A6612" s="1" t="s">
        <v>497</v>
      </c>
      <c r="B6612" s="1" t="s">
        <v>60</v>
      </c>
      <c r="C6612" s="5">
        <f>DATE(2024, 6, 24) + TIME(12, 16, 35)</f>
        <v>45467.511516203704</v>
      </c>
      <c r="D6612" s="1" t="s">
        <v>216</v>
      </c>
      <c r="E6612" s="1" t="s">
        <v>607</v>
      </c>
    </row>
    <row r="6613" spans="1:5" x14ac:dyDescent="0.2">
      <c r="A6613" s="1" t="s">
        <v>497</v>
      </c>
      <c r="B6613" s="1" t="s">
        <v>866</v>
      </c>
      <c r="C6613" s="5">
        <f>DATE(2024, 6, 21) + TIME(9, 6, 15)</f>
        <v>45464.379340277781</v>
      </c>
      <c r="D6613" s="1" t="s">
        <v>126</v>
      </c>
      <c r="E6613" s="1" t="s">
        <v>540</v>
      </c>
    </row>
    <row r="6614" spans="1:5" x14ac:dyDescent="0.2">
      <c r="A6614" s="1" t="s">
        <v>497</v>
      </c>
      <c r="B6614" s="1" t="s">
        <v>323</v>
      </c>
      <c r="C6614" s="5">
        <f>DATE(2024, 6, 20) + TIME(14, 31, 1)</f>
        <v>45463.604872685188</v>
      </c>
      <c r="D6614" s="1" t="s">
        <v>638</v>
      </c>
      <c r="E6614" s="1" t="s">
        <v>1062</v>
      </c>
    </row>
    <row r="6615" spans="1:5" x14ac:dyDescent="0.2">
      <c r="A6615" s="1" t="s">
        <v>497</v>
      </c>
      <c r="B6615" s="1" t="s">
        <v>290</v>
      </c>
      <c r="C6615" s="5">
        <f>DATE(2024, 6, 20) + TIME(13, 17, 36)</f>
        <v>45463.553888888891</v>
      </c>
      <c r="D6615" s="1" t="s">
        <v>506</v>
      </c>
      <c r="E6615" s="1" t="s">
        <v>867</v>
      </c>
    </row>
    <row r="6616" spans="1:5" x14ac:dyDescent="0.2">
      <c r="A6616" s="1" t="s">
        <v>497</v>
      </c>
      <c r="B6616" s="1" t="s">
        <v>69</v>
      </c>
      <c r="C6616" s="5">
        <f>DATE(2024, 6, 20) + TIME(13, 17, 36)</f>
        <v>45463.553888888891</v>
      </c>
      <c r="D6616" s="1" t="s">
        <v>506</v>
      </c>
      <c r="E6616" s="1" t="s">
        <v>867</v>
      </c>
    </row>
    <row r="6617" spans="1:5" x14ac:dyDescent="0.2">
      <c r="A6617" s="1" t="s">
        <v>497</v>
      </c>
      <c r="B6617" s="1" t="s">
        <v>69</v>
      </c>
      <c r="C6617" s="5">
        <f>DATE(2024, 6, 20) + TIME(13, 10, 55)</f>
        <v>45463.549247685187</v>
      </c>
      <c r="D6617" s="1" t="s">
        <v>731</v>
      </c>
      <c r="E6617" s="1" t="s">
        <v>1261</v>
      </c>
    </row>
    <row r="6618" spans="1:5" x14ac:dyDescent="0.2">
      <c r="A6618" s="1" t="s">
        <v>497</v>
      </c>
      <c r="B6618" s="1" t="s">
        <v>69</v>
      </c>
      <c r="C6618" s="5">
        <f>DATE(2024, 6, 20) + TIME(12, 59, 18)</f>
        <v>45463.541180555556</v>
      </c>
      <c r="D6618" s="1" t="s">
        <v>320</v>
      </c>
      <c r="E6618" s="1" t="s">
        <v>698</v>
      </c>
    </row>
    <row r="6619" spans="1:5" x14ac:dyDescent="0.2">
      <c r="A6619" s="1" t="s">
        <v>497</v>
      </c>
      <c r="B6619" s="1" t="s">
        <v>141</v>
      </c>
      <c r="C6619" s="5">
        <f>DATE(2024, 6, 19) + TIME(14, 58, 33)</f>
        <v>45462.623993055553</v>
      </c>
      <c r="D6619" s="1" t="s">
        <v>921</v>
      </c>
      <c r="E6619" s="1" t="s">
        <v>232</v>
      </c>
    </row>
    <row r="6620" spans="1:5" x14ac:dyDescent="0.2">
      <c r="A6620" s="1" t="s">
        <v>497</v>
      </c>
      <c r="B6620" s="1" t="s">
        <v>141</v>
      </c>
      <c r="C6620" s="5">
        <f>DATE(2024, 6, 19) + TIME(11, 44, 9)</f>
        <v>45462.488993055558</v>
      </c>
      <c r="D6620" s="1" t="s">
        <v>921</v>
      </c>
      <c r="E6620" s="1" t="s">
        <v>284</v>
      </c>
    </row>
    <row r="6621" spans="1:5" x14ac:dyDescent="0.2">
      <c r="A6621" s="1" t="s">
        <v>497</v>
      </c>
      <c r="B6621" s="1" t="s">
        <v>564</v>
      </c>
      <c r="C6621" s="5">
        <f>DATE(2024, 6, 19) + TIME(11, 39, 40)</f>
        <v>45462.485879629632</v>
      </c>
      <c r="D6621" s="1" t="s">
        <v>459</v>
      </c>
      <c r="E6621" s="1" t="s">
        <v>777</v>
      </c>
    </row>
    <row r="6622" spans="1:5" x14ac:dyDescent="0.2">
      <c r="A6622" s="1" t="s">
        <v>497</v>
      </c>
      <c r="B6622" s="1" t="s">
        <v>69</v>
      </c>
      <c r="C6622" s="5">
        <f>DATE(2024, 6, 18) + TIME(13, 22, 0)</f>
        <v>45461.556944444441</v>
      </c>
      <c r="D6622" s="1" t="s">
        <v>459</v>
      </c>
      <c r="E6622" s="1" t="s">
        <v>1050</v>
      </c>
    </row>
    <row r="6623" spans="1:5" x14ac:dyDescent="0.2">
      <c r="A6623" s="1" t="s">
        <v>497</v>
      </c>
      <c r="B6623" s="1" t="s">
        <v>290</v>
      </c>
      <c r="C6623" s="5">
        <f>DATE(2024, 6, 13) + TIME(13, 6, 35)</f>
        <v>45456.546238425923</v>
      </c>
      <c r="D6623" s="1" t="s">
        <v>65</v>
      </c>
      <c r="E6623" s="1" t="s">
        <v>615</v>
      </c>
    </row>
    <row r="6624" spans="1:5" x14ac:dyDescent="0.2">
      <c r="A6624" s="1" t="s">
        <v>497</v>
      </c>
      <c r="B6624" s="1" t="s">
        <v>564</v>
      </c>
      <c r="C6624" s="5">
        <f>DATE(2024, 6, 12) + TIME(12, 56, 39)</f>
        <v>45455.539340277777</v>
      </c>
      <c r="D6624" s="1" t="s">
        <v>1260</v>
      </c>
      <c r="E6624" s="1" t="s">
        <v>1272</v>
      </c>
    </row>
  </sheetData>
  <autoFilter ref="A1:E1" xr:uid="{00000000-0009-0000-0000-000000000000}">
    <sortState xmlns:xlrd2="http://schemas.microsoft.com/office/spreadsheetml/2017/richdata2" ref="A2:E10001">
      <sortCondition ref="A1:A10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Dubuque</cp:lastModifiedBy>
  <dcterms:created xsi:type="dcterms:W3CDTF">2026-03-13T12:58:43Z</dcterms:created>
  <dcterms:modified xsi:type="dcterms:W3CDTF">2026-03-13T12:58:43Z</dcterms:modified>
</cp:coreProperties>
</file>